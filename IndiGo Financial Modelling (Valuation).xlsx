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drawings/drawing2.xml" ContentType="application/vnd.openxmlformats-officedocument.drawing+xml"/>
  <Override PartName="/xl/ctrlProps/ctrlProp2.xml" ContentType="application/vnd.ms-excel.controlproperties+xml"/>
  <Override PartName="/xl/drawings/drawing3.xml" ContentType="application/vnd.openxmlformats-officedocument.drawing+xml"/>
  <Override PartName="/xl/ctrlProps/ctrlProp3.xml" ContentType="application/vnd.ms-excel.controlproperties+xml"/>
  <Override PartName="/xl/drawings/drawing4.xml" ContentType="application/vnd.openxmlformats-officedocument.drawing+xml"/>
  <Override PartName="/xl/ctrlProps/ctrlProp4.xml" ContentType="application/vnd.ms-excel.controlproperties+xml"/>
  <Override PartName="/xl/drawings/drawing5.xml" ContentType="application/vnd.openxmlformats-officedocument.drawing+xml"/>
  <Override PartName="/xl/ctrlProps/ctrlProp5.xml" ContentType="application/vnd.ms-excel.controlproperties+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8a48cdda2453c2b5/Documents/Desktop/Valuation/"/>
    </mc:Choice>
  </mc:AlternateContent>
  <xr:revisionPtr revIDLastSave="16454" documentId="8_{7474774A-163A-46E0-842E-03EE03FA0444}" xr6:coauthVersionLast="47" xr6:coauthVersionMax="47" xr10:uidLastSave="{7829D59F-DAF0-44BA-AA5B-3EC077143496}"/>
  <bookViews>
    <workbookView xWindow="-108" yWindow="-108" windowWidth="23256" windowHeight="12456" activeTab="1" xr2:uid="{E48753C5-9F95-4865-A8D7-A8C1EACBAD3C}"/>
  </bookViews>
  <sheets>
    <sheet name="Control Sheet" sheetId="1" r:id="rId1"/>
    <sheet name="Schedule Sheet" sheetId="3" r:id="rId2"/>
    <sheet name="3 Statement Model" sheetId="4" r:id="rId3"/>
    <sheet name="Common Sized Model" sheetId="6" r:id="rId4"/>
    <sheet name="Ratio Analysis" sheetId="7" r:id="rId5"/>
    <sheet name="Input" sheetId="13" r:id="rId6"/>
    <sheet name="WACC" sheetId="15" r:id="rId7"/>
    <sheet name="Options Working" sheetId="16" r:id="rId8"/>
    <sheet name="DCF Valuation" sheetId="8" r:id="rId9"/>
    <sheet name="Relative Valuation" sheetId="19" r:id="rId10"/>
    <sheet name="Summary" sheetId="22" r:id="rId11"/>
    <sheet name="Growth-Margin Analysis" sheetId="18" r:id="rId12"/>
    <sheet name="Comparable Companies" sheetId="17" r:id="rId13"/>
    <sheet name="Company Description" sheetId="20" r:id="rId14"/>
    <sheet name="Income Statement" sheetId="9" r:id="rId15"/>
    <sheet name="Balance Sheet" sheetId="10" r:id="rId16"/>
    <sheet name="Cash Flow Statement" sheetId="11" r:id="rId17"/>
    <sheet name="Assumptions" sheetId="12" r:id="rId18"/>
    <sheet name="Damodaran Data" sheetId="14" r:id="rId19"/>
    <sheet name="Report" sheetId="21" r:id="rId20"/>
  </sheets>
  <externalReferences>
    <externalReference r:id="rId21"/>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9" i="19" l="1"/>
  <c r="Y15" i="19"/>
  <c r="H8" i="22"/>
  <c r="F10" i="22"/>
  <c r="H10" i="22" s="1"/>
  <c r="I10" i="22" s="1"/>
  <c r="I9" i="22"/>
  <c r="I8" i="22"/>
  <c r="H9" i="22"/>
  <c r="F9" i="22"/>
  <c r="F8" i="22"/>
  <c r="H8" i="19"/>
  <c r="J173" i="4"/>
  <c r="J129" i="4"/>
  <c r="K129" i="4"/>
  <c r="J132" i="4"/>
  <c r="K132" i="4"/>
  <c r="J137" i="4"/>
  <c r="K137" i="4"/>
  <c r="J143" i="4"/>
  <c r="K143" i="4"/>
  <c r="F9" i="15"/>
  <c r="E9" i="15"/>
  <c r="D9" i="15"/>
  <c r="V8" i="19"/>
  <c r="I8" i="19"/>
  <c r="J8" i="19"/>
  <c r="K8" i="19"/>
  <c r="L8" i="19"/>
  <c r="M8" i="19"/>
  <c r="N8" i="19"/>
  <c r="O8" i="19"/>
  <c r="P8" i="19"/>
  <c r="Q8" i="19"/>
  <c r="O21" i="8"/>
  <c r="N21" i="8"/>
  <c r="M21" i="8"/>
  <c r="L21" i="8"/>
  <c r="K21" i="8"/>
  <c r="K170" i="4"/>
  <c r="AH131" i="21"/>
  <c r="AG131" i="21"/>
  <c r="AF131" i="21"/>
  <c r="AE131" i="21"/>
  <c r="AD131" i="21"/>
  <c r="AC131" i="21"/>
  <c r="AB131" i="21"/>
  <c r="AA131" i="21"/>
  <c r="Z131" i="21"/>
  <c r="Y131" i="21"/>
  <c r="AH129" i="21"/>
  <c r="AG129" i="21"/>
  <c r="AF129" i="21"/>
  <c r="AE129" i="21"/>
  <c r="AD129" i="21"/>
  <c r="AC129" i="21"/>
  <c r="AB129" i="21"/>
  <c r="AA129" i="21"/>
  <c r="Z129" i="21"/>
  <c r="Y129" i="21"/>
  <c r="Y127" i="21"/>
  <c r="Z127" i="21" s="1"/>
  <c r="AA127" i="21" s="1"/>
  <c r="AB127" i="21" s="1"/>
  <c r="AC127" i="21" s="1"/>
  <c r="AD127" i="21" s="1"/>
  <c r="AE127" i="21" s="1"/>
  <c r="AF127" i="21" s="1"/>
  <c r="AG127" i="21" s="1"/>
  <c r="AH127" i="21" s="1"/>
  <c r="Q31" i="4"/>
  <c r="Y116" i="21"/>
  <c r="Z116" i="21" s="1"/>
  <c r="AA116" i="21" s="1"/>
  <c r="AB116" i="21" s="1"/>
  <c r="AC116" i="21" s="1"/>
  <c r="AD116" i="21" s="1"/>
  <c r="AE116" i="21" s="1"/>
  <c r="AF116" i="21" s="1"/>
  <c r="AG116" i="21" s="1"/>
  <c r="AH116" i="21" s="1"/>
  <c r="AI117" i="21"/>
  <c r="D106" i="4"/>
  <c r="Y104" i="21"/>
  <c r="Z104" i="21" s="1"/>
  <c r="AA104" i="21" s="1"/>
  <c r="AB104" i="21" s="1"/>
  <c r="AC104" i="21" s="1"/>
  <c r="AD104" i="21" s="1"/>
  <c r="AE104" i="21" s="1"/>
  <c r="AF104" i="21" s="1"/>
  <c r="AG104" i="21" s="1"/>
  <c r="AH104" i="21" s="1"/>
  <c r="AI105" i="21"/>
  <c r="S8" i="19" l="1"/>
  <c r="AA8" i="19"/>
  <c r="X8" i="19"/>
  <c r="Z8" i="19"/>
  <c r="T8" i="19"/>
  <c r="U8" i="19"/>
  <c r="Y8" i="19"/>
  <c r="W8" i="19"/>
  <c r="N139" i="3"/>
  <c r="M139" i="3"/>
  <c r="L139" i="3"/>
  <c r="K139" i="3"/>
  <c r="J139" i="3"/>
  <c r="J140" i="3" s="1"/>
  <c r="I139" i="3"/>
  <c r="H139" i="3"/>
  <c r="G139" i="3"/>
  <c r="F139" i="3"/>
  <c r="E139" i="3"/>
  <c r="D139" i="3"/>
  <c r="Y100" i="21"/>
  <c r="Z100" i="21" s="1"/>
  <c r="AA100" i="21" s="1"/>
  <c r="AB100" i="21" s="1"/>
  <c r="AC100" i="21" s="1"/>
  <c r="AD100" i="21" s="1"/>
  <c r="AE100" i="21" s="1"/>
  <c r="AF100" i="21" s="1"/>
  <c r="AG100" i="21" s="1"/>
  <c r="AH100" i="21" s="1"/>
  <c r="J45" i="3"/>
  <c r="J47" i="3"/>
  <c r="Y95" i="21"/>
  <c r="Z95" i="21" s="1"/>
  <c r="AA95" i="21" s="1"/>
  <c r="AB95" i="21" s="1"/>
  <c r="AC95" i="21" s="1"/>
  <c r="AD95" i="21" s="1"/>
  <c r="AE95" i="21" s="1"/>
  <c r="AF95" i="21" s="1"/>
  <c r="AG95" i="21" s="1"/>
  <c r="AH95" i="21" s="1"/>
  <c r="Y91" i="21"/>
  <c r="Z91" i="21" s="1"/>
  <c r="AA91" i="21" s="1"/>
  <c r="AB91" i="21" s="1"/>
  <c r="AC91" i="21" s="1"/>
  <c r="AD91" i="21" s="1"/>
  <c r="AE91" i="21" s="1"/>
  <c r="AF91" i="21" s="1"/>
  <c r="AG91" i="21" s="1"/>
  <c r="AH91" i="21" s="1"/>
  <c r="AH89" i="21"/>
  <c r="AG89" i="21"/>
  <c r="AF89" i="21"/>
  <c r="AE89" i="21"/>
  <c r="AD89" i="21"/>
  <c r="AC89" i="21"/>
  <c r="AB89" i="21"/>
  <c r="AA89" i="21"/>
  <c r="Z89" i="21"/>
  <c r="Y89" i="21"/>
  <c r="Y87" i="21"/>
  <c r="Z87" i="21" s="1"/>
  <c r="AA87" i="21" s="1"/>
  <c r="AB87" i="21" s="1"/>
  <c r="AC87" i="21" s="1"/>
  <c r="AD87" i="21" s="1"/>
  <c r="AE87" i="21" s="1"/>
  <c r="AF87" i="21" s="1"/>
  <c r="AG87" i="21" s="1"/>
  <c r="AH87" i="21" s="1"/>
  <c r="K47" i="3" l="1"/>
  <c r="L47" i="3"/>
  <c r="M47" i="3"/>
  <c r="N47" i="3"/>
  <c r="O25" i="7"/>
  <c r="N25" i="7"/>
  <c r="M25" i="7"/>
  <c r="L25" i="7"/>
  <c r="K25" i="7"/>
  <c r="J25" i="7"/>
  <c r="I25" i="7"/>
  <c r="H25" i="7"/>
  <c r="G25" i="7"/>
  <c r="F25" i="7"/>
  <c r="O24" i="7"/>
  <c r="N24" i="7"/>
  <c r="M24" i="7"/>
  <c r="L24" i="7"/>
  <c r="K24" i="7"/>
  <c r="J24" i="7"/>
  <c r="I24" i="7"/>
  <c r="H24" i="7"/>
  <c r="G24" i="7"/>
  <c r="F24" i="7"/>
  <c r="O23" i="7"/>
  <c r="N23" i="7"/>
  <c r="M23" i="7"/>
  <c r="L23" i="7"/>
  <c r="K23" i="7"/>
  <c r="J23" i="7"/>
  <c r="E25" i="7"/>
  <c r="E24" i="7"/>
  <c r="M26" i="7" l="1"/>
  <c r="L26" i="7"/>
  <c r="N26" i="7"/>
  <c r="O26" i="7"/>
  <c r="K26" i="7"/>
  <c r="J26" i="7"/>
  <c r="F9" i="7" l="1"/>
  <c r="G9" i="7" s="1"/>
  <c r="H9" i="7" s="1"/>
  <c r="I9" i="7" s="1"/>
  <c r="J9" i="7" s="1"/>
  <c r="K9" i="7" s="1"/>
  <c r="L9" i="7" s="1"/>
  <c r="M9" i="7" s="1"/>
  <c r="N9" i="7" s="1"/>
  <c r="O9" i="7" s="1"/>
  <c r="E104" i="21"/>
  <c r="E105" i="21" s="1"/>
  <c r="E106" i="21" s="1"/>
  <c r="E107" i="21" s="1"/>
  <c r="E108" i="21" s="1"/>
  <c r="G91" i="21"/>
  <c r="G90" i="21"/>
  <c r="G89" i="21"/>
  <c r="G88" i="21"/>
  <c r="G87" i="21"/>
  <c r="G86" i="21"/>
  <c r="E86" i="21"/>
  <c r="E87" i="21" s="1"/>
  <c r="E88" i="21" s="1"/>
  <c r="E89" i="21" s="1"/>
  <c r="E90" i="21" s="1"/>
  <c r="E91" i="21" s="1"/>
  <c r="I76" i="21"/>
  <c r="G76" i="21"/>
  <c r="I66" i="21"/>
  <c r="G66" i="21"/>
  <c r="I81" i="21"/>
  <c r="I80" i="21"/>
  <c r="I79" i="21"/>
  <c r="I78" i="21"/>
  <c r="I77" i="21"/>
  <c r="G81" i="21"/>
  <c r="G80" i="21"/>
  <c r="G79" i="21"/>
  <c r="G78" i="21"/>
  <c r="G77" i="21"/>
  <c r="I71" i="21"/>
  <c r="I70" i="21"/>
  <c r="I69" i="21"/>
  <c r="I68" i="21"/>
  <c r="I67" i="21"/>
  <c r="G71" i="21"/>
  <c r="G70" i="21"/>
  <c r="G69" i="21"/>
  <c r="G68" i="21"/>
  <c r="G67" i="21"/>
  <c r="E77" i="21"/>
  <c r="E78" i="21" s="1"/>
  <c r="E79" i="21" s="1"/>
  <c r="E80" i="21" s="1"/>
  <c r="E67" i="21"/>
  <c r="E68" i="21" s="1"/>
  <c r="E69" i="21" s="1"/>
  <c r="E70" i="21" s="1"/>
  <c r="E59" i="21"/>
  <c r="E60" i="21" s="1"/>
  <c r="E61" i="21" s="1"/>
  <c r="E62" i="21" s="1"/>
  <c r="E51" i="21"/>
  <c r="E52" i="21" s="1"/>
  <c r="E53" i="21" s="1"/>
  <c r="E54" i="21" s="1"/>
  <c r="E36" i="21"/>
  <c r="E37" i="21" s="1"/>
  <c r="E38" i="21" s="1"/>
  <c r="E39" i="21" s="1"/>
  <c r="H22" i="21"/>
  <c r="J75" i="15"/>
  <c r="J76" i="15"/>
  <c r="H76" i="15"/>
  <c r="H75" i="15"/>
  <c r="H62" i="15"/>
  <c r="H61" i="15"/>
  <c r="G57" i="15"/>
  <c r="G43" i="15"/>
  <c r="H47" i="15"/>
  <c r="E78" i="4"/>
  <c r="Q10" i="19"/>
  <c r="P10" i="19"/>
  <c r="N10" i="19"/>
  <c r="M10" i="19"/>
  <c r="K10" i="19"/>
  <c r="J10" i="19"/>
  <c r="Q9" i="19"/>
  <c r="P9" i="19"/>
  <c r="N9" i="19"/>
  <c r="M9" i="19"/>
  <c r="K9" i="19"/>
  <c r="J9" i="19"/>
  <c r="I11" i="19"/>
  <c r="I10" i="19"/>
  <c r="I9" i="19"/>
  <c r="J31" i="18"/>
  <c r="J24" i="18"/>
  <c r="J17" i="18"/>
  <c r="I13" i="17"/>
  <c r="I9" i="17"/>
  <c r="J3" i="18" s="1"/>
  <c r="J11" i="17"/>
  <c r="J14" i="17" s="1"/>
  <c r="J17" i="17" s="1"/>
  <c r="J20" i="17" s="1"/>
  <c r="J33" i="17"/>
  <c r="I33" i="17"/>
  <c r="H33" i="17"/>
  <c r="G33" i="17"/>
  <c r="F33" i="17"/>
  <c r="E33" i="17"/>
  <c r="D33" i="17"/>
  <c r="G30" i="17"/>
  <c r="F30" i="17"/>
  <c r="E30" i="17"/>
  <c r="D30" i="17"/>
  <c r="J27" i="17"/>
  <c r="I27" i="17"/>
  <c r="H27" i="17"/>
  <c r="G27" i="17"/>
  <c r="F27" i="17"/>
  <c r="E27" i="17"/>
  <c r="D27" i="17"/>
  <c r="J24" i="17"/>
  <c r="I24" i="17"/>
  <c r="I25" i="17" s="1"/>
  <c r="L10" i="19" s="1"/>
  <c r="H24" i="17"/>
  <c r="H25" i="17" s="1"/>
  <c r="G24" i="17"/>
  <c r="G25" i="17" s="1"/>
  <c r="F24" i="17"/>
  <c r="F25" i="17" s="1"/>
  <c r="E24" i="17"/>
  <c r="E25" i="17" s="1"/>
  <c r="F11" i="18" s="1"/>
  <c r="D24" i="17"/>
  <c r="D23" i="17"/>
  <c r="H4" i="18"/>
  <c r="L141" i="1"/>
  <c r="M141" i="1"/>
  <c r="N141" i="1"/>
  <c r="O141" i="1"/>
  <c r="P141" i="1"/>
  <c r="I181" i="3"/>
  <c r="I172" i="3"/>
  <c r="I167" i="3"/>
  <c r="I162" i="3"/>
  <c r="H152" i="3"/>
  <c r="G152" i="3"/>
  <c r="F152" i="3"/>
  <c r="E152" i="3"/>
  <c r="D152" i="3"/>
  <c r="I152" i="3"/>
  <c r="H147" i="3"/>
  <c r="G147" i="3"/>
  <c r="F147" i="3"/>
  <c r="E147" i="3"/>
  <c r="D147" i="3"/>
  <c r="I147" i="3"/>
  <c r="B31" i="19"/>
  <c r="B30" i="19"/>
  <c r="B29" i="19"/>
  <c r="B28" i="19"/>
  <c r="B27" i="19"/>
  <c r="B26" i="19"/>
  <c r="B25" i="19"/>
  <c r="B24" i="19"/>
  <c r="C24" i="19" s="1"/>
  <c r="Y5" i="19"/>
  <c r="V5" i="19"/>
  <c r="T5" i="19"/>
  <c r="Z5" i="19" s="1"/>
  <c r="H11" i="19"/>
  <c r="U11" i="19" s="1"/>
  <c r="H10" i="19"/>
  <c r="H9" i="19"/>
  <c r="O5" i="19"/>
  <c r="L5" i="19"/>
  <c r="J5" i="19"/>
  <c r="M5" i="19" s="1"/>
  <c r="P41" i="1"/>
  <c r="N21" i="3" s="1"/>
  <c r="O41" i="1"/>
  <c r="M21" i="3" s="1"/>
  <c r="N41" i="1"/>
  <c r="L21" i="3" s="1"/>
  <c r="M41" i="1"/>
  <c r="K21" i="3" s="1"/>
  <c r="L41" i="1"/>
  <c r="J21" i="3" s="1"/>
  <c r="J20" i="3" s="1"/>
  <c r="B41" i="1"/>
  <c r="P35" i="1"/>
  <c r="N19" i="3" s="1"/>
  <c r="O35" i="1"/>
  <c r="M19" i="3" s="1"/>
  <c r="N35" i="1"/>
  <c r="L19" i="3" s="1"/>
  <c r="M35" i="1"/>
  <c r="K19" i="3" s="1"/>
  <c r="L35" i="1"/>
  <c r="J19" i="3" s="1"/>
  <c r="J18" i="3" s="1"/>
  <c r="B35" i="1"/>
  <c r="P29" i="1"/>
  <c r="N17" i="3" s="1"/>
  <c r="O29" i="1"/>
  <c r="M17" i="3" s="1"/>
  <c r="N29" i="1"/>
  <c r="L17" i="3" s="1"/>
  <c r="M29" i="1"/>
  <c r="K17" i="3" s="1"/>
  <c r="L29" i="1"/>
  <c r="J17" i="3" s="1"/>
  <c r="J16" i="3" s="1"/>
  <c r="B29" i="1"/>
  <c r="P23" i="1"/>
  <c r="N15" i="3" s="1"/>
  <c r="O23" i="1"/>
  <c r="M15" i="3" s="1"/>
  <c r="N23" i="1"/>
  <c r="L15" i="3" s="1"/>
  <c r="M23" i="1"/>
  <c r="K15" i="3" s="1"/>
  <c r="L23" i="1"/>
  <c r="J15" i="3" s="1"/>
  <c r="J14" i="3" s="1"/>
  <c r="B23" i="1"/>
  <c r="K13" i="12"/>
  <c r="K9" i="12"/>
  <c r="L9" i="12" s="1"/>
  <c r="M9" i="12" s="1"/>
  <c r="N9" i="12" s="1"/>
  <c r="O9" i="12" s="1"/>
  <c r="K5" i="12"/>
  <c r="J7" i="12"/>
  <c r="J14" i="12"/>
  <c r="I14" i="12"/>
  <c r="J15" i="12" s="1"/>
  <c r="H14" i="12"/>
  <c r="G14" i="12"/>
  <c r="F14" i="12"/>
  <c r="E14" i="12"/>
  <c r="D14" i="12"/>
  <c r="J10" i="12"/>
  <c r="I10" i="12"/>
  <c r="H10" i="12"/>
  <c r="G10" i="12"/>
  <c r="F10" i="12"/>
  <c r="E10" i="12"/>
  <c r="D10" i="12"/>
  <c r="J11" i="12" s="1"/>
  <c r="J6" i="12"/>
  <c r="I6" i="12"/>
  <c r="H6" i="12"/>
  <c r="G6" i="12"/>
  <c r="F6" i="12"/>
  <c r="E6" i="12"/>
  <c r="D6" i="12"/>
  <c r="D3" i="12"/>
  <c r="D17" i="12" s="1"/>
  <c r="C3" i="12"/>
  <c r="C17" i="12" s="1"/>
  <c r="J17" i="12"/>
  <c r="K17" i="12" s="1"/>
  <c r="L17" i="12" s="1"/>
  <c r="M17" i="12" s="1"/>
  <c r="N17" i="12" s="1"/>
  <c r="O17" i="12" s="1"/>
  <c r="N30" i="18"/>
  <c r="O30" i="18" s="1"/>
  <c r="P30" i="18" s="1"/>
  <c r="Q30" i="18" s="1"/>
  <c r="R30" i="18" s="1"/>
  <c r="S30" i="18" s="1"/>
  <c r="E30" i="18"/>
  <c r="F30" i="18" s="1"/>
  <c r="G30" i="18" s="1"/>
  <c r="H30" i="18" s="1"/>
  <c r="I30" i="18" s="1"/>
  <c r="J30" i="18" s="1"/>
  <c r="N23" i="18"/>
  <c r="O23" i="18" s="1"/>
  <c r="P23" i="18" s="1"/>
  <c r="Q23" i="18" s="1"/>
  <c r="R23" i="18" s="1"/>
  <c r="S23" i="18" s="1"/>
  <c r="E23" i="18"/>
  <c r="F23" i="18" s="1"/>
  <c r="G23" i="18" s="1"/>
  <c r="H23" i="18" s="1"/>
  <c r="I23" i="18" s="1"/>
  <c r="J23" i="18" s="1"/>
  <c r="E16" i="18"/>
  <c r="F16" i="18" s="1"/>
  <c r="G16" i="18" s="1"/>
  <c r="H16" i="18" s="1"/>
  <c r="I16" i="18" s="1"/>
  <c r="J16" i="18" s="1"/>
  <c r="N16" i="18"/>
  <c r="O16" i="18" s="1"/>
  <c r="P16" i="18" s="1"/>
  <c r="Q16" i="18" s="1"/>
  <c r="R16" i="18" s="1"/>
  <c r="S16" i="18" s="1"/>
  <c r="N9" i="18"/>
  <c r="O9" i="18" s="1"/>
  <c r="P9" i="18" s="1"/>
  <c r="Q9" i="18" s="1"/>
  <c r="R9" i="18" s="1"/>
  <c r="S9" i="18" s="1"/>
  <c r="E9" i="18"/>
  <c r="F9" i="18" s="1"/>
  <c r="G9" i="18" s="1"/>
  <c r="H9" i="18" s="1"/>
  <c r="I9" i="18" s="1"/>
  <c r="J9" i="18" s="1"/>
  <c r="F4" i="18"/>
  <c r="J5" i="18"/>
  <c r="I5" i="18"/>
  <c r="H5" i="18"/>
  <c r="G5" i="18"/>
  <c r="F5" i="18"/>
  <c r="J4" i="18"/>
  <c r="I4" i="18"/>
  <c r="G4" i="18"/>
  <c r="E5" i="18"/>
  <c r="I3" i="18"/>
  <c r="H3" i="18"/>
  <c r="G3" i="18"/>
  <c r="F3" i="18"/>
  <c r="E3" i="18"/>
  <c r="E2" i="18"/>
  <c r="F2" i="18" s="1"/>
  <c r="G2" i="18" s="1"/>
  <c r="H2" i="18" s="1"/>
  <c r="I2" i="18" s="1"/>
  <c r="J2" i="18" s="1"/>
  <c r="I47" i="17"/>
  <c r="J47" i="17"/>
  <c r="I44" i="17"/>
  <c r="J44" i="17"/>
  <c r="J38" i="17"/>
  <c r="J39" i="17" s="1"/>
  <c r="I38" i="17"/>
  <c r="I39" i="17" s="1"/>
  <c r="J41" i="17"/>
  <c r="I41" i="17"/>
  <c r="G47" i="17"/>
  <c r="H47" i="17"/>
  <c r="G44" i="17"/>
  <c r="G38" i="17"/>
  <c r="G39" i="17" s="1"/>
  <c r="H12" i="18" s="1"/>
  <c r="H38" i="17"/>
  <c r="H39" i="17" s="1"/>
  <c r="I12" i="18" s="1"/>
  <c r="G41" i="17"/>
  <c r="H41" i="17"/>
  <c r="F44" i="17"/>
  <c r="F38" i="17"/>
  <c r="F39" i="17" s="1"/>
  <c r="F41" i="17"/>
  <c r="E44" i="17"/>
  <c r="E38" i="17"/>
  <c r="E39" i="17" s="1"/>
  <c r="F12" i="18" s="1"/>
  <c r="E41" i="17"/>
  <c r="D44" i="17"/>
  <c r="D38" i="17"/>
  <c r="D39" i="17" s="1"/>
  <c r="D41" i="17"/>
  <c r="E36" i="17"/>
  <c r="F36" i="17" s="1"/>
  <c r="G36" i="17" s="1"/>
  <c r="H36" i="17" s="1"/>
  <c r="I36" i="17" s="1"/>
  <c r="J36" i="17" s="1"/>
  <c r="J25" i="17"/>
  <c r="E22" i="17"/>
  <c r="F22" i="17" s="1"/>
  <c r="G22" i="17" s="1"/>
  <c r="H22" i="17" s="1"/>
  <c r="I22" i="17" s="1"/>
  <c r="J22" i="17" s="1"/>
  <c r="F11" i="17"/>
  <c r="G10" i="18" s="1"/>
  <c r="I11" i="17"/>
  <c r="J10" i="18" s="1"/>
  <c r="H11" i="17"/>
  <c r="G11" i="17"/>
  <c r="H10" i="18" s="1"/>
  <c r="E11" i="17"/>
  <c r="F10" i="18" s="1"/>
  <c r="D11" i="17"/>
  <c r="E10" i="18" s="1"/>
  <c r="E8" i="17"/>
  <c r="F8" i="17" s="1"/>
  <c r="G8" i="17" s="1"/>
  <c r="H8" i="17" s="1"/>
  <c r="I8" i="17" s="1"/>
  <c r="J8" i="17" s="1"/>
  <c r="I63" i="4"/>
  <c r="H63" i="4"/>
  <c r="G63" i="4"/>
  <c r="F63" i="4"/>
  <c r="E63" i="4"/>
  <c r="D63" i="4"/>
  <c r="D200" i="3"/>
  <c r="E200" i="3"/>
  <c r="F200" i="3"/>
  <c r="G200" i="3"/>
  <c r="H200" i="3"/>
  <c r="I200" i="3"/>
  <c r="J200" i="3" s="1"/>
  <c r="N65" i="4"/>
  <c r="C25" i="19" l="1"/>
  <c r="U9" i="19"/>
  <c r="W9" i="19"/>
  <c r="X9" i="19"/>
  <c r="Z9" i="19"/>
  <c r="D25" i="17"/>
  <c r="D28" i="17" s="1"/>
  <c r="K20" i="3"/>
  <c r="L20" i="3" s="1"/>
  <c r="J7" i="18"/>
  <c r="J42" i="17"/>
  <c r="J45" i="17" s="1"/>
  <c r="J48" i="17" s="1"/>
  <c r="J33" i="18" s="1"/>
  <c r="N10" i="18"/>
  <c r="R10" i="18"/>
  <c r="F28" i="17"/>
  <c r="F31" i="17" s="1"/>
  <c r="F25" i="18" s="1"/>
  <c r="Q12" i="18"/>
  <c r="I28" i="17"/>
  <c r="I31" i="17" s="1"/>
  <c r="I34" i="17" s="1"/>
  <c r="I32" i="18" s="1"/>
  <c r="G42" i="17"/>
  <c r="G19" i="18" s="1"/>
  <c r="D42" i="17"/>
  <c r="D45" i="17" s="1"/>
  <c r="D48" i="17" s="1"/>
  <c r="H28" i="17"/>
  <c r="H31" i="17" s="1"/>
  <c r="H34" i="17" s="1"/>
  <c r="H32" i="18" s="1"/>
  <c r="Q10" i="18"/>
  <c r="J28" i="17"/>
  <c r="J31" i="17" s="1"/>
  <c r="J34" i="17" s="1"/>
  <c r="O12" i="18"/>
  <c r="G12" i="18"/>
  <c r="I10" i="18"/>
  <c r="N12" i="18"/>
  <c r="P10" i="18"/>
  <c r="I42" i="17"/>
  <c r="I45" i="17" s="1"/>
  <c r="L9" i="19"/>
  <c r="V9" i="19" s="1"/>
  <c r="O10" i="18"/>
  <c r="R12" i="18"/>
  <c r="E42" i="17"/>
  <c r="E19" i="18" s="1"/>
  <c r="G28" i="17"/>
  <c r="G31" i="17" s="1"/>
  <c r="G34" i="17" s="1"/>
  <c r="G32" i="18" s="1"/>
  <c r="H42" i="17"/>
  <c r="E4" i="18"/>
  <c r="E6" i="18" s="1"/>
  <c r="J12" i="18"/>
  <c r="S12" i="18"/>
  <c r="E12" i="18"/>
  <c r="P12" i="18"/>
  <c r="F6" i="18"/>
  <c r="J6" i="18"/>
  <c r="I11" i="18"/>
  <c r="P11" i="18"/>
  <c r="F7" i="18"/>
  <c r="J11" i="18"/>
  <c r="G7" i="18"/>
  <c r="H7" i="18"/>
  <c r="O11" i="18"/>
  <c r="I7" i="18"/>
  <c r="H6" i="18"/>
  <c r="R11" i="18"/>
  <c r="V10" i="19"/>
  <c r="G11" i="18"/>
  <c r="G6" i="18"/>
  <c r="W10" i="19"/>
  <c r="I6" i="18"/>
  <c r="S11" i="18"/>
  <c r="H11" i="18"/>
  <c r="Q11" i="18"/>
  <c r="E11" i="18"/>
  <c r="S9" i="19"/>
  <c r="S14" i="19" s="1"/>
  <c r="X10" i="19"/>
  <c r="AA10" i="19"/>
  <c r="AA9" i="19"/>
  <c r="S10" i="19"/>
  <c r="T9" i="19"/>
  <c r="T11" i="19"/>
  <c r="V11" i="19"/>
  <c r="W11" i="19"/>
  <c r="S11" i="19"/>
  <c r="X11" i="19"/>
  <c r="U10" i="19"/>
  <c r="AA11" i="19"/>
  <c r="T10" i="19"/>
  <c r="M20" i="3"/>
  <c r="N20" i="3"/>
  <c r="K18" i="3"/>
  <c r="L18" i="3" s="1"/>
  <c r="M18" i="3" s="1"/>
  <c r="N18" i="3" s="1"/>
  <c r="K14" i="3"/>
  <c r="L14" i="3" s="1"/>
  <c r="M14" i="3" s="1"/>
  <c r="N14" i="3" s="1"/>
  <c r="J13" i="3"/>
  <c r="K3" i="12"/>
  <c r="K4" i="12" s="1"/>
  <c r="L5" i="12"/>
  <c r="M5" i="12" s="1"/>
  <c r="N5" i="12" s="1"/>
  <c r="O5" i="12" s="1"/>
  <c r="U5" i="19"/>
  <c r="W5" i="19"/>
  <c r="K5" i="19"/>
  <c r="P5" i="19"/>
  <c r="K16" i="3"/>
  <c r="L13" i="12"/>
  <c r="D18" i="12"/>
  <c r="F42" i="17"/>
  <c r="E28" i="17"/>
  <c r="E14" i="17"/>
  <c r="G14" i="17"/>
  <c r="H14" i="17"/>
  <c r="I14" i="17"/>
  <c r="F14" i="17"/>
  <c r="D14" i="17"/>
  <c r="D17" i="17" s="1"/>
  <c r="D20" i="17" s="1"/>
  <c r="K200" i="3"/>
  <c r="L200" i="3" s="1"/>
  <c r="M200" i="3" s="1"/>
  <c r="N200" i="3" s="1"/>
  <c r="G18" i="16"/>
  <c r="G17" i="16"/>
  <c r="G15" i="16"/>
  <c r="G14" i="16"/>
  <c r="D18" i="16"/>
  <c r="D15" i="16"/>
  <c r="D17" i="16" s="1"/>
  <c r="D14" i="16"/>
  <c r="F9" i="8"/>
  <c r="G9" i="8" s="1"/>
  <c r="H9" i="8" s="1"/>
  <c r="I9" i="8" s="1"/>
  <c r="J9" i="8" s="1"/>
  <c r="K9" i="8" s="1"/>
  <c r="L9" i="8" s="1"/>
  <c r="M9" i="8" s="1"/>
  <c r="N9" i="8" s="1"/>
  <c r="O9" i="8" s="1"/>
  <c r="O26" i="9"/>
  <c r="N26" i="9"/>
  <c r="M26" i="9"/>
  <c r="L26" i="9"/>
  <c r="K26" i="9"/>
  <c r="J26" i="9"/>
  <c r="J33" i="9"/>
  <c r="B57" i="6"/>
  <c r="B85" i="6"/>
  <c r="B74" i="6"/>
  <c r="B64" i="6"/>
  <c r="B44" i="6"/>
  <c r="B83" i="6"/>
  <c r="B82" i="6"/>
  <c r="B81" i="6"/>
  <c r="B79" i="6"/>
  <c r="B78" i="6"/>
  <c r="B77" i="6"/>
  <c r="B76" i="6"/>
  <c r="B75" i="6"/>
  <c r="B73" i="6"/>
  <c r="B70" i="6"/>
  <c r="B69" i="6"/>
  <c r="B68" i="6"/>
  <c r="B67" i="6"/>
  <c r="B66" i="6"/>
  <c r="B65" i="6"/>
  <c r="B63" i="6"/>
  <c r="B62" i="6"/>
  <c r="B59" i="6"/>
  <c r="B46" i="6"/>
  <c r="B45" i="6"/>
  <c r="B43" i="6"/>
  <c r="B42" i="6"/>
  <c r="B41" i="6"/>
  <c r="B40" i="6"/>
  <c r="B39" i="6"/>
  <c r="B38" i="6"/>
  <c r="B36" i="6"/>
  <c r="B34" i="6"/>
  <c r="B33" i="6"/>
  <c r="B31" i="6"/>
  <c r="B30" i="6"/>
  <c r="B29" i="6"/>
  <c r="B28" i="6"/>
  <c r="B27" i="6"/>
  <c r="B25" i="6"/>
  <c r="E36" i="4"/>
  <c r="D36" i="4"/>
  <c r="F36" i="4"/>
  <c r="H36" i="4"/>
  <c r="I36" i="4"/>
  <c r="G36" i="4"/>
  <c r="I37" i="4"/>
  <c r="E38" i="4"/>
  <c r="B24" i="6"/>
  <c r="B23" i="6"/>
  <c r="B21" i="6"/>
  <c r="B20" i="6"/>
  <c r="E8" i="6"/>
  <c r="F8" i="6" s="1"/>
  <c r="G8" i="6" s="1"/>
  <c r="H8" i="6" s="1"/>
  <c r="I8" i="6" s="1"/>
  <c r="J8" i="6" s="1"/>
  <c r="K8" i="6" s="1"/>
  <c r="L8" i="6" s="1"/>
  <c r="M8" i="6" s="1"/>
  <c r="N8" i="6" s="1"/>
  <c r="I89" i="7" l="1"/>
  <c r="I94" i="7"/>
  <c r="E89" i="7"/>
  <c r="E94" i="7"/>
  <c r="F89" i="7"/>
  <c r="F94" i="7"/>
  <c r="G89" i="7"/>
  <c r="G94" i="7"/>
  <c r="J89" i="7"/>
  <c r="J94" i="7"/>
  <c r="H89" i="7"/>
  <c r="H94" i="7"/>
  <c r="N11" i="18"/>
  <c r="S26" i="18"/>
  <c r="E7" i="18"/>
  <c r="J19" i="18"/>
  <c r="S32" i="18"/>
  <c r="Z10" i="19"/>
  <c r="H18" i="18"/>
  <c r="Z11" i="19"/>
  <c r="Z14" i="19" s="1"/>
  <c r="J26" i="18"/>
  <c r="F13" i="18"/>
  <c r="I25" i="18"/>
  <c r="F18" i="18"/>
  <c r="G13" i="18"/>
  <c r="J18" i="18"/>
  <c r="F34" i="17"/>
  <c r="P32" i="18" s="1"/>
  <c r="Q25" i="18"/>
  <c r="G25" i="18"/>
  <c r="G18" i="18"/>
  <c r="F14" i="18"/>
  <c r="E45" i="17"/>
  <c r="E48" i="17" s="1"/>
  <c r="E33" i="18" s="1"/>
  <c r="P18" i="18"/>
  <c r="R25" i="18"/>
  <c r="S25" i="18"/>
  <c r="S28" i="18" s="1"/>
  <c r="O10" i="19"/>
  <c r="Y10" i="19" s="1"/>
  <c r="Q32" i="18"/>
  <c r="J25" i="18"/>
  <c r="H25" i="18"/>
  <c r="S19" i="18"/>
  <c r="J32" i="18"/>
  <c r="J35" i="18" s="1"/>
  <c r="R32" i="18"/>
  <c r="I18" i="18"/>
  <c r="R18" i="18"/>
  <c r="G45" i="17"/>
  <c r="G48" i="17" s="1"/>
  <c r="G33" i="18" s="1"/>
  <c r="S18" i="18"/>
  <c r="G17" i="17"/>
  <c r="P17" i="18"/>
  <c r="G17" i="18"/>
  <c r="I19" i="18"/>
  <c r="R19" i="18"/>
  <c r="E17" i="17"/>
  <c r="E17" i="18"/>
  <c r="N17" i="18"/>
  <c r="F45" i="17"/>
  <c r="F19" i="18"/>
  <c r="O19" i="18"/>
  <c r="F17" i="17"/>
  <c r="F17" i="18"/>
  <c r="O17" i="18"/>
  <c r="P25" i="18"/>
  <c r="I48" i="17"/>
  <c r="I26" i="18"/>
  <c r="Q18" i="18"/>
  <c r="J13" i="18"/>
  <c r="I17" i="17"/>
  <c r="R17" i="18"/>
  <c r="I17" i="18"/>
  <c r="H17" i="17"/>
  <c r="H17" i="18"/>
  <c r="Q17" i="18"/>
  <c r="H45" i="17"/>
  <c r="Q19" i="18"/>
  <c r="H19" i="18"/>
  <c r="N14" i="18"/>
  <c r="H14" i="18"/>
  <c r="E14" i="18"/>
  <c r="I14" i="18"/>
  <c r="S15" i="19"/>
  <c r="E13" i="18"/>
  <c r="H13" i="18"/>
  <c r="G14" i="18"/>
  <c r="N13" i="18"/>
  <c r="I13" i="18"/>
  <c r="R13" i="18"/>
  <c r="R14" i="18"/>
  <c r="O14" i="18"/>
  <c r="O13" i="18"/>
  <c r="S14" i="18"/>
  <c r="S13" i="18"/>
  <c r="P14" i="18"/>
  <c r="P13" i="18"/>
  <c r="E31" i="17"/>
  <c r="E18" i="18"/>
  <c r="Q14" i="18"/>
  <c r="Q13" i="18"/>
  <c r="W13" i="19"/>
  <c r="W12" i="19"/>
  <c r="J14" i="18"/>
  <c r="F32" i="18"/>
  <c r="O18" i="18"/>
  <c r="D31" i="17"/>
  <c r="N18" i="18"/>
  <c r="S12" i="19"/>
  <c r="V17" i="19"/>
  <c r="X16" i="19"/>
  <c r="X13" i="19"/>
  <c r="X17" i="19"/>
  <c r="U14" i="19"/>
  <c r="W16" i="19"/>
  <c r="V14" i="19"/>
  <c r="V16" i="19"/>
  <c r="V12" i="19"/>
  <c r="S17" i="19"/>
  <c r="W17" i="19"/>
  <c r="T12" i="19"/>
  <c r="W14" i="19"/>
  <c r="S13" i="19"/>
  <c r="S16" i="19"/>
  <c r="AA14" i="19"/>
  <c r="X14" i="19"/>
  <c r="AA13" i="19"/>
  <c r="X12" i="19"/>
  <c r="V15" i="19"/>
  <c r="U13" i="19"/>
  <c r="V13" i="19"/>
  <c r="X15" i="19"/>
  <c r="AA15" i="19"/>
  <c r="T17" i="19"/>
  <c r="T14" i="19"/>
  <c r="Z17" i="19"/>
  <c r="T16" i="19"/>
  <c r="U16" i="19"/>
  <c r="T13" i="19"/>
  <c r="AA12" i="19"/>
  <c r="T15" i="19"/>
  <c r="AA17" i="19"/>
  <c r="AA16" i="19"/>
  <c r="U15" i="19"/>
  <c r="U12" i="19"/>
  <c r="U17" i="19"/>
  <c r="W15" i="19"/>
  <c r="Z13" i="19"/>
  <c r="Z16" i="19"/>
  <c r="AA5" i="19"/>
  <c r="X5" i="19"/>
  <c r="N5" i="19"/>
  <c r="Q5" i="19"/>
  <c r="L16" i="3"/>
  <c r="K13" i="3"/>
  <c r="M13" i="12"/>
  <c r="L3" i="12"/>
  <c r="L4" i="12" s="1"/>
  <c r="K25" i="8"/>
  <c r="H21" i="15"/>
  <c r="J133" i="12"/>
  <c r="I133" i="12"/>
  <c r="H133" i="12"/>
  <c r="G133" i="12"/>
  <c r="F133" i="12"/>
  <c r="E133" i="12"/>
  <c r="G47" i="15"/>
  <c r="G73" i="15"/>
  <c r="G72" i="15"/>
  <c r="J62" i="15"/>
  <c r="I62" i="15"/>
  <c r="J61" i="15"/>
  <c r="I61" i="15"/>
  <c r="G59" i="15"/>
  <c r="G58" i="15"/>
  <c r="M73" i="15"/>
  <c r="M72" i="15"/>
  <c r="M71" i="15"/>
  <c r="G45" i="15"/>
  <c r="G44" i="15"/>
  <c r="M59" i="15"/>
  <c r="M58" i="15"/>
  <c r="M57" i="15"/>
  <c r="M45" i="15"/>
  <c r="M44" i="15"/>
  <c r="M43" i="15"/>
  <c r="J48" i="15"/>
  <c r="I48" i="15"/>
  <c r="H48" i="15"/>
  <c r="J47" i="15"/>
  <c r="I47" i="15"/>
  <c r="F18" i="15"/>
  <c r="E18" i="15"/>
  <c r="D18" i="15"/>
  <c r="F17" i="15"/>
  <c r="E17" i="15"/>
  <c r="D17" i="15"/>
  <c r="F14" i="15"/>
  <c r="E14" i="15"/>
  <c r="F13" i="15"/>
  <c r="E13" i="15"/>
  <c r="D14" i="15"/>
  <c r="D13" i="15"/>
  <c r="F7" i="15"/>
  <c r="E6" i="15"/>
  <c r="E8" i="16" s="1"/>
  <c r="G16" i="16" s="1"/>
  <c r="G19" i="16" s="1"/>
  <c r="F6" i="15"/>
  <c r="B2" i="11"/>
  <c r="B2" i="10"/>
  <c r="B2" i="9"/>
  <c r="B2" i="8"/>
  <c r="B2" i="7"/>
  <c r="B2" i="6"/>
  <c r="B2" i="4"/>
  <c r="B2" i="3"/>
  <c r="B2" i="15"/>
  <c r="B38" i="15" s="1"/>
  <c r="K2" i="12"/>
  <c r="L2" i="12" s="1"/>
  <c r="M2" i="12" s="1"/>
  <c r="N2" i="12" s="1"/>
  <c r="O2" i="12" s="1"/>
  <c r="C10" i="13"/>
  <c r="C11" i="13"/>
  <c r="E7" i="15" s="1"/>
  <c r="B10" i="13"/>
  <c r="D85" i="14"/>
  <c r="F83" i="14"/>
  <c r="F82" i="14"/>
  <c r="F81" i="14"/>
  <c r="F80" i="14"/>
  <c r="F79" i="14"/>
  <c r="F78" i="14"/>
  <c r="F77" i="14"/>
  <c r="F76" i="14"/>
  <c r="F75" i="14"/>
  <c r="F74" i="14"/>
  <c r="F73" i="14"/>
  <c r="F72" i="14"/>
  <c r="F71" i="14"/>
  <c r="F70" i="14"/>
  <c r="F69" i="14"/>
  <c r="F68" i="14"/>
  <c r="F67" i="14"/>
  <c r="F66" i="14"/>
  <c r="F65" i="14"/>
  <c r="F64" i="14"/>
  <c r="F63" i="14"/>
  <c r="F62" i="14"/>
  <c r="F61" i="14"/>
  <c r="F60" i="14"/>
  <c r="F59" i="14"/>
  <c r="F58" i="14"/>
  <c r="F57" i="14"/>
  <c r="F56" i="14"/>
  <c r="F55" i="14"/>
  <c r="F54" i="14"/>
  <c r="F53" i="14"/>
  <c r="F52" i="14"/>
  <c r="F51" i="14"/>
  <c r="F50" i="14"/>
  <c r="F49" i="14"/>
  <c r="F48" i="14"/>
  <c r="F47" i="14"/>
  <c r="F46" i="14"/>
  <c r="F45" i="14"/>
  <c r="F44" i="14"/>
  <c r="F43" i="14"/>
  <c r="F42" i="14"/>
  <c r="F41" i="14"/>
  <c r="F40" i="14"/>
  <c r="F39" i="14"/>
  <c r="F38" i="14"/>
  <c r="F37" i="14"/>
  <c r="F36" i="14"/>
  <c r="F35" i="14"/>
  <c r="F34" i="14"/>
  <c r="F33" i="14"/>
  <c r="F32" i="14"/>
  <c r="F31" i="14"/>
  <c r="F30" i="14"/>
  <c r="F29" i="14"/>
  <c r="F28" i="14"/>
  <c r="F27" i="14"/>
  <c r="F26" i="14"/>
  <c r="F25" i="14"/>
  <c r="F24" i="14"/>
  <c r="F23" i="14"/>
  <c r="F22" i="14"/>
  <c r="F21" i="14"/>
  <c r="F20" i="14"/>
  <c r="F19" i="14"/>
  <c r="F18" i="14"/>
  <c r="F17" i="14"/>
  <c r="F16" i="14"/>
  <c r="F15" i="14"/>
  <c r="F14" i="14"/>
  <c r="F13" i="14"/>
  <c r="F12" i="14"/>
  <c r="F11" i="14"/>
  <c r="F10" i="14"/>
  <c r="F9" i="14"/>
  <c r="F8" i="14"/>
  <c r="F7" i="14"/>
  <c r="F6" i="14"/>
  <c r="F5" i="14"/>
  <c r="F4" i="14"/>
  <c r="F3" i="14"/>
  <c r="E85" i="14"/>
  <c r="G61" i="15" l="1"/>
  <c r="G48" i="15"/>
  <c r="G50" i="15" a="1"/>
  <c r="G50" i="15" s="1"/>
  <c r="Z12" i="19"/>
  <c r="Z15" i="19"/>
  <c r="J21" i="18"/>
  <c r="J28" i="18"/>
  <c r="E26" i="18"/>
  <c r="R21" i="18"/>
  <c r="S20" i="18"/>
  <c r="J20" i="18"/>
  <c r="J27" i="18"/>
  <c r="S27" i="18"/>
  <c r="P26" i="18"/>
  <c r="I21" i="18"/>
  <c r="S21" i="18"/>
  <c r="I20" i="18"/>
  <c r="J34" i="18"/>
  <c r="G26" i="18"/>
  <c r="H48" i="17"/>
  <c r="R33" i="18" s="1"/>
  <c r="H26" i="18"/>
  <c r="Q26" i="18"/>
  <c r="H20" i="17"/>
  <c r="Q24" i="18"/>
  <c r="H24" i="18"/>
  <c r="Q20" i="18"/>
  <c r="G20" i="17"/>
  <c r="G24" i="18"/>
  <c r="P24" i="18"/>
  <c r="Y11" i="19"/>
  <c r="I33" i="18"/>
  <c r="S33" i="18"/>
  <c r="E20" i="17"/>
  <c r="E24" i="18"/>
  <c r="N24" i="18"/>
  <c r="F48" i="17"/>
  <c r="O26" i="18"/>
  <c r="F26" i="18"/>
  <c r="R26" i="18"/>
  <c r="P21" i="18"/>
  <c r="F20" i="17"/>
  <c r="F24" i="18"/>
  <c r="O24" i="18"/>
  <c r="H20" i="18"/>
  <c r="G21" i="18"/>
  <c r="I20" i="17"/>
  <c r="R24" i="18"/>
  <c r="I24" i="18"/>
  <c r="H21" i="18"/>
  <c r="F21" i="18"/>
  <c r="Q21" i="18"/>
  <c r="F20" i="18"/>
  <c r="R20" i="18"/>
  <c r="G20" i="18"/>
  <c r="P20" i="18"/>
  <c r="O20" i="18"/>
  <c r="O21" i="18"/>
  <c r="E20" i="18"/>
  <c r="E21" i="18"/>
  <c r="E34" i="17"/>
  <c r="E25" i="18"/>
  <c r="O25" i="18"/>
  <c r="N21" i="18"/>
  <c r="N20" i="18"/>
  <c r="D34" i="17"/>
  <c r="N25" i="18"/>
  <c r="M16" i="3"/>
  <c r="L13" i="3"/>
  <c r="N13" i="12"/>
  <c r="M3" i="12"/>
  <c r="M4" i="12" s="1"/>
  <c r="L25" i="8"/>
  <c r="I75" i="15"/>
  <c r="I76" i="15"/>
  <c r="G71" i="15"/>
  <c r="G78" i="15" s="1" a="1"/>
  <c r="G78" i="15" s="1"/>
  <c r="D7" i="15"/>
  <c r="H16" i="15" s="1"/>
  <c r="D6" i="15"/>
  <c r="G51" i="15" a="1"/>
  <c r="G51" i="15" s="1"/>
  <c r="J79" i="15" a="1"/>
  <c r="J79" i="15" s="1"/>
  <c r="G75" i="15"/>
  <c r="D19" i="15"/>
  <c r="E19" i="15"/>
  <c r="H65" i="15" a="1"/>
  <c r="H65" i="15" s="1"/>
  <c r="J64" i="15" a="1"/>
  <c r="J64" i="15" s="1"/>
  <c r="F19" i="15"/>
  <c r="I65" i="15" a="1"/>
  <c r="I65" i="15" s="1"/>
  <c r="I78" i="15" a="1"/>
  <c r="I78" i="15" s="1"/>
  <c r="G65" i="15" a="1"/>
  <c r="G65" i="15" s="1"/>
  <c r="J65" i="15" a="1"/>
  <c r="J65" i="15" s="1"/>
  <c r="G79" i="15" a="1"/>
  <c r="G79" i="15" s="1"/>
  <c r="C81" i="15" s="1"/>
  <c r="C13" i="13" s="1"/>
  <c r="G64" i="15" a="1"/>
  <c r="G64" i="15" s="1"/>
  <c r="J78" i="15" a="1"/>
  <c r="J78" i="15" s="1"/>
  <c r="H78" i="15" a="1"/>
  <c r="H78" i="15" s="1"/>
  <c r="H64" i="15" a="1"/>
  <c r="H64" i="15" s="1"/>
  <c r="H79" i="15" a="1"/>
  <c r="H79" i="15" s="1"/>
  <c r="I64" i="15" a="1"/>
  <c r="I64" i="15" s="1"/>
  <c r="I79" i="15" a="1"/>
  <c r="I79" i="15" s="1"/>
  <c r="G62" i="15"/>
  <c r="J51" i="15" a="1"/>
  <c r="J51" i="15" s="1"/>
  <c r="I50" i="15" a="1"/>
  <c r="I50" i="15" s="1"/>
  <c r="H50" i="15" a="1"/>
  <c r="H50" i="15" s="1"/>
  <c r="J50" i="15" a="1"/>
  <c r="J50" i="15" s="1"/>
  <c r="H51" i="15" a="1"/>
  <c r="H51" i="15" s="1"/>
  <c r="I51" i="15" a="1"/>
  <c r="I51" i="15" s="1"/>
  <c r="F85" i="14"/>
  <c r="F84" i="14"/>
  <c r="G76" i="15" l="1"/>
  <c r="D8" i="15"/>
  <c r="E8" i="15"/>
  <c r="F8" i="15"/>
  <c r="S35" i="18"/>
  <c r="S34" i="18"/>
  <c r="N31" i="18"/>
  <c r="E31" i="18"/>
  <c r="O31" i="18"/>
  <c r="F31" i="18"/>
  <c r="O9" i="19"/>
  <c r="I31" i="18"/>
  <c r="R31" i="18"/>
  <c r="F33" i="18"/>
  <c r="O33" i="18"/>
  <c r="P33" i="18"/>
  <c r="G31" i="18"/>
  <c r="P31" i="18"/>
  <c r="Q31" i="18"/>
  <c r="H31" i="18"/>
  <c r="H33" i="18"/>
  <c r="Q33" i="18"/>
  <c r="G28" i="18"/>
  <c r="G27" i="18"/>
  <c r="I28" i="18"/>
  <c r="I27" i="18"/>
  <c r="P28" i="18"/>
  <c r="P27" i="18"/>
  <c r="R27" i="18"/>
  <c r="R28" i="18"/>
  <c r="H27" i="18"/>
  <c r="H28" i="18"/>
  <c r="F28" i="18"/>
  <c r="F27" i="18"/>
  <c r="Q28" i="18"/>
  <c r="Q27" i="18"/>
  <c r="O28" i="18"/>
  <c r="O27" i="18"/>
  <c r="E28" i="18"/>
  <c r="E27" i="18"/>
  <c r="E32" i="18"/>
  <c r="O32" i="18"/>
  <c r="N32" i="18"/>
  <c r="N28" i="18"/>
  <c r="N27" i="18"/>
  <c r="N16" i="3"/>
  <c r="N13" i="3" s="1"/>
  <c r="M13" i="3"/>
  <c r="O13" i="12"/>
  <c r="O3" i="12" s="1"/>
  <c r="N3" i="12"/>
  <c r="N4" i="12" s="1"/>
  <c r="C5" i="13"/>
  <c r="I113" i="3"/>
  <c r="J49" i="3"/>
  <c r="I51" i="3"/>
  <c r="I180" i="3"/>
  <c r="J180" i="3" s="1"/>
  <c r="K180" i="3" s="1"/>
  <c r="L180" i="3" s="1"/>
  <c r="M180" i="3" s="1"/>
  <c r="N180" i="3" s="1"/>
  <c r="E180" i="3"/>
  <c r="K193" i="4"/>
  <c r="L193" i="4" s="1"/>
  <c r="M193" i="4" s="1"/>
  <c r="N193" i="4" s="1"/>
  <c r="I125" i="3"/>
  <c r="H125" i="3"/>
  <c r="G125" i="3"/>
  <c r="E125" i="3"/>
  <c r="F125" i="3"/>
  <c r="I127" i="3"/>
  <c r="D125" i="3"/>
  <c r="D123" i="3"/>
  <c r="I250" i="3"/>
  <c r="J250" i="3" s="1"/>
  <c r="H250" i="3"/>
  <c r="G250" i="3"/>
  <c r="F250" i="3"/>
  <c r="E250" i="3"/>
  <c r="D250" i="3"/>
  <c r="I244" i="3"/>
  <c r="H244" i="3"/>
  <c r="G244" i="3"/>
  <c r="F244" i="3"/>
  <c r="E244" i="3"/>
  <c r="D244" i="3"/>
  <c r="G243" i="3"/>
  <c r="F243" i="3"/>
  <c r="E243" i="3"/>
  <c r="D243" i="3"/>
  <c r="H243" i="3"/>
  <c r="I243" i="3"/>
  <c r="I226" i="3"/>
  <c r="H226" i="3"/>
  <c r="G226" i="3"/>
  <c r="F226" i="3"/>
  <c r="E226" i="3"/>
  <c r="D226" i="3"/>
  <c r="I220" i="3"/>
  <c r="H220" i="3"/>
  <c r="G220" i="3"/>
  <c r="F220" i="3"/>
  <c r="E220" i="3"/>
  <c r="D220" i="3"/>
  <c r="I214" i="3"/>
  <c r="J214" i="3" s="1"/>
  <c r="K214" i="3" s="1"/>
  <c r="L214" i="3" s="1"/>
  <c r="M214" i="3" s="1"/>
  <c r="N214" i="3" s="1"/>
  <c r="H214" i="3"/>
  <c r="G214" i="3"/>
  <c r="F214" i="3"/>
  <c r="E214" i="3"/>
  <c r="D214" i="3"/>
  <c r="I210" i="3"/>
  <c r="H210" i="3"/>
  <c r="G210" i="3"/>
  <c r="F210" i="3"/>
  <c r="E210" i="3"/>
  <c r="D210" i="3"/>
  <c r="O54" i="9"/>
  <c r="I114" i="3"/>
  <c r="I201" i="3"/>
  <c r="H201" i="3"/>
  <c r="G201" i="3"/>
  <c r="F201" i="3"/>
  <c r="E201" i="3"/>
  <c r="D201" i="3"/>
  <c r="D204" i="3" s="1"/>
  <c r="J104" i="12"/>
  <c r="J105" i="12" s="1"/>
  <c r="I104" i="12"/>
  <c r="I105" i="12" s="1"/>
  <c r="H104" i="12"/>
  <c r="H106" i="12" s="1"/>
  <c r="G104" i="12"/>
  <c r="G106" i="12" s="1"/>
  <c r="F104" i="12"/>
  <c r="F105" i="12" s="1"/>
  <c r="E104" i="12"/>
  <c r="E106" i="12" s="1"/>
  <c r="J94" i="12"/>
  <c r="J96" i="12" s="1"/>
  <c r="I94" i="12"/>
  <c r="I96" i="12" s="1"/>
  <c r="H94" i="12"/>
  <c r="H96" i="12" s="1"/>
  <c r="G94" i="12"/>
  <c r="G96" i="12" s="1"/>
  <c r="F94" i="12"/>
  <c r="F95" i="12" s="1"/>
  <c r="E94" i="12"/>
  <c r="E95" i="12" s="1"/>
  <c r="E109" i="12"/>
  <c r="J109" i="12"/>
  <c r="I109" i="12"/>
  <c r="H109" i="12"/>
  <c r="G109" i="12"/>
  <c r="F109" i="12"/>
  <c r="J108" i="12"/>
  <c r="I108" i="12"/>
  <c r="H108" i="12"/>
  <c r="G108" i="12"/>
  <c r="F108" i="12"/>
  <c r="E108" i="12"/>
  <c r="H110" i="12"/>
  <c r="G110" i="12"/>
  <c r="F110" i="12"/>
  <c r="E110" i="12"/>
  <c r="I110" i="12"/>
  <c r="J110" i="12"/>
  <c r="P51" i="10"/>
  <c r="I87" i="4"/>
  <c r="H91" i="4"/>
  <c r="G91" i="4"/>
  <c r="F91" i="4"/>
  <c r="E91" i="4"/>
  <c r="D91" i="4"/>
  <c r="I201" i="4"/>
  <c r="H201" i="4"/>
  <c r="G201" i="4"/>
  <c r="F201" i="4"/>
  <c r="E201" i="4"/>
  <c r="D201" i="4"/>
  <c r="D200" i="4"/>
  <c r="I196" i="4"/>
  <c r="H196" i="4"/>
  <c r="G196" i="4"/>
  <c r="F196" i="4"/>
  <c r="E196" i="4"/>
  <c r="D196" i="4"/>
  <c r="I195" i="4"/>
  <c r="H195" i="4"/>
  <c r="G195" i="4"/>
  <c r="F195" i="4"/>
  <c r="E195" i="4"/>
  <c r="D195" i="4"/>
  <c r="I194" i="4"/>
  <c r="H194" i="4"/>
  <c r="G194" i="4"/>
  <c r="F194" i="4"/>
  <c r="E194" i="4"/>
  <c r="D194" i="4"/>
  <c r="I193" i="4"/>
  <c r="H193" i="4"/>
  <c r="G193" i="4"/>
  <c r="F193" i="4"/>
  <c r="E193" i="4"/>
  <c r="D193" i="4"/>
  <c r="I192" i="4"/>
  <c r="H192" i="4"/>
  <c r="G192" i="4"/>
  <c r="F192" i="4"/>
  <c r="E192" i="4"/>
  <c r="D192" i="4"/>
  <c r="I191" i="4"/>
  <c r="H191" i="4"/>
  <c r="G191" i="4"/>
  <c r="F191" i="4"/>
  <c r="E191" i="4"/>
  <c r="D191" i="4"/>
  <c r="I190" i="4"/>
  <c r="H190" i="4"/>
  <c r="G190" i="4"/>
  <c r="F190" i="4"/>
  <c r="E190" i="4"/>
  <c r="D190" i="4"/>
  <c r="I189" i="4"/>
  <c r="H189" i="4"/>
  <c r="G189" i="4"/>
  <c r="F189" i="4"/>
  <c r="E189" i="4"/>
  <c r="D189" i="4"/>
  <c r="I188" i="4"/>
  <c r="H188" i="4"/>
  <c r="I90" i="7" s="1"/>
  <c r="G188" i="4"/>
  <c r="H90" i="7" s="1"/>
  <c r="F188" i="4"/>
  <c r="G90" i="7" s="1"/>
  <c r="E188" i="4"/>
  <c r="F90" i="7" s="1"/>
  <c r="D188" i="4"/>
  <c r="E90" i="7" s="1"/>
  <c r="D63" i="11"/>
  <c r="I184" i="4"/>
  <c r="H184" i="4"/>
  <c r="G184" i="4"/>
  <c r="F184" i="4"/>
  <c r="E184" i="4"/>
  <c r="D184" i="4"/>
  <c r="I183" i="4"/>
  <c r="J22" i="8" s="1"/>
  <c r="H183" i="4"/>
  <c r="I22" i="8" s="1"/>
  <c r="G183" i="4"/>
  <c r="H22" i="8" s="1"/>
  <c r="F183" i="4"/>
  <c r="G22" i="8" s="1"/>
  <c r="E183" i="4"/>
  <c r="F22" i="8" s="1"/>
  <c r="D183" i="4"/>
  <c r="E22" i="8" s="1"/>
  <c r="I182" i="4"/>
  <c r="H182" i="4"/>
  <c r="G182" i="4"/>
  <c r="F182" i="4"/>
  <c r="E182" i="4"/>
  <c r="D182" i="4"/>
  <c r="I181" i="4"/>
  <c r="J181" i="4" s="1"/>
  <c r="K181" i="4" s="1"/>
  <c r="L181" i="4" s="1"/>
  <c r="M181" i="4" s="1"/>
  <c r="N181" i="4" s="1"/>
  <c r="H181" i="4"/>
  <c r="G181" i="4"/>
  <c r="F181" i="4"/>
  <c r="E181" i="4"/>
  <c r="D181" i="4"/>
  <c r="I180" i="4"/>
  <c r="J180" i="4" s="1"/>
  <c r="K180" i="4" s="1"/>
  <c r="L180" i="4" s="1"/>
  <c r="M180" i="4" s="1"/>
  <c r="N180" i="4" s="1"/>
  <c r="H180" i="4"/>
  <c r="G180" i="4"/>
  <c r="F180" i="4"/>
  <c r="E180" i="4"/>
  <c r="D180" i="4"/>
  <c r="I179" i="4"/>
  <c r="J179" i="4" s="1"/>
  <c r="K179" i="4" s="1"/>
  <c r="L179" i="4" s="1"/>
  <c r="M179" i="4" s="1"/>
  <c r="N179" i="4" s="1"/>
  <c r="H179" i="4"/>
  <c r="G179" i="4"/>
  <c r="F179" i="4"/>
  <c r="E179" i="4"/>
  <c r="D179" i="4"/>
  <c r="I178" i="4"/>
  <c r="J178" i="4" s="1"/>
  <c r="K178" i="4" s="1"/>
  <c r="L178" i="4" s="1"/>
  <c r="M178" i="4" s="1"/>
  <c r="N178" i="4" s="1"/>
  <c r="H178" i="4"/>
  <c r="G178" i="4"/>
  <c r="F178" i="4"/>
  <c r="E178" i="4"/>
  <c r="D178" i="4"/>
  <c r="I177" i="4"/>
  <c r="J177" i="4" s="1"/>
  <c r="K177" i="4" s="1"/>
  <c r="L177" i="4" s="1"/>
  <c r="M177" i="4" s="1"/>
  <c r="N177" i="4" s="1"/>
  <c r="H177" i="4"/>
  <c r="G177" i="4"/>
  <c r="F177" i="4"/>
  <c r="E177" i="4"/>
  <c r="D177" i="4"/>
  <c r="I176" i="4"/>
  <c r="J176" i="4" s="1"/>
  <c r="K176" i="4" s="1"/>
  <c r="L176" i="4" s="1"/>
  <c r="M176" i="4" s="1"/>
  <c r="N176" i="4" s="1"/>
  <c r="H176" i="4"/>
  <c r="G176" i="4"/>
  <c r="F176" i="4"/>
  <c r="E176" i="4"/>
  <c r="D176" i="4"/>
  <c r="O37" i="10"/>
  <c r="I172" i="4"/>
  <c r="H172" i="4"/>
  <c r="G172" i="4"/>
  <c r="F172" i="4"/>
  <c r="E172" i="4"/>
  <c r="D172" i="4"/>
  <c r="I167" i="4"/>
  <c r="H167" i="4"/>
  <c r="G167" i="4"/>
  <c r="F167" i="4"/>
  <c r="E167" i="4"/>
  <c r="D167" i="4"/>
  <c r="I166" i="4"/>
  <c r="H166" i="4"/>
  <c r="G166" i="4"/>
  <c r="F166" i="4"/>
  <c r="E166" i="4"/>
  <c r="D166" i="4"/>
  <c r="I165" i="4"/>
  <c r="H165" i="4"/>
  <c r="G165" i="4"/>
  <c r="F165" i="4"/>
  <c r="E165" i="4"/>
  <c r="D165" i="4"/>
  <c r="I164" i="4"/>
  <c r="H164" i="4"/>
  <c r="G164" i="4"/>
  <c r="F164" i="4"/>
  <c r="E164" i="4"/>
  <c r="D164" i="4"/>
  <c r="I152" i="4"/>
  <c r="J152" i="4" s="1"/>
  <c r="K152" i="4" s="1"/>
  <c r="H152" i="4"/>
  <c r="G152" i="4"/>
  <c r="F152" i="4"/>
  <c r="E152" i="4"/>
  <c r="D152" i="4"/>
  <c r="I132" i="4"/>
  <c r="H132" i="4"/>
  <c r="G132" i="4"/>
  <c r="F132" i="4"/>
  <c r="E132" i="4"/>
  <c r="D132" i="4"/>
  <c r="I159" i="4"/>
  <c r="H159" i="4"/>
  <c r="G159" i="4"/>
  <c r="F159" i="4"/>
  <c r="E159" i="4"/>
  <c r="D159" i="4"/>
  <c r="I148" i="4"/>
  <c r="H148" i="4"/>
  <c r="G148" i="4"/>
  <c r="F148" i="4"/>
  <c r="E148" i="4"/>
  <c r="D148" i="4"/>
  <c r="I143" i="4"/>
  <c r="H143" i="4"/>
  <c r="G143" i="4"/>
  <c r="F143" i="4"/>
  <c r="E143" i="4"/>
  <c r="D143" i="4"/>
  <c r="I137" i="4"/>
  <c r="H137" i="4"/>
  <c r="G137" i="4"/>
  <c r="F137" i="4"/>
  <c r="E137" i="4"/>
  <c r="D137" i="4"/>
  <c r="I129" i="4"/>
  <c r="H129" i="4"/>
  <c r="G129" i="4"/>
  <c r="F129" i="4"/>
  <c r="E129" i="4"/>
  <c r="D129" i="4"/>
  <c r="I125" i="4"/>
  <c r="H125" i="4"/>
  <c r="G125" i="4"/>
  <c r="F125" i="4"/>
  <c r="E125" i="4"/>
  <c r="D125" i="4"/>
  <c r="I119" i="4"/>
  <c r="H119" i="4"/>
  <c r="G119" i="4"/>
  <c r="F119" i="4"/>
  <c r="E119" i="4"/>
  <c r="D119" i="4"/>
  <c r="D115" i="4"/>
  <c r="I115" i="4"/>
  <c r="H115" i="4"/>
  <c r="G115" i="4"/>
  <c r="F115" i="4"/>
  <c r="E115" i="4"/>
  <c r="I41" i="4"/>
  <c r="J16" i="8" s="1"/>
  <c r="H41" i="4"/>
  <c r="I16" i="8" s="1"/>
  <c r="G41" i="4"/>
  <c r="H16" i="8" s="1"/>
  <c r="F41" i="4"/>
  <c r="E41" i="4"/>
  <c r="D41" i="4"/>
  <c r="I116" i="3"/>
  <c r="H116" i="3"/>
  <c r="G116" i="3"/>
  <c r="F116" i="3"/>
  <c r="E116" i="3"/>
  <c r="D116" i="3"/>
  <c r="P53" i="9"/>
  <c r="H114" i="3"/>
  <c r="H113" i="3"/>
  <c r="G114" i="3"/>
  <c r="G113" i="3"/>
  <c r="F114" i="3"/>
  <c r="F113" i="3"/>
  <c r="E114" i="3"/>
  <c r="E113" i="3"/>
  <c r="D114" i="3"/>
  <c r="D113" i="3"/>
  <c r="I156" i="3"/>
  <c r="I151" i="3"/>
  <c r="I146" i="3"/>
  <c r="I134" i="3"/>
  <c r="I140" i="3"/>
  <c r="J35" i="10"/>
  <c r="I92" i="4"/>
  <c r="H92" i="4"/>
  <c r="G92" i="4"/>
  <c r="F92" i="4"/>
  <c r="E92" i="4"/>
  <c r="I90" i="4"/>
  <c r="H90" i="4"/>
  <c r="G90" i="4"/>
  <c r="F90" i="4"/>
  <c r="E90" i="4"/>
  <c r="I89" i="4"/>
  <c r="H89" i="4"/>
  <c r="G89" i="4"/>
  <c r="F89" i="4"/>
  <c r="E89" i="4"/>
  <c r="I88" i="4"/>
  <c r="H88" i="4"/>
  <c r="G88" i="4"/>
  <c r="F88" i="4"/>
  <c r="E88" i="4"/>
  <c r="D92" i="4"/>
  <c r="D90" i="4"/>
  <c r="D89" i="4"/>
  <c r="D88" i="4"/>
  <c r="H87" i="4"/>
  <c r="G87" i="4"/>
  <c r="F87" i="4"/>
  <c r="E87" i="4"/>
  <c r="D87" i="4"/>
  <c r="I96" i="4"/>
  <c r="H96" i="4"/>
  <c r="G96" i="4"/>
  <c r="F96" i="4"/>
  <c r="E96" i="4"/>
  <c r="I95" i="4"/>
  <c r="H95" i="4"/>
  <c r="G95" i="4"/>
  <c r="F95" i="4"/>
  <c r="E95" i="4"/>
  <c r="F31" i="7" s="1"/>
  <c r="D96" i="4"/>
  <c r="D95" i="4"/>
  <c r="E31" i="7" s="1"/>
  <c r="I55" i="4"/>
  <c r="J55" i="4" s="1"/>
  <c r="K55" i="4" s="1"/>
  <c r="L55" i="4" s="1"/>
  <c r="M55" i="4" s="1"/>
  <c r="N55" i="4" s="1"/>
  <c r="H55" i="4"/>
  <c r="G55" i="4"/>
  <c r="F55" i="4"/>
  <c r="E55" i="4"/>
  <c r="D55" i="4"/>
  <c r="I54" i="4"/>
  <c r="H54" i="4"/>
  <c r="J115" i="12" s="1"/>
  <c r="G54" i="4"/>
  <c r="I115" i="12" s="1"/>
  <c r="F54" i="4"/>
  <c r="H115" i="12" s="1"/>
  <c r="E54" i="4"/>
  <c r="G115" i="12" s="1"/>
  <c r="D54" i="4"/>
  <c r="F115" i="12" s="1"/>
  <c r="G31" i="7" l="1"/>
  <c r="H31" i="7"/>
  <c r="E16" i="8"/>
  <c r="J188" i="4"/>
  <c r="J90" i="7"/>
  <c r="J31" i="7"/>
  <c r="G16" i="8"/>
  <c r="I31" i="7"/>
  <c r="F16" i="8"/>
  <c r="H11" i="15"/>
  <c r="N35" i="18"/>
  <c r="Q35" i="18"/>
  <c r="Q34" i="18"/>
  <c r="G35" i="18"/>
  <c r="G34" i="18"/>
  <c r="H34" i="18"/>
  <c r="H35" i="18"/>
  <c r="P34" i="18"/>
  <c r="P35" i="18"/>
  <c r="Y12" i="19"/>
  <c r="Y14" i="19"/>
  <c r="Y17" i="19"/>
  <c r="Y13" i="19"/>
  <c r="Y16" i="19"/>
  <c r="I34" i="18"/>
  <c r="I35" i="18"/>
  <c r="F35" i="18"/>
  <c r="F34" i="18"/>
  <c r="R34" i="18"/>
  <c r="R35" i="18"/>
  <c r="N34" i="18"/>
  <c r="O35" i="18"/>
  <c r="O34" i="18"/>
  <c r="E35" i="18"/>
  <c r="E34" i="18"/>
  <c r="O4" i="12"/>
  <c r="J201" i="3"/>
  <c r="J204" i="3" s="1"/>
  <c r="K250" i="3"/>
  <c r="L250" i="3" s="1"/>
  <c r="M250" i="3" s="1"/>
  <c r="N250" i="3" s="1"/>
  <c r="N251" i="3" s="1"/>
  <c r="J251" i="3"/>
  <c r="I170" i="4"/>
  <c r="K115" i="12"/>
  <c r="C42" i="8"/>
  <c r="D170" i="4"/>
  <c r="E21" i="8" s="1"/>
  <c r="E170" i="4"/>
  <c r="F21" i="8" s="1"/>
  <c r="G128" i="12"/>
  <c r="H128" i="12"/>
  <c r="E128" i="12"/>
  <c r="I128" i="12"/>
  <c r="H170" i="4"/>
  <c r="I21" i="8" s="1"/>
  <c r="J95" i="4"/>
  <c r="K95" i="4" s="1"/>
  <c r="L95" i="4" s="1"/>
  <c r="M95" i="4" s="1"/>
  <c r="N95" i="4" s="1"/>
  <c r="J128" i="12"/>
  <c r="F128" i="12"/>
  <c r="I111" i="12"/>
  <c r="G105" i="12"/>
  <c r="I106" i="12"/>
  <c r="J106" i="12"/>
  <c r="J111" i="12"/>
  <c r="E96" i="12"/>
  <c r="H111" i="12"/>
  <c r="E105" i="12"/>
  <c r="H105" i="12"/>
  <c r="F96" i="12"/>
  <c r="E111" i="12"/>
  <c r="G111" i="12"/>
  <c r="F111" i="12"/>
  <c r="J21" i="8"/>
  <c r="F170" i="4"/>
  <c r="G21" i="8" s="1"/>
  <c r="G170" i="4"/>
  <c r="H21" i="8" s="1"/>
  <c r="E202" i="3"/>
  <c r="F202" i="3"/>
  <c r="G202" i="3"/>
  <c r="H202" i="3"/>
  <c r="F106" i="12"/>
  <c r="D185" i="4"/>
  <c r="I202" i="3"/>
  <c r="G251" i="3"/>
  <c r="E251" i="3"/>
  <c r="F197" i="4"/>
  <c r="G197" i="4"/>
  <c r="H197" i="4"/>
  <c r="E185" i="4"/>
  <c r="F185" i="4"/>
  <c r="I197" i="4"/>
  <c r="D197" i="4"/>
  <c r="E197" i="4"/>
  <c r="E215" i="3"/>
  <c r="G204" i="3"/>
  <c r="D245" i="3"/>
  <c r="F251" i="3"/>
  <c r="H251" i="3"/>
  <c r="G215" i="3"/>
  <c r="E252" i="3"/>
  <c r="F245" i="3"/>
  <c r="F252" i="3"/>
  <c r="G252" i="3"/>
  <c r="F204" i="3"/>
  <c r="H252" i="3"/>
  <c r="I251" i="3"/>
  <c r="I252" i="3"/>
  <c r="H245" i="3"/>
  <c r="I245" i="3"/>
  <c r="G245" i="3"/>
  <c r="F215" i="3"/>
  <c r="E245" i="3"/>
  <c r="H215" i="3"/>
  <c r="I204" i="3"/>
  <c r="J89" i="4"/>
  <c r="I215" i="3"/>
  <c r="H204" i="3"/>
  <c r="E204" i="3"/>
  <c r="H185" i="4"/>
  <c r="G185" i="4"/>
  <c r="I185" i="4"/>
  <c r="F93" i="4"/>
  <c r="H93" i="4"/>
  <c r="G93" i="4"/>
  <c r="I93" i="4"/>
  <c r="D93" i="4"/>
  <c r="E93" i="4"/>
  <c r="I97" i="4"/>
  <c r="F97" i="4"/>
  <c r="G97" i="4"/>
  <c r="H97" i="4"/>
  <c r="E97" i="4"/>
  <c r="D97" i="4"/>
  <c r="B157" i="1"/>
  <c r="B149" i="1"/>
  <c r="B141" i="1"/>
  <c r="B133" i="1"/>
  <c r="I171" i="3"/>
  <c r="H171" i="3"/>
  <c r="G171" i="3"/>
  <c r="F171" i="3"/>
  <c r="E171" i="3"/>
  <c r="D171" i="3"/>
  <c r="D194" i="3" s="1"/>
  <c r="I166" i="3"/>
  <c r="H166" i="3"/>
  <c r="G166" i="3"/>
  <c r="F166" i="3"/>
  <c r="E166" i="3"/>
  <c r="D166" i="3"/>
  <c r="I84" i="4"/>
  <c r="H84" i="4"/>
  <c r="G84" i="4"/>
  <c r="F84" i="4"/>
  <c r="E84" i="4"/>
  <c r="D84" i="4"/>
  <c r="I83" i="4"/>
  <c r="H83" i="4"/>
  <c r="G83" i="4"/>
  <c r="F83" i="4"/>
  <c r="E83" i="4"/>
  <c r="D83" i="4"/>
  <c r="I82" i="4"/>
  <c r="H82" i="4"/>
  <c r="G82" i="4"/>
  <c r="F82" i="4"/>
  <c r="E82" i="4"/>
  <c r="D82" i="4"/>
  <c r="I81" i="4"/>
  <c r="J84" i="7" s="1"/>
  <c r="H81" i="4"/>
  <c r="I34" i="7" s="1"/>
  <c r="G81" i="4"/>
  <c r="F81" i="4"/>
  <c r="E81" i="4"/>
  <c r="D81" i="4"/>
  <c r="E30" i="7" s="1"/>
  <c r="E32" i="7" s="1"/>
  <c r="I80" i="4"/>
  <c r="H80" i="4"/>
  <c r="G80" i="4"/>
  <c r="F80" i="4"/>
  <c r="E80" i="4"/>
  <c r="D80" i="4"/>
  <c r="I79" i="4"/>
  <c r="H79" i="4"/>
  <c r="G79" i="4"/>
  <c r="F79" i="4"/>
  <c r="E79" i="4"/>
  <c r="D79" i="4"/>
  <c r="I78" i="4"/>
  <c r="H78" i="4"/>
  <c r="G78" i="4"/>
  <c r="F78" i="4"/>
  <c r="D78" i="4"/>
  <c r="I176" i="3"/>
  <c r="H176" i="3"/>
  <c r="G176" i="3"/>
  <c r="F176" i="3"/>
  <c r="E176" i="3"/>
  <c r="D176" i="3"/>
  <c r="D192" i="3" s="1"/>
  <c r="J43" i="3"/>
  <c r="G22" i="10"/>
  <c r="F22" i="10"/>
  <c r="E22" i="10"/>
  <c r="D22" i="10"/>
  <c r="H22" i="10"/>
  <c r="I22" i="10"/>
  <c r="J22" i="10"/>
  <c r="K22" i="10"/>
  <c r="L22" i="10"/>
  <c r="M22" i="10"/>
  <c r="N22" i="10"/>
  <c r="O22" i="10"/>
  <c r="I46" i="3"/>
  <c r="I52" i="3"/>
  <c r="I79" i="3"/>
  <c r="H79" i="3"/>
  <c r="G79" i="3"/>
  <c r="F79" i="3"/>
  <c r="E79" i="3"/>
  <c r="D79" i="3"/>
  <c r="M79" i="12"/>
  <c r="L79" i="12"/>
  <c r="H180" i="3"/>
  <c r="G180" i="3"/>
  <c r="F180" i="3"/>
  <c r="F181" i="3" s="1"/>
  <c r="D180" i="3"/>
  <c r="D193" i="3" s="1"/>
  <c r="M77" i="12"/>
  <c r="L77" i="12"/>
  <c r="I161" i="3"/>
  <c r="H161" i="3"/>
  <c r="G161" i="3"/>
  <c r="F161" i="3"/>
  <c r="E161" i="3"/>
  <c r="D161" i="3"/>
  <c r="D191" i="3" s="1"/>
  <c r="I240" i="3"/>
  <c r="J73" i="12"/>
  <c r="I73" i="12"/>
  <c r="H73" i="12"/>
  <c r="G73" i="12"/>
  <c r="F73" i="12"/>
  <c r="E73" i="12"/>
  <c r="J74" i="12"/>
  <c r="I74" i="12"/>
  <c r="H74" i="12"/>
  <c r="G74" i="12"/>
  <c r="F74" i="12"/>
  <c r="E74" i="12"/>
  <c r="P157" i="1"/>
  <c r="N241" i="3" s="1"/>
  <c r="O157" i="1"/>
  <c r="M241" i="3" s="1"/>
  <c r="N157" i="1"/>
  <c r="L241" i="3" s="1"/>
  <c r="M157" i="1"/>
  <c r="K241" i="3" s="1"/>
  <c r="L157" i="1"/>
  <c r="J241" i="3" s="1"/>
  <c r="I38" i="4"/>
  <c r="H38" i="4"/>
  <c r="G38" i="4"/>
  <c r="F38" i="4"/>
  <c r="D38" i="4"/>
  <c r="I30" i="4"/>
  <c r="J14" i="8" s="1"/>
  <c r="J18" i="8" s="1"/>
  <c r="H30" i="4"/>
  <c r="I14" i="8" s="1"/>
  <c r="I18" i="8" s="1"/>
  <c r="G30" i="4"/>
  <c r="H14" i="8" s="1"/>
  <c r="H18" i="8" s="1"/>
  <c r="F30" i="4"/>
  <c r="G14" i="8" s="1"/>
  <c r="G18" i="8" s="1"/>
  <c r="E30" i="4"/>
  <c r="F14" i="8" s="1"/>
  <c r="F18" i="8" s="1"/>
  <c r="D30" i="4"/>
  <c r="E14" i="8" s="1"/>
  <c r="E18" i="8" s="1"/>
  <c r="H64" i="4"/>
  <c r="G64" i="4"/>
  <c r="F64" i="4"/>
  <c r="E64" i="4"/>
  <c r="D64" i="4"/>
  <c r="I78" i="3"/>
  <c r="J76" i="3"/>
  <c r="I45" i="3"/>
  <c r="I64" i="3"/>
  <c r="I85" i="3"/>
  <c r="I71" i="4" s="1"/>
  <c r="I72" i="3"/>
  <c r="I68" i="3"/>
  <c r="I60" i="3"/>
  <c r="I56" i="3"/>
  <c r="I65" i="4" s="1"/>
  <c r="I33" i="3"/>
  <c r="I30" i="3"/>
  <c r="I26" i="3"/>
  <c r="I13" i="3"/>
  <c r="K64" i="1"/>
  <c r="K63" i="1"/>
  <c r="K62" i="1"/>
  <c r="K58" i="1"/>
  <c r="K57" i="1"/>
  <c r="K56" i="1"/>
  <c r="K48" i="1"/>
  <c r="K47" i="1"/>
  <c r="K46" i="1"/>
  <c r="P65" i="1"/>
  <c r="N34" i="3" s="1"/>
  <c r="P59" i="1"/>
  <c r="P49" i="1"/>
  <c r="N25" i="3" s="1"/>
  <c r="P17" i="1"/>
  <c r="O79" i="11"/>
  <c r="O77" i="11"/>
  <c r="O63" i="11"/>
  <c r="O40" i="11"/>
  <c r="O48" i="11" s="1"/>
  <c r="O51" i="11" s="1"/>
  <c r="O66" i="10"/>
  <c r="O70" i="10" s="1"/>
  <c r="J64" i="12"/>
  <c r="J54" i="12"/>
  <c r="J35" i="12"/>
  <c r="O35" i="10"/>
  <c r="O36" i="10" s="1"/>
  <c r="O56" i="10"/>
  <c r="O44" i="10"/>
  <c r="O67" i="9"/>
  <c r="N67" i="9"/>
  <c r="O68" i="9"/>
  <c r="O66" i="9"/>
  <c r="O65" i="9"/>
  <c r="O64" i="9"/>
  <c r="O63" i="9"/>
  <c r="E53" i="9"/>
  <c r="F53" i="9"/>
  <c r="G53" i="9"/>
  <c r="H53" i="9"/>
  <c r="I53" i="9"/>
  <c r="J53" i="9"/>
  <c r="K53" i="9"/>
  <c r="L53" i="9"/>
  <c r="M53" i="9"/>
  <c r="O27" i="9"/>
  <c r="O45" i="9"/>
  <c r="O40" i="9"/>
  <c r="O39" i="9"/>
  <c r="O33" i="9"/>
  <c r="O29" i="9"/>
  <c r="O28" i="9"/>
  <c r="N53" i="9"/>
  <c r="O49" i="9"/>
  <c r="O53" i="9"/>
  <c r="O52" i="9"/>
  <c r="O59" i="9"/>
  <c r="O42" i="9"/>
  <c r="O43" i="9" s="1"/>
  <c r="O31" i="9"/>
  <c r="O15" i="9"/>
  <c r="O13" i="9"/>
  <c r="O25" i="9"/>
  <c r="F127" i="12" l="1"/>
  <c r="F84" i="7"/>
  <c r="I30" i="7"/>
  <c r="I32" i="7" s="1"/>
  <c r="H127" i="12"/>
  <c r="H84" i="7"/>
  <c r="J30" i="7"/>
  <c r="J32" i="7" s="1"/>
  <c r="H34" i="7"/>
  <c r="G127" i="12"/>
  <c r="G84" i="7"/>
  <c r="J34" i="7"/>
  <c r="H30" i="7"/>
  <c r="H32" i="7" s="1"/>
  <c r="I127" i="12"/>
  <c r="I84" i="7"/>
  <c r="F38" i="7"/>
  <c r="F65" i="7"/>
  <c r="I38" i="7"/>
  <c r="I65" i="7"/>
  <c r="E65" i="7"/>
  <c r="E38" i="7"/>
  <c r="H38" i="7"/>
  <c r="H65" i="7"/>
  <c r="G30" i="7"/>
  <c r="G32" i="7" s="1"/>
  <c r="G65" i="7"/>
  <c r="G38" i="7"/>
  <c r="G34" i="7"/>
  <c r="J65" i="7"/>
  <c r="J38" i="7"/>
  <c r="F34" i="7"/>
  <c r="K188" i="4"/>
  <c r="K90" i="7"/>
  <c r="F30" i="7"/>
  <c r="F32" i="7" s="1"/>
  <c r="E127" i="12"/>
  <c r="E137" i="12" s="1"/>
  <c r="E138" i="12" s="1"/>
  <c r="E84" i="7"/>
  <c r="E34" i="7"/>
  <c r="D174" i="4"/>
  <c r="E174" i="4"/>
  <c r="C59" i="8"/>
  <c r="C27" i="19"/>
  <c r="I194" i="3"/>
  <c r="G194" i="3"/>
  <c r="F194" i="3"/>
  <c r="H194" i="3"/>
  <c r="E194" i="3"/>
  <c r="L251" i="3"/>
  <c r="M251" i="3"/>
  <c r="K251" i="3"/>
  <c r="K201" i="3"/>
  <c r="L201" i="3" s="1"/>
  <c r="I174" i="4"/>
  <c r="H174" i="4"/>
  <c r="G174" i="4"/>
  <c r="F174" i="4"/>
  <c r="I27" i="3"/>
  <c r="C41" i="8"/>
  <c r="J127" i="12"/>
  <c r="L111" i="12"/>
  <c r="H85" i="4"/>
  <c r="E122" i="12"/>
  <c r="E140" i="12" s="1"/>
  <c r="E129" i="12"/>
  <c r="F122" i="12"/>
  <c r="F140" i="12" s="1"/>
  <c r="G122" i="12"/>
  <c r="G140" i="12" s="1"/>
  <c r="H122" i="12"/>
  <c r="H140" i="12" s="1"/>
  <c r="I122" i="12"/>
  <c r="I140" i="12" s="1"/>
  <c r="J122" i="12"/>
  <c r="K111" i="12"/>
  <c r="H75" i="12"/>
  <c r="D195" i="3"/>
  <c r="I111" i="3"/>
  <c r="I145" i="3"/>
  <c r="J75" i="12"/>
  <c r="I75" i="12"/>
  <c r="G181" i="3"/>
  <c r="H181" i="3"/>
  <c r="E181" i="3"/>
  <c r="H193" i="3"/>
  <c r="G191" i="3"/>
  <c r="G192" i="3"/>
  <c r="H192" i="3"/>
  <c r="I191" i="3"/>
  <c r="I192" i="3"/>
  <c r="E193" i="3"/>
  <c r="F193" i="3"/>
  <c r="G193" i="3"/>
  <c r="E192" i="3"/>
  <c r="H191" i="3"/>
  <c r="E191" i="3"/>
  <c r="F191" i="3"/>
  <c r="F192" i="3"/>
  <c r="I206" i="3"/>
  <c r="K89" i="4"/>
  <c r="I209" i="3"/>
  <c r="I211" i="3" s="1"/>
  <c r="I219" i="3"/>
  <c r="I221" i="3" s="1"/>
  <c r="I225" i="3"/>
  <c r="I64" i="4"/>
  <c r="I170" i="3"/>
  <c r="E75" i="12"/>
  <c r="F75" i="12"/>
  <c r="G75" i="12"/>
  <c r="I110" i="3"/>
  <c r="D85" i="4"/>
  <c r="I85" i="4"/>
  <c r="E85" i="4"/>
  <c r="F85" i="4"/>
  <c r="G85" i="4"/>
  <c r="I175" i="3"/>
  <c r="I177" i="3" s="1"/>
  <c r="I160" i="3"/>
  <c r="I165" i="3"/>
  <c r="I239" i="3"/>
  <c r="I241" i="3" s="1"/>
  <c r="I193" i="3"/>
  <c r="I99" i="3"/>
  <c r="I73" i="3"/>
  <c r="I34" i="3"/>
  <c r="O39" i="10"/>
  <c r="O72" i="10"/>
  <c r="O61" i="9"/>
  <c r="E68" i="12"/>
  <c r="I69" i="12"/>
  <c r="H69" i="12"/>
  <c r="G69" i="12"/>
  <c r="F69" i="12"/>
  <c r="E69" i="12"/>
  <c r="I68" i="12"/>
  <c r="H68" i="12"/>
  <c r="G68" i="12"/>
  <c r="F68" i="12"/>
  <c r="I59" i="12"/>
  <c r="H59" i="12"/>
  <c r="G59" i="12"/>
  <c r="F59" i="12"/>
  <c r="E59" i="12"/>
  <c r="E40" i="12"/>
  <c r="I58" i="12"/>
  <c r="H58" i="12"/>
  <c r="G58" i="12"/>
  <c r="F58" i="12"/>
  <c r="E58" i="12"/>
  <c r="E39" i="12"/>
  <c r="I48" i="12"/>
  <c r="H48" i="12"/>
  <c r="G48" i="12"/>
  <c r="F48" i="12"/>
  <c r="E48" i="12"/>
  <c r="I46" i="12"/>
  <c r="H46" i="12"/>
  <c r="G46" i="12"/>
  <c r="F46" i="12"/>
  <c r="E46" i="12"/>
  <c r="I42" i="12"/>
  <c r="H42" i="12"/>
  <c r="G42" i="12"/>
  <c r="F42" i="12"/>
  <c r="E42" i="12"/>
  <c r="I40" i="12"/>
  <c r="H40" i="12"/>
  <c r="G40" i="12"/>
  <c r="F40" i="12"/>
  <c r="I39" i="12"/>
  <c r="H39" i="12"/>
  <c r="G39" i="12"/>
  <c r="F39" i="12"/>
  <c r="E64" i="12"/>
  <c r="I64" i="12"/>
  <c r="H64" i="12"/>
  <c r="G64" i="12"/>
  <c r="F64" i="12"/>
  <c r="B71" i="4"/>
  <c r="B56" i="6" s="1"/>
  <c r="H85" i="3"/>
  <c r="G85" i="3"/>
  <c r="G71" i="4" s="1"/>
  <c r="F85" i="3"/>
  <c r="E85" i="3"/>
  <c r="E71" i="4" s="1"/>
  <c r="D85" i="3"/>
  <c r="D71" i="4" s="1"/>
  <c r="F70" i="4"/>
  <c r="D70" i="4"/>
  <c r="B84" i="3"/>
  <c r="P125" i="1"/>
  <c r="N86" i="3" s="1"/>
  <c r="O125" i="1"/>
  <c r="M86" i="3" s="1"/>
  <c r="N125" i="1"/>
  <c r="L86" i="3" s="1"/>
  <c r="M125" i="1"/>
  <c r="K86" i="3" s="1"/>
  <c r="L125" i="1"/>
  <c r="J86" i="3" s="1"/>
  <c r="B125" i="1"/>
  <c r="I54" i="12"/>
  <c r="H54" i="12"/>
  <c r="G54" i="12"/>
  <c r="F54" i="12"/>
  <c r="E54" i="12"/>
  <c r="E35" i="12"/>
  <c r="E44" i="12" s="1"/>
  <c r="F35" i="12"/>
  <c r="F44" i="12" s="1"/>
  <c r="G35" i="12"/>
  <c r="G44" i="12" s="1"/>
  <c r="H35" i="12"/>
  <c r="H44" i="12" s="1"/>
  <c r="I35" i="12"/>
  <c r="I44" i="12" s="1"/>
  <c r="I27" i="12"/>
  <c r="H27" i="12"/>
  <c r="G27" i="12"/>
  <c r="F27" i="12"/>
  <c r="E27" i="12"/>
  <c r="I26" i="12"/>
  <c r="H26" i="12"/>
  <c r="G26" i="12"/>
  <c r="F26" i="12"/>
  <c r="E26" i="12"/>
  <c r="H156" i="3"/>
  <c r="G156" i="3"/>
  <c r="F156" i="3"/>
  <c r="E156" i="3"/>
  <c r="D156" i="3"/>
  <c r="B69" i="4"/>
  <c r="B54" i="6" s="1"/>
  <c r="B68" i="4"/>
  <c r="B53" i="6" s="1"/>
  <c r="B67" i="4"/>
  <c r="B52" i="6" s="1"/>
  <c r="B66" i="4"/>
  <c r="B51" i="6" s="1"/>
  <c r="H68" i="3"/>
  <c r="G68" i="3"/>
  <c r="G69" i="4" s="1"/>
  <c r="F68" i="3"/>
  <c r="F69" i="4" s="1"/>
  <c r="E68" i="3"/>
  <c r="E69" i="4" s="1"/>
  <c r="D68" i="3"/>
  <c r="D69" i="4" s="1"/>
  <c r="H64" i="3"/>
  <c r="G64" i="3"/>
  <c r="F64" i="3"/>
  <c r="F68" i="4" s="1"/>
  <c r="E64" i="3"/>
  <c r="E68" i="4" s="1"/>
  <c r="D64" i="3"/>
  <c r="D68" i="4" s="1"/>
  <c r="H60" i="3"/>
  <c r="H67" i="4" s="1"/>
  <c r="G60" i="3"/>
  <c r="G67" i="4" s="1"/>
  <c r="F60" i="3"/>
  <c r="F67" i="4" s="1"/>
  <c r="E60" i="3"/>
  <c r="E67" i="4" s="1"/>
  <c r="D60" i="3"/>
  <c r="D67" i="4" s="1"/>
  <c r="B67" i="3"/>
  <c r="B63" i="3"/>
  <c r="B59" i="3"/>
  <c r="P105" i="1"/>
  <c r="N69" i="3" s="1"/>
  <c r="O105" i="1"/>
  <c r="M69" i="3" s="1"/>
  <c r="N105" i="1"/>
  <c r="L69" i="3" s="1"/>
  <c r="M105" i="1"/>
  <c r="K69" i="3" s="1"/>
  <c r="L105" i="1"/>
  <c r="J69" i="3" s="1"/>
  <c r="B105" i="1"/>
  <c r="P99" i="1"/>
  <c r="N65" i="3" s="1"/>
  <c r="O99" i="1"/>
  <c r="M65" i="3" s="1"/>
  <c r="N99" i="1"/>
  <c r="L65" i="3" s="1"/>
  <c r="M99" i="1"/>
  <c r="K65" i="3" s="1"/>
  <c r="L99" i="1"/>
  <c r="J65" i="3" s="1"/>
  <c r="B99" i="1"/>
  <c r="P93" i="1"/>
  <c r="O93" i="1"/>
  <c r="N93" i="1"/>
  <c r="M93" i="1"/>
  <c r="K61" i="3" s="1"/>
  <c r="L93" i="1"/>
  <c r="J61" i="3" s="1"/>
  <c r="J60" i="3" s="1"/>
  <c r="B93" i="1"/>
  <c r="H2" i="12"/>
  <c r="G2" i="12" s="1"/>
  <c r="F2" i="12" s="1"/>
  <c r="E2" i="12" s="1"/>
  <c r="D2" i="12" s="1"/>
  <c r="C2" i="12" s="1"/>
  <c r="I22" i="12"/>
  <c r="H22" i="12"/>
  <c r="G22" i="12"/>
  <c r="F22" i="12"/>
  <c r="E22" i="12"/>
  <c r="I3" i="12"/>
  <c r="I17" i="12" s="1"/>
  <c r="H3" i="12"/>
  <c r="H17" i="12" s="1"/>
  <c r="G3" i="12"/>
  <c r="G17" i="12" s="1"/>
  <c r="F3" i="12"/>
  <c r="F17" i="12" s="1"/>
  <c r="E3" i="12"/>
  <c r="E17" i="12" s="1"/>
  <c r="E18" i="12" s="1"/>
  <c r="D72" i="3"/>
  <c r="D66" i="4" s="1"/>
  <c r="F65" i="4"/>
  <c r="B70" i="4"/>
  <c r="B55" i="6" s="1"/>
  <c r="B65" i="4"/>
  <c r="B50" i="6" s="1"/>
  <c r="B64" i="4"/>
  <c r="B49" i="6" s="1"/>
  <c r="B48" i="6"/>
  <c r="H72" i="3"/>
  <c r="H66" i="4" s="1"/>
  <c r="G72" i="3"/>
  <c r="G66" i="4" s="1"/>
  <c r="F72" i="3"/>
  <c r="F66" i="4" s="1"/>
  <c r="E72" i="3"/>
  <c r="E66" i="4" s="1"/>
  <c r="B71" i="3"/>
  <c r="H56" i="3"/>
  <c r="H65" i="4" s="1"/>
  <c r="G56" i="3"/>
  <c r="G65" i="4" s="1"/>
  <c r="E56" i="3"/>
  <c r="E65" i="4" s="1"/>
  <c r="D56" i="3"/>
  <c r="D65" i="4" s="1"/>
  <c r="B75" i="3"/>
  <c r="B55" i="3"/>
  <c r="B41" i="3"/>
  <c r="B119" i="1"/>
  <c r="B111" i="1"/>
  <c r="B87" i="1"/>
  <c r="B81" i="1"/>
  <c r="B75" i="1"/>
  <c r="P111" i="1"/>
  <c r="O111" i="1"/>
  <c r="N111" i="1"/>
  <c r="M111" i="1"/>
  <c r="L111" i="1"/>
  <c r="P87" i="1"/>
  <c r="N57" i="3" s="1"/>
  <c r="O87" i="1"/>
  <c r="M57" i="3" s="1"/>
  <c r="N87" i="1"/>
  <c r="L57" i="3" s="1"/>
  <c r="M87" i="1"/>
  <c r="K57" i="3" s="1"/>
  <c r="L87" i="1"/>
  <c r="J57" i="3" s="1"/>
  <c r="P81" i="1"/>
  <c r="N53" i="3" s="1"/>
  <c r="O81" i="1"/>
  <c r="M53" i="3" s="1"/>
  <c r="N81" i="1"/>
  <c r="L53" i="3" s="1"/>
  <c r="M81" i="1"/>
  <c r="K53" i="3" s="1"/>
  <c r="L81" i="1"/>
  <c r="J53" i="3" s="1"/>
  <c r="J50" i="3" s="1"/>
  <c r="H146" i="3"/>
  <c r="G146" i="3"/>
  <c r="F146" i="3"/>
  <c r="E146" i="3"/>
  <c r="D146" i="3"/>
  <c r="D187" i="3" s="1"/>
  <c r="D35" i="10"/>
  <c r="D36" i="10" s="1"/>
  <c r="E35" i="10"/>
  <c r="E36" i="10" s="1"/>
  <c r="F35" i="10"/>
  <c r="F36" i="10" s="1"/>
  <c r="G35" i="10"/>
  <c r="G36" i="10" s="1"/>
  <c r="H35" i="10"/>
  <c r="H36" i="10" s="1"/>
  <c r="I35" i="10"/>
  <c r="I36" i="10" s="1"/>
  <c r="K35" i="10"/>
  <c r="L35" i="10"/>
  <c r="M35" i="10"/>
  <c r="N35" i="10"/>
  <c r="H134" i="3"/>
  <c r="G134" i="3"/>
  <c r="F134" i="3"/>
  <c r="E134" i="3"/>
  <c r="D134" i="3"/>
  <c r="D186" i="3" s="1"/>
  <c r="H140" i="3"/>
  <c r="G140" i="3"/>
  <c r="F140" i="3"/>
  <c r="E140" i="3"/>
  <c r="D140" i="3"/>
  <c r="D185" i="3" s="1"/>
  <c r="E15" i="9"/>
  <c r="D53" i="9"/>
  <c r="N13" i="9"/>
  <c r="M13" i="9"/>
  <c r="L13" i="9"/>
  <c r="K13" i="9"/>
  <c r="J13" i="9"/>
  <c r="I13" i="9"/>
  <c r="H13" i="9"/>
  <c r="G13" i="9"/>
  <c r="F13" i="9"/>
  <c r="E13" i="9"/>
  <c r="D13" i="9"/>
  <c r="H13" i="3"/>
  <c r="G13" i="3"/>
  <c r="F13" i="3"/>
  <c r="E13" i="3"/>
  <c r="D13" i="3"/>
  <c r="B22" i="4"/>
  <c r="B18" i="6" s="1"/>
  <c r="B21" i="4"/>
  <c r="B17" i="6" s="1"/>
  <c r="H33" i="3"/>
  <c r="H22" i="4" s="1"/>
  <c r="G33" i="3"/>
  <c r="G22" i="4" s="1"/>
  <c r="F33" i="3"/>
  <c r="F22" i="4" s="1"/>
  <c r="E33" i="3"/>
  <c r="E22" i="4" s="1"/>
  <c r="D33" i="3"/>
  <c r="D22" i="4" s="1"/>
  <c r="H30" i="3"/>
  <c r="H21" i="4" s="1"/>
  <c r="G30" i="3"/>
  <c r="G21" i="4" s="1"/>
  <c r="F30" i="3"/>
  <c r="F21" i="4" s="1"/>
  <c r="E30" i="3"/>
  <c r="E21" i="4" s="1"/>
  <c r="D30" i="3"/>
  <c r="D21" i="4" s="1"/>
  <c r="O65" i="1"/>
  <c r="M34" i="3" s="1"/>
  <c r="K65" i="1"/>
  <c r="B65" i="1"/>
  <c r="N40" i="9"/>
  <c r="J62" i="1" s="1"/>
  <c r="J65" i="1" s="1"/>
  <c r="M40" i="9"/>
  <c r="I63" i="1" s="1"/>
  <c r="L40" i="9"/>
  <c r="H63" i="1" s="1"/>
  <c r="K40" i="9"/>
  <c r="G63" i="1" s="1"/>
  <c r="J40" i="9"/>
  <c r="F64" i="1" s="1"/>
  <c r="I40" i="9"/>
  <c r="H40" i="9"/>
  <c r="G40" i="9"/>
  <c r="F40" i="9"/>
  <c r="E40" i="9"/>
  <c r="D40" i="9"/>
  <c r="N39" i="9"/>
  <c r="J58" i="1" s="1"/>
  <c r="M39" i="9"/>
  <c r="I58" i="1" s="1"/>
  <c r="L39" i="9"/>
  <c r="H56" i="1" s="1"/>
  <c r="K39" i="9"/>
  <c r="G56" i="1" s="1"/>
  <c r="J39" i="9"/>
  <c r="F56" i="1" s="1"/>
  <c r="I39" i="9"/>
  <c r="H39" i="9"/>
  <c r="G39" i="9"/>
  <c r="F39" i="9"/>
  <c r="E39" i="9"/>
  <c r="D39" i="9"/>
  <c r="O59" i="1"/>
  <c r="K59" i="1"/>
  <c r="I31" i="3" s="1"/>
  <c r="B59" i="1"/>
  <c r="D25" i="9"/>
  <c r="D27" i="9" s="1"/>
  <c r="N29" i="9"/>
  <c r="M29" i="9"/>
  <c r="L29" i="9"/>
  <c r="K29" i="9"/>
  <c r="J29" i="9"/>
  <c r="I29" i="9"/>
  <c r="H29" i="9"/>
  <c r="G29" i="9"/>
  <c r="F29" i="9"/>
  <c r="E29" i="9"/>
  <c r="D29" i="9"/>
  <c r="N28" i="9"/>
  <c r="M28" i="9"/>
  <c r="L28" i="9"/>
  <c r="K28" i="9"/>
  <c r="J28" i="9"/>
  <c r="I28" i="9"/>
  <c r="H28" i="9"/>
  <c r="G28" i="9"/>
  <c r="F28" i="9"/>
  <c r="E28" i="9"/>
  <c r="D28" i="9"/>
  <c r="D15" i="9"/>
  <c r="N15" i="9"/>
  <c r="M15" i="9"/>
  <c r="L15" i="9"/>
  <c r="K15" i="9"/>
  <c r="J15" i="9"/>
  <c r="I15" i="9"/>
  <c r="H15" i="9"/>
  <c r="G15" i="9"/>
  <c r="F15" i="9"/>
  <c r="E63" i="9"/>
  <c r="O49" i="1"/>
  <c r="K49" i="1"/>
  <c r="K51" i="1" s="1"/>
  <c r="B49" i="1"/>
  <c r="E9" i="4"/>
  <c r="F9" i="4" s="1"/>
  <c r="G9" i="4" s="1"/>
  <c r="H9" i="4" s="1"/>
  <c r="I9" i="4" s="1"/>
  <c r="L188" i="4" l="1"/>
  <c r="L90" i="7"/>
  <c r="I20" i="7"/>
  <c r="I14" i="7"/>
  <c r="H20" i="7"/>
  <c r="H14" i="7"/>
  <c r="G20" i="7"/>
  <c r="G14" i="7"/>
  <c r="F20" i="7"/>
  <c r="F14" i="7"/>
  <c r="J20" i="7"/>
  <c r="J14" i="7"/>
  <c r="E20" i="7"/>
  <c r="E14" i="7"/>
  <c r="J51" i="3"/>
  <c r="J52" i="3"/>
  <c r="J64" i="4" s="1"/>
  <c r="C58" i="8"/>
  <c r="C26" i="19"/>
  <c r="G195" i="3"/>
  <c r="H18" i="12"/>
  <c r="I18" i="12"/>
  <c r="J18" i="12"/>
  <c r="F18" i="12"/>
  <c r="J19" i="12" s="1"/>
  <c r="G18" i="12"/>
  <c r="K50" i="3"/>
  <c r="K51" i="3" s="1"/>
  <c r="K49" i="3"/>
  <c r="F123" i="12"/>
  <c r="F124" i="12" s="1"/>
  <c r="J139" i="12"/>
  <c r="J137" i="12"/>
  <c r="J138" i="12" s="1"/>
  <c r="J140" i="12"/>
  <c r="J123" i="12"/>
  <c r="J124" i="12" s="1"/>
  <c r="C16" i="13" s="1"/>
  <c r="J129" i="12"/>
  <c r="H129" i="12"/>
  <c r="H137" i="12"/>
  <c r="H138" i="12" s="1"/>
  <c r="H123" i="12"/>
  <c r="H124" i="12" s="1"/>
  <c r="G123" i="12"/>
  <c r="G124" i="12" s="1"/>
  <c r="E123" i="12"/>
  <c r="E124" i="12" s="1"/>
  <c r="G129" i="12"/>
  <c r="G137" i="12"/>
  <c r="G138" i="12" s="1"/>
  <c r="I129" i="12"/>
  <c r="I137" i="12"/>
  <c r="I138" i="12" s="1"/>
  <c r="F129" i="12"/>
  <c r="F137" i="12"/>
  <c r="F138" i="12" s="1"/>
  <c r="I123" i="12"/>
  <c r="I124" i="12" s="1"/>
  <c r="F99" i="4"/>
  <c r="F70" i="6" s="1"/>
  <c r="D99" i="4"/>
  <c r="D70" i="6" s="1"/>
  <c r="E99" i="4"/>
  <c r="E70" i="6" s="1"/>
  <c r="I195" i="3"/>
  <c r="E195" i="3"/>
  <c r="F195" i="3"/>
  <c r="H195" i="3"/>
  <c r="M201" i="3"/>
  <c r="E185" i="3"/>
  <c r="E187" i="3"/>
  <c r="G187" i="3"/>
  <c r="D59" i="4"/>
  <c r="E59" i="4"/>
  <c r="F59" i="4"/>
  <c r="H59" i="4"/>
  <c r="F187" i="3"/>
  <c r="G59" i="4"/>
  <c r="H187" i="3"/>
  <c r="I187" i="3"/>
  <c r="F185" i="3"/>
  <c r="G185" i="3"/>
  <c r="H185" i="3"/>
  <c r="I185" i="3"/>
  <c r="E186" i="3"/>
  <c r="F186" i="3"/>
  <c r="G186" i="3"/>
  <c r="H186" i="3"/>
  <c r="I186" i="3"/>
  <c r="L89" i="4"/>
  <c r="D209" i="3"/>
  <c r="D211" i="3" s="1"/>
  <c r="D225" i="3"/>
  <c r="D227" i="3" s="1"/>
  <c r="D219" i="3"/>
  <c r="D221" i="3" s="1"/>
  <c r="E209" i="3"/>
  <c r="E211" i="3" s="1"/>
  <c r="E225" i="3"/>
  <c r="E227" i="3" s="1"/>
  <c r="E219" i="3"/>
  <c r="E221" i="3" s="1"/>
  <c r="H209" i="3"/>
  <c r="H211" i="3" s="1"/>
  <c r="H225" i="3"/>
  <c r="H227" i="3" s="1"/>
  <c r="H219" i="3"/>
  <c r="H221" i="3" s="1"/>
  <c r="F209" i="3"/>
  <c r="F211" i="3" s="1"/>
  <c r="F225" i="3"/>
  <c r="F227" i="3" s="1"/>
  <c r="F219" i="3"/>
  <c r="F221" i="3" s="1"/>
  <c r="G209" i="3"/>
  <c r="G211" i="3" s="1"/>
  <c r="G219" i="3"/>
  <c r="G221" i="3" s="1"/>
  <c r="G225" i="3"/>
  <c r="G227" i="3" s="1"/>
  <c r="M39" i="12"/>
  <c r="M58" i="12"/>
  <c r="L75" i="12"/>
  <c r="M75" i="12"/>
  <c r="G175" i="3"/>
  <c r="G177" i="3" s="1"/>
  <c r="G110" i="3"/>
  <c r="G170" i="3"/>
  <c r="G172" i="3" s="1"/>
  <c r="E175" i="3"/>
  <c r="E177" i="3" s="1"/>
  <c r="E110" i="3"/>
  <c r="E170" i="3"/>
  <c r="E172" i="3" s="1"/>
  <c r="F175" i="3"/>
  <c r="F177" i="3" s="1"/>
  <c r="F110" i="3"/>
  <c r="F170" i="3"/>
  <c r="F172" i="3" s="1"/>
  <c r="D175" i="3"/>
  <c r="D177" i="3" s="1"/>
  <c r="D110" i="3"/>
  <c r="D170" i="3"/>
  <c r="D172" i="3" s="1"/>
  <c r="H175" i="3"/>
  <c r="H177" i="3" s="1"/>
  <c r="H110" i="3"/>
  <c r="H170" i="3"/>
  <c r="H172" i="3" s="1"/>
  <c r="D56" i="4"/>
  <c r="F58" i="4"/>
  <c r="E56" i="4"/>
  <c r="H56" i="4"/>
  <c r="H58" i="4"/>
  <c r="I19" i="7" s="1"/>
  <c r="F56" i="4"/>
  <c r="D57" i="4"/>
  <c r="D165" i="3"/>
  <c r="D167" i="3" s="1"/>
  <c r="E57" i="4"/>
  <c r="F57" i="4"/>
  <c r="F165" i="3"/>
  <c r="F167" i="3" s="1"/>
  <c r="G57" i="4"/>
  <c r="D58" i="4"/>
  <c r="E165" i="3"/>
  <c r="E167" i="3" s="1"/>
  <c r="G165" i="3"/>
  <c r="G167" i="3" s="1"/>
  <c r="H57" i="4"/>
  <c r="H165" i="3"/>
  <c r="H167" i="3" s="1"/>
  <c r="E58" i="4"/>
  <c r="M59" i="12"/>
  <c r="M40" i="12"/>
  <c r="H68" i="4"/>
  <c r="H65" i="3"/>
  <c r="I65" i="3"/>
  <c r="H71" i="4"/>
  <c r="I86" i="3"/>
  <c r="H70" i="4"/>
  <c r="I82" i="3"/>
  <c r="H69" i="4"/>
  <c r="I69" i="3"/>
  <c r="I61" i="3"/>
  <c r="I57" i="3"/>
  <c r="L40" i="12"/>
  <c r="M68" i="12"/>
  <c r="M46" i="12"/>
  <c r="M69" i="12"/>
  <c r="O74" i="10"/>
  <c r="G151" i="3"/>
  <c r="M36" i="10"/>
  <c r="D151" i="3"/>
  <c r="D188" i="3" s="1"/>
  <c r="J36" i="10"/>
  <c r="H151" i="3"/>
  <c r="N36" i="10"/>
  <c r="F151" i="3"/>
  <c r="L36" i="10"/>
  <c r="E151" i="3"/>
  <c r="K36" i="10"/>
  <c r="G141" i="3"/>
  <c r="H23" i="7" s="1"/>
  <c r="H26" i="7" s="1"/>
  <c r="H142" i="3"/>
  <c r="D142" i="3"/>
  <c r="E142" i="3"/>
  <c r="F142" i="3"/>
  <c r="L68" i="12"/>
  <c r="L69" i="12"/>
  <c r="L59" i="12"/>
  <c r="L58" i="12"/>
  <c r="L39" i="12"/>
  <c r="J85" i="3"/>
  <c r="K85" i="3" s="1"/>
  <c r="L85" i="3" s="1"/>
  <c r="M85" i="3" s="1"/>
  <c r="H86" i="3"/>
  <c r="G86" i="3"/>
  <c r="F71" i="4"/>
  <c r="D72" i="4"/>
  <c r="E86" i="3"/>
  <c r="M48" i="12"/>
  <c r="M44" i="12"/>
  <c r="L48" i="12"/>
  <c r="M42" i="12"/>
  <c r="L44" i="12"/>
  <c r="L42" i="12"/>
  <c r="L46" i="12"/>
  <c r="E29" i="12"/>
  <c r="F29" i="12"/>
  <c r="G29" i="12"/>
  <c r="H29" i="12"/>
  <c r="F24" i="12"/>
  <c r="E24" i="12"/>
  <c r="I29" i="12"/>
  <c r="G24" i="12"/>
  <c r="H24" i="12"/>
  <c r="I24" i="12"/>
  <c r="F86" i="3"/>
  <c r="D155" i="3"/>
  <c r="E155" i="3"/>
  <c r="F155" i="3"/>
  <c r="G155" i="3"/>
  <c r="H155" i="3"/>
  <c r="I67" i="4"/>
  <c r="G65" i="3"/>
  <c r="E69" i="3"/>
  <c r="H61" i="3"/>
  <c r="G68" i="4"/>
  <c r="G73" i="3"/>
  <c r="F69" i="3"/>
  <c r="G69" i="3"/>
  <c r="E65" i="3"/>
  <c r="H69" i="3"/>
  <c r="F65" i="3"/>
  <c r="F73" i="3"/>
  <c r="H73" i="3"/>
  <c r="F61" i="3"/>
  <c r="D73" i="3"/>
  <c r="G61" i="3"/>
  <c r="E73" i="3"/>
  <c r="E61" i="3"/>
  <c r="F82" i="3"/>
  <c r="I66" i="4"/>
  <c r="E57" i="3"/>
  <c r="F57" i="3"/>
  <c r="G82" i="3"/>
  <c r="H57" i="3"/>
  <c r="E70" i="4"/>
  <c r="G70" i="4"/>
  <c r="E82" i="3"/>
  <c r="H82" i="3"/>
  <c r="G150" i="3"/>
  <c r="G58" i="4"/>
  <c r="H19" i="7" s="1"/>
  <c r="D150" i="3"/>
  <c r="E150" i="3"/>
  <c r="H150" i="3"/>
  <c r="F150" i="3"/>
  <c r="G56" i="4"/>
  <c r="F133" i="3"/>
  <c r="F136" i="3" s="1"/>
  <c r="F57" i="1"/>
  <c r="G133" i="3"/>
  <c r="H133" i="3"/>
  <c r="H136" i="3" s="1"/>
  <c r="D133" i="3"/>
  <c r="E133" i="3"/>
  <c r="J63" i="1"/>
  <c r="I57" i="1"/>
  <c r="I56" i="1"/>
  <c r="J64" i="1"/>
  <c r="I64" i="1"/>
  <c r="G62" i="1"/>
  <c r="G65" i="1" s="1"/>
  <c r="J56" i="1"/>
  <c r="I62" i="1"/>
  <c r="I65" i="1" s="1"/>
  <c r="F36" i="3"/>
  <c r="H62" i="1"/>
  <c r="H65" i="1" s="1"/>
  <c r="D36" i="3"/>
  <c r="D112" i="3" s="1"/>
  <c r="E36" i="3"/>
  <c r="G36" i="3"/>
  <c r="G24" i="4"/>
  <c r="G64" i="1"/>
  <c r="F62" i="1"/>
  <c r="F65" i="1" s="1"/>
  <c r="H64" i="1"/>
  <c r="H57" i="1"/>
  <c r="H36" i="3"/>
  <c r="J57" i="1"/>
  <c r="G57" i="1"/>
  <c r="F24" i="4"/>
  <c r="F63" i="1"/>
  <c r="H24" i="4"/>
  <c r="D24" i="4"/>
  <c r="E24" i="4"/>
  <c r="G31" i="3"/>
  <c r="M65" i="1"/>
  <c r="K34" i="3" s="1"/>
  <c r="N65" i="1"/>
  <c r="L34" i="3" s="1"/>
  <c r="L65" i="1"/>
  <c r="J34" i="3" s="1"/>
  <c r="F58" i="1"/>
  <c r="G58" i="1"/>
  <c r="H58" i="1"/>
  <c r="M25" i="3"/>
  <c r="F31" i="3"/>
  <c r="E9" i="3"/>
  <c r="F9" i="3" s="1"/>
  <c r="G9" i="3" s="1"/>
  <c r="F19" i="7" l="1"/>
  <c r="I79" i="7"/>
  <c r="I18" i="7"/>
  <c r="E104" i="4"/>
  <c r="G18" i="7"/>
  <c r="G79" i="7"/>
  <c r="F18" i="7"/>
  <c r="F79" i="7"/>
  <c r="G19" i="7"/>
  <c r="E19" i="7"/>
  <c r="E79" i="7"/>
  <c r="E18" i="7"/>
  <c r="H18" i="7"/>
  <c r="H79" i="7"/>
  <c r="F104" i="4"/>
  <c r="M188" i="4"/>
  <c r="M90" i="7"/>
  <c r="K52" i="3"/>
  <c r="D10" i="15"/>
  <c r="D11" i="15" s="1"/>
  <c r="D15" i="15" s="1"/>
  <c r="E10" i="15"/>
  <c r="E11" i="15" s="1"/>
  <c r="D21" i="15"/>
  <c r="F21" i="15"/>
  <c r="E21" i="15"/>
  <c r="D85" i="6"/>
  <c r="D77" i="6"/>
  <c r="D82" i="6"/>
  <c r="D81" i="6"/>
  <c r="D76" i="6"/>
  <c r="D78" i="6"/>
  <c r="D73" i="6"/>
  <c r="D74" i="6"/>
  <c r="D75" i="6"/>
  <c r="D83" i="6"/>
  <c r="D63" i="6"/>
  <c r="D66" i="6"/>
  <c r="D65" i="6"/>
  <c r="D69" i="6"/>
  <c r="D68" i="6"/>
  <c r="D79" i="6"/>
  <c r="D67" i="6"/>
  <c r="D64" i="6"/>
  <c r="F85" i="6"/>
  <c r="F74" i="6"/>
  <c r="F76" i="6"/>
  <c r="F77" i="6"/>
  <c r="F75" i="6"/>
  <c r="F78" i="6"/>
  <c r="F73" i="6"/>
  <c r="F81" i="6"/>
  <c r="F82" i="6"/>
  <c r="F83" i="6"/>
  <c r="F68" i="6"/>
  <c r="F65" i="6"/>
  <c r="F66" i="6"/>
  <c r="F79" i="6"/>
  <c r="F63" i="6"/>
  <c r="F64" i="6"/>
  <c r="F67" i="6"/>
  <c r="F69" i="6"/>
  <c r="E85" i="6"/>
  <c r="E73" i="6"/>
  <c r="E77" i="6"/>
  <c r="E74" i="6"/>
  <c r="E78" i="6"/>
  <c r="E75" i="6"/>
  <c r="E81" i="6"/>
  <c r="E82" i="6"/>
  <c r="E76" i="6"/>
  <c r="E79" i="6"/>
  <c r="E63" i="6"/>
  <c r="E64" i="6"/>
  <c r="E83" i="6"/>
  <c r="E65" i="6"/>
  <c r="E68" i="6"/>
  <c r="E66" i="6"/>
  <c r="E67" i="6"/>
  <c r="E69" i="6"/>
  <c r="D189" i="3"/>
  <c r="D197" i="3" s="1"/>
  <c r="N201" i="3"/>
  <c r="F188" i="3"/>
  <c r="F189" i="3" s="1"/>
  <c r="F197" i="3" s="1"/>
  <c r="H188" i="3"/>
  <c r="H189" i="3" s="1"/>
  <c r="H197" i="3" s="1"/>
  <c r="I188" i="3"/>
  <c r="G188" i="3"/>
  <c r="G189" i="3" s="1"/>
  <c r="E188" i="3"/>
  <c r="N89" i="4"/>
  <c r="M89" i="4"/>
  <c r="H206" i="3"/>
  <c r="G206" i="3"/>
  <c r="F206" i="3"/>
  <c r="E206" i="3"/>
  <c r="D206" i="3"/>
  <c r="F37" i="3"/>
  <c r="F112" i="3"/>
  <c r="G37" i="3"/>
  <c r="G112" i="3"/>
  <c r="E37" i="3"/>
  <c r="E112" i="3"/>
  <c r="H37" i="3"/>
  <c r="H112" i="3"/>
  <c r="D60" i="4"/>
  <c r="E60" i="4"/>
  <c r="F60" i="4"/>
  <c r="H60" i="4"/>
  <c r="G60" i="4"/>
  <c r="D141" i="3"/>
  <c r="E23" i="7" s="1"/>
  <c r="E26" i="7" s="1"/>
  <c r="H72" i="4"/>
  <c r="E141" i="3"/>
  <c r="F23" i="7" s="1"/>
  <c r="F26" i="7" s="1"/>
  <c r="G142" i="3"/>
  <c r="F141" i="3"/>
  <c r="G23" i="7" s="1"/>
  <c r="G26" i="7" s="1"/>
  <c r="H141" i="3"/>
  <c r="I23" i="7" s="1"/>
  <c r="I26" i="7" s="1"/>
  <c r="M71" i="4"/>
  <c r="N85" i="3"/>
  <c r="D37" i="3"/>
  <c r="F72" i="4"/>
  <c r="L71" i="4"/>
  <c r="K71" i="4"/>
  <c r="J71" i="4"/>
  <c r="G72" i="4"/>
  <c r="E72" i="4"/>
  <c r="J67" i="4"/>
  <c r="J68" i="3"/>
  <c r="I69" i="4"/>
  <c r="J72" i="3"/>
  <c r="K72" i="3" s="1"/>
  <c r="L72" i="3" s="1"/>
  <c r="M72" i="3" s="1"/>
  <c r="D135" i="3"/>
  <c r="D136" i="3"/>
  <c r="G135" i="3"/>
  <c r="G136" i="3"/>
  <c r="E135" i="3"/>
  <c r="E136" i="3"/>
  <c r="F135" i="3"/>
  <c r="H13" i="4"/>
  <c r="H34" i="3"/>
  <c r="D13" i="4"/>
  <c r="D31" i="3"/>
  <c r="D34" i="3"/>
  <c r="H31" i="3"/>
  <c r="E13" i="4"/>
  <c r="E34" i="3"/>
  <c r="F13" i="4"/>
  <c r="F107" i="4" s="1"/>
  <c r="F34" i="3"/>
  <c r="G13" i="4"/>
  <c r="G34" i="3"/>
  <c r="E31" i="3"/>
  <c r="B17" i="1"/>
  <c r="K9" i="1"/>
  <c r="I9" i="1"/>
  <c r="H9" i="1" s="1"/>
  <c r="G9" i="1" s="1"/>
  <c r="F9" i="1" s="1"/>
  <c r="D20" i="6" l="1"/>
  <c r="D44" i="4"/>
  <c r="E70" i="7"/>
  <c r="E53" i="7"/>
  <c r="E57" i="7"/>
  <c r="E49" i="7"/>
  <c r="E45" i="7"/>
  <c r="D110" i="4"/>
  <c r="D109" i="4"/>
  <c r="I57" i="7"/>
  <c r="I53" i="7"/>
  <c r="I45" i="7"/>
  <c r="I70" i="7"/>
  <c r="I74" i="7"/>
  <c r="I49" i="7"/>
  <c r="H53" i="7"/>
  <c r="H70" i="7"/>
  <c r="H57" i="7"/>
  <c r="H45" i="7"/>
  <c r="H49" i="7"/>
  <c r="H74" i="7"/>
  <c r="D107" i="4"/>
  <c r="D104" i="4"/>
  <c r="F108" i="4"/>
  <c r="E108" i="4"/>
  <c r="F44" i="4"/>
  <c r="G74" i="7"/>
  <c r="G57" i="7"/>
  <c r="G45" i="7"/>
  <c r="G70" i="7"/>
  <c r="G49" i="7"/>
  <c r="G53" i="7"/>
  <c r="F110" i="4"/>
  <c r="F109" i="4"/>
  <c r="F106" i="4"/>
  <c r="E44" i="4"/>
  <c r="F57" i="7"/>
  <c r="F53" i="7"/>
  <c r="F49" i="7"/>
  <c r="F45" i="7"/>
  <c r="F74" i="7"/>
  <c r="F70" i="7"/>
  <c r="E106" i="4"/>
  <c r="E110" i="4"/>
  <c r="E109" i="4"/>
  <c r="D108" i="4"/>
  <c r="N188" i="4"/>
  <c r="O90" i="7" s="1"/>
  <c r="N90" i="7"/>
  <c r="E107" i="4"/>
  <c r="E22" i="15"/>
  <c r="H20" i="6"/>
  <c r="L50" i="3"/>
  <c r="L51" i="3" s="1"/>
  <c r="K64" i="4"/>
  <c r="L49" i="3"/>
  <c r="D143" i="3"/>
  <c r="N71" i="4"/>
  <c r="D22" i="15"/>
  <c r="D23" i="15" s="1"/>
  <c r="E23" i="15"/>
  <c r="C26" i="8" s="1"/>
  <c r="F10" i="15"/>
  <c r="F11" i="15" s="1"/>
  <c r="F15" i="15" s="1"/>
  <c r="F61" i="4"/>
  <c r="E61" i="4"/>
  <c r="G29" i="6"/>
  <c r="G28" i="6"/>
  <c r="G33" i="6"/>
  <c r="G24" i="6"/>
  <c r="G30" i="6"/>
  <c r="G18" i="6"/>
  <c r="G17" i="6"/>
  <c r="H28" i="6"/>
  <c r="H29" i="6"/>
  <c r="H33" i="6"/>
  <c r="H24" i="6"/>
  <c r="H30" i="6"/>
  <c r="H18" i="6"/>
  <c r="H17" i="6"/>
  <c r="E29" i="6"/>
  <c r="E28" i="6"/>
  <c r="E30" i="6"/>
  <c r="E33" i="6"/>
  <c r="E24" i="6"/>
  <c r="E18" i="6"/>
  <c r="E17" i="6"/>
  <c r="G20" i="6"/>
  <c r="E20" i="6"/>
  <c r="F29" i="6"/>
  <c r="F28" i="6"/>
  <c r="F33" i="6"/>
  <c r="F24" i="6"/>
  <c r="F30" i="6"/>
  <c r="F18" i="6"/>
  <c r="F17" i="6"/>
  <c r="D29" i="6"/>
  <c r="D28" i="6"/>
  <c r="D33" i="6"/>
  <c r="D24" i="6"/>
  <c r="D30" i="6"/>
  <c r="D18" i="6"/>
  <c r="D17" i="6"/>
  <c r="F20" i="6"/>
  <c r="J116" i="12"/>
  <c r="J118" i="12" s="1"/>
  <c r="H12" i="6"/>
  <c r="I116" i="12"/>
  <c r="I118" i="12" s="1"/>
  <c r="G12" i="6"/>
  <c r="G116" i="12"/>
  <c r="G118" i="12" s="1"/>
  <c r="E12" i="6"/>
  <c r="F116" i="12"/>
  <c r="F118" i="12" s="1"/>
  <c r="D12" i="6"/>
  <c r="H116" i="12"/>
  <c r="H118" i="12" s="1"/>
  <c r="F12" i="6"/>
  <c r="G197" i="3"/>
  <c r="E189" i="3"/>
  <c r="E197" i="3" s="1"/>
  <c r="I189" i="3"/>
  <c r="K60" i="3"/>
  <c r="D61" i="4"/>
  <c r="M66" i="4"/>
  <c r="N72" i="3"/>
  <c r="I21" i="4"/>
  <c r="K68" i="3"/>
  <c r="J69" i="4"/>
  <c r="K66" i="4"/>
  <c r="J66" i="4"/>
  <c r="L66" i="4"/>
  <c r="I150" i="3"/>
  <c r="N77" i="11"/>
  <c r="M77" i="11"/>
  <c r="L77" i="11"/>
  <c r="K77" i="11"/>
  <c r="J77" i="11"/>
  <c r="I77" i="11"/>
  <c r="H77" i="11"/>
  <c r="G77" i="11"/>
  <c r="F77" i="11"/>
  <c r="E77" i="11"/>
  <c r="D77" i="11"/>
  <c r="N63" i="11"/>
  <c r="M63" i="11"/>
  <c r="L63" i="11"/>
  <c r="K63" i="11"/>
  <c r="J63" i="11"/>
  <c r="I63" i="11"/>
  <c r="H63" i="11"/>
  <c r="G63" i="11"/>
  <c r="F63" i="11"/>
  <c r="E63" i="11"/>
  <c r="M40" i="11"/>
  <c r="M48" i="11" s="1"/>
  <c r="M51" i="11" s="1"/>
  <c r="M79" i="11" s="1"/>
  <c r="L40" i="11"/>
  <c r="L48" i="11" s="1"/>
  <c r="L51" i="11" s="1"/>
  <c r="K40" i="11"/>
  <c r="K48" i="11" s="1"/>
  <c r="K51" i="11" s="1"/>
  <c r="J40" i="11"/>
  <c r="J48" i="11" s="1"/>
  <c r="J51" i="11" s="1"/>
  <c r="I40" i="11"/>
  <c r="I48" i="11" s="1"/>
  <c r="I51" i="11" s="1"/>
  <c r="H40" i="11"/>
  <c r="H48" i="11" s="1"/>
  <c r="H51" i="11" s="1"/>
  <c r="G40" i="11"/>
  <c r="G48" i="11" s="1"/>
  <c r="G51" i="11" s="1"/>
  <c r="F40" i="11"/>
  <c r="F48" i="11" s="1"/>
  <c r="F51" i="11" s="1"/>
  <c r="E40" i="11"/>
  <c r="E48" i="11" s="1"/>
  <c r="E51" i="11" s="1"/>
  <c r="E6" i="11"/>
  <c r="F6" i="11" s="1"/>
  <c r="G6" i="11" s="1"/>
  <c r="H6" i="11" s="1"/>
  <c r="I6" i="11" s="1"/>
  <c r="J6" i="11" s="1"/>
  <c r="K6" i="11" s="1"/>
  <c r="L6" i="11" s="1"/>
  <c r="M6" i="11" s="1"/>
  <c r="N6" i="11" s="1"/>
  <c r="O6" i="11" s="1"/>
  <c r="N70" i="10"/>
  <c r="M70" i="10"/>
  <c r="L70" i="10"/>
  <c r="K70" i="10"/>
  <c r="J70" i="10"/>
  <c r="I70" i="10"/>
  <c r="H70" i="10"/>
  <c r="G70" i="10"/>
  <c r="F70" i="10"/>
  <c r="E70" i="10"/>
  <c r="D70" i="10"/>
  <c r="N56" i="10"/>
  <c r="M56" i="10"/>
  <c r="L56" i="10"/>
  <c r="K56" i="10"/>
  <c r="J56" i="10"/>
  <c r="I56" i="10"/>
  <c r="H56" i="10"/>
  <c r="G56" i="10"/>
  <c r="F56" i="10"/>
  <c r="E56" i="10"/>
  <c r="D56" i="10"/>
  <c r="N44" i="10"/>
  <c r="M44" i="10"/>
  <c r="L44" i="10"/>
  <c r="K44" i="10"/>
  <c r="J44" i="10"/>
  <c r="I44" i="10"/>
  <c r="H44" i="10"/>
  <c r="G44" i="10"/>
  <c r="F44" i="10"/>
  <c r="E44" i="10"/>
  <c r="D44" i="10"/>
  <c r="E6" i="10"/>
  <c r="F6" i="10" s="1"/>
  <c r="G6" i="10" s="1"/>
  <c r="H6" i="10" s="1"/>
  <c r="I6" i="10" s="1"/>
  <c r="J6" i="10" s="1"/>
  <c r="K6" i="10" s="1"/>
  <c r="L6" i="10" s="1"/>
  <c r="M6" i="10" s="1"/>
  <c r="N6" i="10" s="1"/>
  <c r="O6" i="10" s="1"/>
  <c r="N63" i="9"/>
  <c r="M63" i="9"/>
  <c r="L63" i="9"/>
  <c r="K63" i="9"/>
  <c r="J63" i="9"/>
  <c r="I63" i="9"/>
  <c r="H63" i="9"/>
  <c r="G63" i="9"/>
  <c r="F63" i="9"/>
  <c r="D63" i="9"/>
  <c r="N59" i="9"/>
  <c r="M59" i="9"/>
  <c r="L59" i="9"/>
  <c r="K59" i="9"/>
  <c r="J59" i="9"/>
  <c r="I59" i="9"/>
  <c r="H59" i="9"/>
  <c r="G59" i="9"/>
  <c r="F59" i="9"/>
  <c r="E59" i="9"/>
  <c r="D59" i="9"/>
  <c r="N42" i="9"/>
  <c r="M42" i="9"/>
  <c r="L42" i="9"/>
  <c r="K42" i="9"/>
  <c r="J42" i="9"/>
  <c r="I42" i="9"/>
  <c r="H42" i="9"/>
  <c r="G42" i="9"/>
  <c r="F42" i="9"/>
  <c r="E42" i="9"/>
  <c r="D42" i="9"/>
  <c r="N25" i="9"/>
  <c r="H26" i="3" s="1"/>
  <c r="H27" i="3" s="1"/>
  <c r="M25" i="9"/>
  <c r="L25" i="9"/>
  <c r="K25" i="9"/>
  <c r="J25" i="9"/>
  <c r="I25" i="9"/>
  <c r="I27" i="9" s="1"/>
  <c r="H25" i="9"/>
  <c r="H27" i="9" s="1"/>
  <c r="G25" i="9"/>
  <c r="G27" i="9" s="1"/>
  <c r="F25" i="9"/>
  <c r="F27" i="9" s="1"/>
  <c r="E25" i="9"/>
  <c r="E27" i="9" s="1"/>
  <c r="E10" i="9"/>
  <c r="F10" i="9" s="1"/>
  <c r="G10" i="9" s="1"/>
  <c r="H10" i="9" s="1"/>
  <c r="I10" i="9" s="1"/>
  <c r="J10" i="9" s="1"/>
  <c r="K10" i="9" s="1"/>
  <c r="L10" i="9" s="1"/>
  <c r="M10" i="9" s="1"/>
  <c r="N10" i="9" s="1"/>
  <c r="O10" i="9" s="1"/>
  <c r="F74" i="4" l="1"/>
  <c r="F54" i="6" s="1"/>
  <c r="F103" i="4"/>
  <c r="G17" i="7"/>
  <c r="G21" i="7" s="1"/>
  <c r="G13" i="7"/>
  <c r="G15" i="7" s="1"/>
  <c r="E103" i="4"/>
  <c r="F17" i="7"/>
  <c r="F21" i="7" s="1"/>
  <c r="F13" i="7"/>
  <c r="F15" i="7" s="1"/>
  <c r="D103" i="4"/>
  <c r="E17" i="7"/>
  <c r="E21" i="7" s="1"/>
  <c r="E13" i="7"/>
  <c r="E15" i="7" s="1"/>
  <c r="L52" i="3"/>
  <c r="M50" i="3" s="1"/>
  <c r="M51" i="3" s="1"/>
  <c r="N66" i="4"/>
  <c r="E15" i="15"/>
  <c r="H6" i="15"/>
  <c r="F22" i="15"/>
  <c r="F23" i="15" s="1"/>
  <c r="K27" i="8"/>
  <c r="F101" i="4"/>
  <c r="F39" i="6"/>
  <c r="F59" i="6"/>
  <c r="F40" i="6"/>
  <c r="F49" i="6"/>
  <c r="F52" i="6"/>
  <c r="F51" i="6"/>
  <c r="F53" i="6"/>
  <c r="F55" i="6"/>
  <c r="F50" i="6"/>
  <c r="F42" i="6"/>
  <c r="F41" i="6"/>
  <c r="F48" i="6"/>
  <c r="F56" i="6"/>
  <c r="F43" i="6"/>
  <c r="F44" i="6"/>
  <c r="E74" i="4"/>
  <c r="D74" i="4"/>
  <c r="F46" i="6"/>
  <c r="H111" i="3"/>
  <c r="H115" i="3" s="1"/>
  <c r="H117" i="3" s="1"/>
  <c r="H124" i="3" s="1"/>
  <c r="H145" i="3"/>
  <c r="M49" i="3"/>
  <c r="L60" i="3"/>
  <c r="L67" i="4" s="1"/>
  <c r="K67" i="4"/>
  <c r="D40" i="11"/>
  <c r="D48" i="11" s="1"/>
  <c r="D51" i="11" s="1"/>
  <c r="D79" i="11" s="1"/>
  <c r="H157" i="3"/>
  <c r="H160" i="3"/>
  <c r="I58" i="4"/>
  <c r="J19" i="7" s="1"/>
  <c r="L23" i="10"/>
  <c r="N40" i="11"/>
  <c r="N48" i="11" s="1"/>
  <c r="N51" i="11" s="1"/>
  <c r="N79" i="11" s="1"/>
  <c r="G79" i="11"/>
  <c r="J79" i="11"/>
  <c r="F79" i="11"/>
  <c r="H79" i="11"/>
  <c r="K79" i="11"/>
  <c r="E79" i="11"/>
  <c r="I79" i="11"/>
  <c r="L79" i="11"/>
  <c r="N39" i="10"/>
  <c r="O23" i="10"/>
  <c r="I13" i="4"/>
  <c r="I133" i="3"/>
  <c r="I155" i="3"/>
  <c r="I59" i="4" s="1"/>
  <c r="I14" i="4"/>
  <c r="D39" i="10"/>
  <c r="F23" i="10"/>
  <c r="L68" i="3"/>
  <c r="K69" i="4"/>
  <c r="J23" i="10"/>
  <c r="K23" i="10"/>
  <c r="N23" i="10"/>
  <c r="E23" i="10"/>
  <c r="G23" i="10"/>
  <c r="H23" i="10"/>
  <c r="M23" i="10"/>
  <c r="I23" i="10"/>
  <c r="F39" i="10"/>
  <c r="G39" i="10"/>
  <c r="E39" i="10"/>
  <c r="I76" i="10"/>
  <c r="L72" i="10"/>
  <c r="M39" i="10"/>
  <c r="M72" i="10"/>
  <c r="E76" i="10"/>
  <c r="J39" i="10"/>
  <c r="K39" i="10"/>
  <c r="L39" i="10"/>
  <c r="I22" i="4"/>
  <c r="I36" i="3"/>
  <c r="I112" i="3" s="1"/>
  <c r="J27" i="9"/>
  <c r="D26" i="3"/>
  <c r="K27" i="9"/>
  <c r="E26" i="3"/>
  <c r="L27" i="9"/>
  <c r="F26" i="3"/>
  <c r="M27" i="9"/>
  <c r="G26" i="3"/>
  <c r="N27" i="9"/>
  <c r="H14" i="4"/>
  <c r="D72" i="10"/>
  <c r="I72" i="10"/>
  <c r="K72" i="10"/>
  <c r="J72" i="10"/>
  <c r="H39" i="10"/>
  <c r="J76" i="10"/>
  <c r="G72" i="10"/>
  <c r="K76" i="10"/>
  <c r="M76" i="10"/>
  <c r="L76" i="10"/>
  <c r="N76" i="10"/>
  <c r="F76" i="10"/>
  <c r="G76" i="10"/>
  <c r="I39" i="10"/>
  <c r="N72" i="10"/>
  <c r="N74" i="10" s="1"/>
  <c r="E72" i="10"/>
  <c r="F72" i="10"/>
  <c r="H72" i="10"/>
  <c r="H76" i="10"/>
  <c r="D76" i="10"/>
  <c r="J53" i="7" l="1"/>
  <c r="J70" i="7"/>
  <c r="J57" i="7"/>
  <c r="J45" i="7"/>
  <c r="J74" i="7"/>
  <c r="J49" i="7"/>
  <c r="AC93" i="21"/>
  <c r="J78" i="7"/>
  <c r="AB93" i="21"/>
  <c r="I78" i="7"/>
  <c r="I80" i="7" s="1"/>
  <c r="H105" i="4"/>
  <c r="E46" i="6"/>
  <c r="F35" i="7"/>
  <c r="F36" i="7" s="1"/>
  <c r="F75" i="7"/>
  <c r="F76" i="7" s="1"/>
  <c r="F71" i="7"/>
  <c r="F72" i="7" s="1"/>
  <c r="F39" i="7"/>
  <c r="F40" i="7" s="1"/>
  <c r="F61" i="7"/>
  <c r="F45" i="6"/>
  <c r="E61" i="7"/>
  <c r="E35" i="7"/>
  <c r="E36" i="7" s="1"/>
  <c r="E39" i="7"/>
  <c r="E40" i="7" s="1"/>
  <c r="E71" i="7"/>
  <c r="E72" i="7" s="1"/>
  <c r="F57" i="6"/>
  <c r="G35" i="7"/>
  <c r="G36" i="7" s="1"/>
  <c r="G71" i="7"/>
  <c r="G72" i="7" s="1"/>
  <c r="G61" i="7"/>
  <c r="G75" i="7"/>
  <c r="G76" i="7" s="1"/>
  <c r="G39" i="7"/>
  <c r="G40" i="7" s="1"/>
  <c r="L64" i="4"/>
  <c r="M52" i="3"/>
  <c r="N50" i="3" s="1"/>
  <c r="N51" i="3" s="1"/>
  <c r="E145" i="3"/>
  <c r="E27" i="3"/>
  <c r="G145" i="3"/>
  <c r="G27" i="3"/>
  <c r="F145" i="3"/>
  <c r="F27" i="3"/>
  <c r="D145" i="3"/>
  <c r="D27" i="3"/>
  <c r="I18" i="6"/>
  <c r="D101" i="4"/>
  <c r="D39" i="6"/>
  <c r="D40" i="6"/>
  <c r="D59" i="6"/>
  <c r="D49" i="6"/>
  <c r="D48" i="6"/>
  <c r="D56" i="6"/>
  <c r="D54" i="6"/>
  <c r="D51" i="6"/>
  <c r="D53" i="6"/>
  <c r="D52" i="6"/>
  <c r="D55" i="6"/>
  <c r="D50" i="6"/>
  <c r="D57" i="6"/>
  <c r="D44" i="6"/>
  <c r="D42" i="6"/>
  <c r="D41" i="6"/>
  <c r="D43" i="6"/>
  <c r="D45" i="6"/>
  <c r="E101" i="4"/>
  <c r="E40" i="6"/>
  <c r="E39" i="6"/>
  <c r="E59" i="6"/>
  <c r="E49" i="6"/>
  <c r="E53" i="6"/>
  <c r="E56" i="6"/>
  <c r="E54" i="6"/>
  <c r="E51" i="6"/>
  <c r="E52" i="6"/>
  <c r="E50" i="6"/>
  <c r="E48" i="6"/>
  <c r="E42" i="6"/>
  <c r="E44" i="6"/>
  <c r="E41" i="6"/>
  <c r="E43" i="6"/>
  <c r="E55" i="6"/>
  <c r="E57" i="6"/>
  <c r="E45" i="6"/>
  <c r="D46" i="6"/>
  <c r="I28" i="6"/>
  <c r="I29" i="6"/>
  <c r="I33" i="6"/>
  <c r="I30" i="6"/>
  <c r="I24" i="6"/>
  <c r="I17" i="6"/>
  <c r="I13" i="6"/>
  <c r="H15" i="4"/>
  <c r="H13" i="6"/>
  <c r="K116" i="12"/>
  <c r="K118" i="12" s="1"/>
  <c r="I12" i="6"/>
  <c r="I24" i="4"/>
  <c r="I20" i="6" s="1"/>
  <c r="N49" i="3"/>
  <c r="M60" i="3"/>
  <c r="M67" i="4" s="1"/>
  <c r="I115" i="3"/>
  <c r="I117" i="3" s="1"/>
  <c r="I124" i="3" s="1"/>
  <c r="H162" i="3"/>
  <c r="G160" i="3"/>
  <c r="G111" i="3"/>
  <c r="G115" i="3" s="1"/>
  <c r="G117" i="3" s="1"/>
  <c r="G124" i="3" s="1"/>
  <c r="F160" i="3"/>
  <c r="F111" i="3"/>
  <c r="F115" i="3" s="1"/>
  <c r="F117" i="3" s="1"/>
  <c r="F124" i="3" s="1"/>
  <c r="E160" i="3"/>
  <c r="E111" i="3"/>
  <c r="E115" i="3" s="1"/>
  <c r="E117" i="3" s="1"/>
  <c r="E124" i="3" s="1"/>
  <c r="D160" i="3"/>
  <c r="D111" i="3"/>
  <c r="D115" i="3" s="1"/>
  <c r="D117" i="3" s="1"/>
  <c r="D124" i="3" s="1"/>
  <c r="D126" i="3" s="1"/>
  <c r="E123" i="3" s="1"/>
  <c r="I37" i="3"/>
  <c r="D74" i="10"/>
  <c r="F14" i="4"/>
  <c r="F157" i="3"/>
  <c r="E14" i="4"/>
  <c r="E157" i="3"/>
  <c r="D14" i="4"/>
  <c r="D157" i="3"/>
  <c r="G14" i="4"/>
  <c r="G157" i="3"/>
  <c r="M68" i="3"/>
  <c r="L69" i="4"/>
  <c r="F74" i="10"/>
  <c r="I74" i="10"/>
  <c r="L74" i="10"/>
  <c r="K74" i="10"/>
  <c r="G74" i="10"/>
  <c r="J74" i="10"/>
  <c r="E74" i="10"/>
  <c r="H74" i="10"/>
  <c r="M74" i="10"/>
  <c r="Y93" i="21" l="1"/>
  <c r="F78" i="7"/>
  <c r="F80" i="7" s="1"/>
  <c r="E105" i="4"/>
  <c r="C20" i="19"/>
  <c r="Z93" i="21"/>
  <c r="G78" i="7"/>
  <c r="G80" i="7" s="1"/>
  <c r="F105" i="4"/>
  <c r="AA93" i="21"/>
  <c r="H78" i="7"/>
  <c r="H80" i="7" s="1"/>
  <c r="G105" i="4"/>
  <c r="H14" i="6"/>
  <c r="I44" i="7"/>
  <c r="I46" i="7" s="1"/>
  <c r="X93" i="21"/>
  <c r="E78" i="7"/>
  <c r="E80" i="7" s="1"/>
  <c r="D105" i="4"/>
  <c r="M64" i="4"/>
  <c r="D29" i="3"/>
  <c r="H17" i="4"/>
  <c r="H25" i="4"/>
  <c r="F15" i="4"/>
  <c r="F13" i="6"/>
  <c r="E15" i="4"/>
  <c r="E13" i="6"/>
  <c r="G15" i="4"/>
  <c r="G13" i="6"/>
  <c r="D15" i="4"/>
  <c r="D13" i="6"/>
  <c r="N52" i="3"/>
  <c r="N64" i="4" s="1"/>
  <c r="N60" i="3"/>
  <c r="E162" i="3"/>
  <c r="F162" i="3"/>
  <c r="G162" i="3"/>
  <c r="D162" i="3"/>
  <c r="M69" i="4"/>
  <c r="N68" i="3"/>
  <c r="I59" i="1"/>
  <c r="J59" i="1"/>
  <c r="H59" i="1"/>
  <c r="F59" i="1"/>
  <c r="G59" i="1"/>
  <c r="I48" i="7" l="1"/>
  <c r="I50" i="7" s="1"/>
  <c r="I85" i="7"/>
  <c r="I86" i="7" s="1"/>
  <c r="D14" i="6"/>
  <c r="D45" i="4"/>
  <c r="E44" i="7"/>
  <c r="E46" i="7" s="1"/>
  <c r="G17" i="4"/>
  <c r="H44" i="7"/>
  <c r="H46" i="7" s="1"/>
  <c r="E17" i="4"/>
  <c r="E45" i="4"/>
  <c r="F44" i="7"/>
  <c r="F46" i="7" s="1"/>
  <c r="F25" i="4"/>
  <c r="F31" i="4" s="1"/>
  <c r="F45" i="4"/>
  <c r="G44" i="7"/>
  <c r="G46" i="7" s="1"/>
  <c r="I13" i="8"/>
  <c r="I15" i="8" s="1"/>
  <c r="I17" i="8" s="1"/>
  <c r="H21" i="6"/>
  <c r="H31" i="4"/>
  <c r="H27" i="4"/>
  <c r="N67" i="4"/>
  <c r="C43" i="8" s="1"/>
  <c r="N69" i="4"/>
  <c r="G25" i="4"/>
  <c r="G14" i="6"/>
  <c r="E25" i="4"/>
  <c r="E14" i="6"/>
  <c r="D17" i="4"/>
  <c r="D25" i="4"/>
  <c r="F17" i="4"/>
  <c r="F14" i="6"/>
  <c r="G44" i="4"/>
  <c r="J9" i="4"/>
  <c r="K9" i="4" s="1"/>
  <c r="L9" i="4" s="1"/>
  <c r="M9" i="4" s="1"/>
  <c r="N9" i="4" s="1"/>
  <c r="I105" i="3"/>
  <c r="B100" i="3"/>
  <c r="B101" i="3" s="1"/>
  <c r="B102" i="3" s="1"/>
  <c r="B103" i="3" s="1"/>
  <c r="B104" i="3" s="1"/>
  <c r="J99" i="3"/>
  <c r="I9" i="3"/>
  <c r="J9" i="3" s="1"/>
  <c r="K9" i="3" s="1"/>
  <c r="L9" i="3" s="1"/>
  <c r="M9" i="3" s="1"/>
  <c r="N9" i="3" s="1"/>
  <c r="P149" i="1"/>
  <c r="N128" i="3" s="1"/>
  <c r="O149" i="1"/>
  <c r="M128" i="3" s="1"/>
  <c r="N149" i="1"/>
  <c r="L128" i="3" s="1"/>
  <c r="M149" i="1"/>
  <c r="K128" i="3" s="1"/>
  <c r="L149" i="1"/>
  <c r="J128" i="3" s="1"/>
  <c r="N232" i="3"/>
  <c r="M232" i="3"/>
  <c r="L232" i="3"/>
  <c r="K232" i="3"/>
  <c r="P133" i="1"/>
  <c r="N119" i="3" s="1"/>
  <c r="O133" i="1"/>
  <c r="M119" i="3" s="1"/>
  <c r="N133" i="1"/>
  <c r="L119" i="3" s="1"/>
  <c r="M133" i="1"/>
  <c r="K119" i="3" s="1"/>
  <c r="L133" i="1"/>
  <c r="J119" i="3" s="1"/>
  <c r="P119" i="1"/>
  <c r="N82" i="3" s="1"/>
  <c r="O119" i="1"/>
  <c r="M82" i="3" s="1"/>
  <c r="N119" i="1"/>
  <c r="L82" i="3" s="1"/>
  <c r="M119" i="1"/>
  <c r="K82" i="3" s="1"/>
  <c r="K77" i="3" s="1"/>
  <c r="L119" i="1"/>
  <c r="J82" i="3" s="1"/>
  <c r="J77" i="3" s="1"/>
  <c r="P75" i="1"/>
  <c r="O75" i="1"/>
  <c r="N75" i="1"/>
  <c r="M75" i="1"/>
  <c r="L75" i="1"/>
  <c r="L9" i="1"/>
  <c r="M9" i="1" s="1"/>
  <c r="N9" i="1" s="1"/>
  <c r="O9" i="1" s="1"/>
  <c r="I19" i="8" l="1"/>
  <c r="I23" i="8" s="1"/>
  <c r="F33" i="4"/>
  <c r="F47" i="4"/>
  <c r="G88" i="7"/>
  <c r="G91" i="7" s="1"/>
  <c r="G52" i="7"/>
  <c r="G54" i="7" s="1"/>
  <c r="G93" i="7"/>
  <c r="G95" i="7" s="1"/>
  <c r="G13" i="8"/>
  <c r="G15" i="8" s="1"/>
  <c r="G17" i="8" s="1"/>
  <c r="F46" i="4"/>
  <c r="G48" i="7"/>
  <c r="G50" i="7" s="1"/>
  <c r="G85" i="7"/>
  <c r="G86" i="7" s="1"/>
  <c r="F27" i="4"/>
  <c r="H39" i="4"/>
  <c r="H31" i="6" s="1"/>
  <c r="I52" i="7"/>
  <c r="I54" i="7" s="1"/>
  <c r="I88" i="7"/>
  <c r="I91" i="7" s="1"/>
  <c r="I93" i="7"/>
  <c r="I95" i="7" s="1"/>
  <c r="F13" i="8"/>
  <c r="F15" i="8" s="1"/>
  <c r="F17" i="8" s="1"/>
  <c r="E46" i="4"/>
  <c r="F48" i="7"/>
  <c r="F50" i="7" s="1"/>
  <c r="F85" i="7"/>
  <c r="F86" i="7" s="1"/>
  <c r="F21" i="6"/>
  <c r="H13" i="8"/>
  <c r="H15" i="8" s="1"/>
  <c r="H17" i="8" s="1"/>
  <c r="H48" i="7"/>
  <c r="H50" i="7" s="1"/>
  <c r="H85" i="7"/>
  <c r="H86" i="7" s="1"/>
  <c r="E13" i="8"/>
  <c r="E15" i="8" s="1"/>
  <c r="E17" i="8" s="1"/>
  <c r="D46" i="4"/>
  <c r="E85" i="7"/>
  <c r="E86" i="7" s="1"/>
  <c r="E48" i="7"/>
  <c r="E50" i="7" s="1"/>
  <c r="J44" i="3"/>
  <c r="J91" i="3" s="1"/>
  <c r="C60" i="8"/>
  <c r="C28" i="19"/>
  <c r="H33" i="4"/>
  <c r="H25" i="6"/>
  <c r="P9" i="1"/>
  <c r="L46" i="1"/>
  <c r="M46" i="1" s="1"/>
  <c r="G31" i="4"/>
  <c r="G21" i="6"/>
  <c r="D31" i="4"/>
  <c r="D21" i="6"/>
  <c r="E31" i="4"/>
  <c r="E21" i="6"/>
  <c r="F39" i="4"/>
  <c r="F48" i="4" s="1"/>
  <c r="F25" i="6"/>
  <c r="E27" i="4"/>
  <c r="D27" i="4"/>
  <c r="G27" i="4"/>
  <c r="J232" i="3"/>
  <c r="J78" i="3"/>
  <c r="K78" i="3" s="1"/>
  <c r="L47" i="1"/>
  <c r="M47" i="1" s="1"/>
  <c r="N47" i="1" s="1"/>
  <c r="L48" i="1"/>
  <c r="M48" i="1" s="1"/>
  <c r="N48" i="1" s="1"/>
  <c r="G99" i="4"/>
  <c r="H61" i="4"/>
  <c r="H107" i="4"/>
  <c r="I15" i="4"/>
  <c r="J44" i="7" s="1"/>
  <c r="J46" i="7" s="1"/>
  <c r="G108" i="4"/>
  <c r="I99" i="4"/>
  <c r="I110" i="4"/>
  <c r="G106" i="4"/>
  <c r="I106" i="4"/>
  <c r="G107" i="4"/>
  <c r="G109" i="4"/>
  <c r="I109" i="4"/>
  <c r="I107" i="4"/>
  <c r="G61" i="4"/>
  <c r="G110" i="4"/>
  <c r="G104" i="4"/>
  <c r="K99" i="3"/>
  <c r="H19" i="8" l="1"/>
  <c r="H23" i="8" s="1"/>
  <c r="G19" i="8"/>
  <c r="G23" i="8" s="1"/>
  <c r="F19" i="8"/>
  <c r="F23" i="8" s="1"/>
  <c r="E19" i="8"/>
  <c r="E23" i="8" s="1"/>
  <c r="H88" i="7"/>
  <c r="H91" i="7" s="1"/>
  <c r="H93" i="7"/>
  <c r="H95" i="7" s="1"/>
  <c r="H52" i="7"/>
  <c r="H54" i="7" s="1"/>
  <c r="E47" i="4"/>
  <c r="F93" i="7"/>
  <c r="F95" i="7" s="1"/>
  <c r="F52" i="7"/>
  <c r="F54" i="7" s="1"/>
  <c r="F88" i="7"/>
  <c r="F91" i="7" s="1"/>
  <c r="H114" i="4"/>
  <c r="H161" i="4" s="1"/>
  <c r="H168" i="4" s="1"/>
  <c r="H173" i="4" s="1"/>
  <c r="H199" i="4" s="1"/>
  <c r="D47" i="4"/>
  <c r="E88" i="7"/>
  <c r="E91" i="7" s="1"/>
  <c r="E93" i="7"/>
  <c r="E95" i="7" s="1"/>
  <c r="E52" i="7"/>
  <c r="E54" i="7" s="1"/>
  <c r="H42" i="4"/>
  <c r="H17" i="7"/>
  <c r="H21" i="7" s="1"/>
  <c r="G103" i="4"/>
  <c r="H13" i="7"/>
  <c r="H15" i="7" s="1"/>
  <c r="I17" i="7"/>
  <c r="I21" i="7" s="1"/>
  <c r="I13" i="7"/>
  <c r="I15" i="7" s="1"/>
  <c r="H34" i="6"/>
  <c r="I85" i="6"/>
  <c r="I77" i="6"/>
  <c r="I75" i="6"/>
  <c r="I76" i="6"/>
  <c r="I78" i="6"/>
  <c r="I82" i="6"/>
  <c r="I81" i="6"/>
  <c r="I73" i="6"/>
  <c r="I74" i="6"/>
  <c r="I68" i="6"/>
  <c r="I69" i="6"/>
  <c r="I79" i="6"/>
  <c r="I67" i="6"/>
  <c r="I65" i="6"/>
  <c r="I66" i="6"/>
  <c r="I63" i="6"/>
  <c r="I83" i="6"/>
  <c r="I64" i="6"/>
  <c r="I70" i="6"/>
  <c r="G85" i="6"/>
  <c r="G81" i="6"/>
  <c r="G82" i="6"/>
  <c r="G76" i="6"/>
  <c r="G78" i="6"/>
  <c r="G77" i="6"/>
  <c r="G73" i="6"/>
  <c r="G74" i="6"/>
  <c r="G75" i="6"/>
  <c r="G68" i="6"/>
  <c r="G79" i="6"/>
  <c r="G63" i="6"/>
  <c r="G65" i="6"/>
  <c r="G64" i="6"/>
  <c r="G67" i="6"/>
  <c r="G69" i="6"/>
  <c r="G66" i="6"/>
  <c r="G83" i="6"/>
  <c r="G70" i="6"/>
  <c r="J183" i="4"/>
  <c r="K22" i="8" s="1"/>
  <c r="F31" i="6"/>
  <c r="F42" i="4"/>
  <c r="F114" i="4"/>
  <c r="F161" i="4" s="1"/>
  <c r="F168" i="4" s="1"/>
  <c r="F173" i="4" s="1"/>
  <c r="F199" i="4" s="1"/>
  <c r="D39" i="4"/>
  <c r="D48" i="4" s="1"/>
  <c r="D25" i="6"/>
  <c r="E39" i="4"/>
  <c r="E25" i="6"/>
  <c r="D33" i="4"/>
  <c r="G39" i="4"/>
  <c r="G31" i="6" s="1"/>
  <c r="G25" i="6"/>
  <c r="G33" i="4"/>
  <c r="I17" i="4"/>
  <c r="I14" i="6"/>
  <c r="E33" i="4"/>
  <c r="J79" i="3"/>
  <c r="I45" i="4"/>
  <c r="I25" i="4"/>
  <c r="L59" i="1"/>
  <c r="N46" i="1"/>
  <c r="M49" i="1"/>
  <c r="L49" i="1"/>
  <c r="J25" i="3" s="1"/>
  <c r="G74" i="4"/>
  <c r="H104" i="4"/>
  <c r="H109" i="4"/>
  <c r="H110" i="4"/>
  <c r="H108" i="4"/>
  <c r="M25" i="8"/>
  <c r="L27" i="8"/>
  <c r="H106" i="4"/>
  <c r="G45" i="4"/>
  <c r="I44" i="4"/>
  <c r="H44" i="4"/>
  <c r="H99" i="4"/>
  <c r="H135" i="3"/>
  <c r="L99" i="3"/>
  <c r="J48" i="7" l="1"/>
  <c r="J50" i="7" s="1"/>
  <c r="J85" i="7"/>
  <c r="J86" i="7" s="1"/>
  <c r="C21" i="19"/>
  <c r="E31" i="6"/>
  <c r="E48" i="4"/>
  <c r="F34" i="6"/>
  <c r="F49" i="4"/>
  <c r="G56" i="7"/>
  <c r="G58" i="7" s="1"/>
  <c r="G64" i="7"/>
  <c r="G66" i="7" s="1"/>
  <c r="G60" i="7"/>
  <c r="G62" i="7" s="1"/>
  <c r="I56" i="7"/>
  <c r="I58" i="7" s="1"/>
  <c r="I64" i="7"/>
  <c r="I66" i="7" s="1"/>
  <c r="I60" i="7"/>
  <c r="H61" i="7"/>
  <c r="H39" i="7"/>
  <c r="H40" i="7" s="1"/>
  <c r="H35" i="7"/>
  <c r="H36" i="7" s="1"/>
  <c r="H71" i="7"/>
  <c r="H72" i="7" s="1"/>
  <c r="H75" i="7"/>
  <c r="H76" i="7" s="1"/>
  <c r="J13" i="8"/>
  <c r="J15" i="8" s="1"/>
  <c r="J17" i="8" s="1"/>
  <c r="K76" i="3"/>
  <c r="K79" i="3" s="1"/>
  <c r="K70" i="4" s="1"/>
  <c r="J70" i="4"/>
  <c r="J185" i="4"/>
  <c r="H85" i="6"/>
  <c r="H81" i="6"/>
  <c r="H74" i="6"/>
  <c r="H78" i="6"/>
  <c r="H82" i="6"/>
  <c r="H76" i="6"/>
  <c r="H75" i="6"/>
  <c r="H77" i="6"/>
  <c r="H73" i="6"/>
  <c r="H65" i="6"/>
  <c r="H68" i="6"/>
  <c r="H63" i="6"/>
  <c r="H64" i="6"/>
  <c r="H66" i="6"/>
  <c r="H69" i="6"/>
  <c r="H83" i="6"/>
  <c r="H67" i="6"/>
  <c r="H79" i="6"/>
  <c r="H70" i="6"/>
  <c r="G101" i="4"/>
  <c r="G59" i="6"/>
  <c r="G40" i="6"/>
  <c r="G39" i="6"/>
  <c r="G49" i="6"/>
  <c r="G51" i="6"/>
  <c r="G56" i="6"/>
  <c r="G50" i="6"/>
  <c r="G52" i="6"/>
  <c r="G54" i="6"/>
  <c r="G42" i="6"/>
  <c r="G41" i="6"/>
  <c r="G55" i="6"/>
  <c r="G53" i="6"/>
  <c r="G48" i="6"/>
  <c r="G44" i="6"/>
  <c r="G43" i="6"/>
  <c r="G45" i="6"/>
  <c r="G57" i="6"/>
  <c r="J46" i="3"/>
  <c r="G46" i="6"/>
  <c r="I31" i="4"/>
  <c r="I21" i="6"/>
  <c r="D31" i="6"/>
  <c r="D42" i="4"/>
  <c r="D114" i="4"/>
  <c r="D161" i="4" s="1"/>
  <c r="E42" i="4"/>
  <c r="E114" i="4"/>
  <c r="E161" i="4" s="1"/>
  <c r="E168" i="4" s="1"/>
  <c r="E173" i="4" s="1"/>
  <c r="E199" i="4" s="1"/>
  <c r="G42" i="4"/>
  <c r="G114" i="4"/>
  <c r="G161" i="4" s="1"/>
  <c r="G168" i="4" s="1"/>
  <c r="G173" i="4" s="1"/>
  <c r="G199" i="4" s="1"/>
  <c r="I70" i="4"/>
  <c r="I27" i="4"/>
  <c r="M59" i="1"/>
  <c r="N59" i="1"/>
  <c r="K25" i="3"/>
  <c r="N49" i="1"/>
  <c r="L25" i="3" s="1"/>
  <c r="I46" i="4"/>
  <c r="M27" i="8"/>
  <c r="N25" i="8"/>
  <c r="H45" i="4"/>
  <c r="G46" i="4"/>
  <c r="H74" i="4"/>
  <c r="H103" i="4"/>
  <c r="M99" i="3"/>
  <c r="J19" i="8" l="1"/>
  <c r="J23" i="8" s="1"/>
  <c r="G34" i="6"/>
  <c r="G49" i="4"/>
  <c r="H60" i="7"/>
  <c r="H64" i="7"/>
  <c r="H66" i="7" s="1"/>
  <c r="H56" i="7"/>
  <c r="H58" i="7" s="1"/>
  <c r="E34" i="6"/>
  <c r="E49" i="4"/>
  <c r="F64" i="7"/>
  <c r="F66" i="7" s="1"/>
  <c r="F56" i="7"/>
  <c r="F58" i="7" s="1"/>
  <c r="F60" i="7"/>
  <c r="F62" i="7" s="1"/>
  <c r="D34" i="6"/>
  <c r="D49" i="4"/>
  <c r="E64" i="7"/>
  <c r="E66" i="7" s="1"/>
  <c r="E60" i="7"/>
  <c r="E62" i="7" s="1"/>
  <c r="E56" i="7"/>
  <c r="E58" i="7" s="1"/>
  <c r="J52" i="7"/>
  <c r="J54" i="7" s="1"/>
  <c r="J93" i="7"/>
  <c r="J95" i="7" s="1"/>
  <c r="J88" i="7"/>
  <c r="J91" i="7" s="1"/>
  <c r="H62" i="7"/>
  <c r="I61" i="7"/>
  <c r="I62" i="7" s="1"/>
  <c r="I39" i="7"/>
  <c r="I40" i="7" s="1"/>
  <c r="I35" i="7"/>
  <c r="I36" i="7" s="1"/>
  <c r="I71" i="7"/>
  <c r="I72" i="7" s="1"/>
  <c r="I75" i="7"/>
  <c r="I76" i="7" s="1"/>
  <c r="K44" i="3"/>
  <c r="J63" i="4"/>
  <c r="L77" i="3"/>
  <c r="L78" i="3" s="1"/>
  <c r="D168" i="4"/>
  <c r="D173" i="4" s="1"/>
  <c r="D199" i="4" s="1"/>
  <c r="D202" i="4" s="1"/>
  <c r="E200" i="4" s="1"/>
  <c r="E202" i="4" s="1"/>
  <c r="F200" i="4" s="1"/>
  <c r="F202" i="4" s="1"/>
  <c r="G200" i="4" s="1"/>
  <c r="G202" i="4" s="1"/>
  <c r="H200" i="4" s="1"/>
  <c r="H202" i="4" s="1"/>
  <c r="I200" i="4" s="1"/>
  <c r="H101" i="4"/>
  <c r="H59" i="6"/>
  <c r="H39" i="6"/>
  <c r="H40" i="6"/>
  <c r="H49" i="6"/>
  <c r="H51" i="6"/>
  <c r="H50" i="6"/>
  <c r="H52" i="6"/>
  <c r="H42" i="6"/>
  <c r="H43" i="6"/>
  <c r="H41" i="6"/>
  <c r="H54" i="6"/>
  <c r="H44" i="6"/>
  <c r="H55" i="6"/>
  <c r="H56" i="6"/>
  <c r="H48" i="6"/>
  <c r="H53" i="6"/>
  <c r="H45" i="6"/>
  <c r="H57" i="6"/>
  <c r="H46" i="6"/>
  <c r="I39" i="4"/>
  <c r="I31" i="6" s="1"/>
  <c r="I25" i="6"/>
  <c r="C21" i="13"/>
  <c r="C22" i="13" s="1"/>
  <c r="K80" i="3"/>
  <c r="K56" i="3"/>
  <c r="J65" i="4" s="1"/>
  <c r="I60" i="4"/>
  <c r="I136" i="3"/>
  <c r="I57" i="4"/>
  <c r="O25" i="8"/>
  <c r="N27" i="8"/>
  <c r="G47" i="4"/>
  <c r="H46" i="4"/>
  <c r="N99" i="3"/>
  <c r="O27" i="8" l="1"/>
  <c r="I108" i="4"/>
  <c r="I104" i="4"/>
  <c r="I114" i="4"/>
  <c r="I161" i="4" s="1"/>
  <c r="I168" i="4" s="1"/>
  <c r="I173" i="4" s="1"/>
  <c r="I199" i="4" s="1"/>
  <c r="I202" i="4" s="1"/>
  <c r="J200" i="4" s="1"/>
  <c r="I42" i="4"/>
  <c r="L76" i="3"/>
  <c r="L79" i="3" s="1"/>
  <c r="L70" i="4" s="1"/>
  <c r="L56" i="3"/>
  <c r="K65" i="4" s="1"/>
  <c r="G48" i="4"/>
  <c r="H47" i="4"/>
  <c r="J64" i="7" l="1"/>
  <c r="J66" i="7" s="1"/>
  <c r="J56" i="7"/>
  <c r="J58" i="7" s="1"/>
  <c r="J60" i="7"/>
  <c r="C22" i="19"/>
  <c r="I34" i="6"/>
  <c r="L80" i="3"/>
  <c r="M76" i="3"/>
  <c r="M77" i="3"/>
  <c r="M78" i="3" s="1"/>
  <c r="M56" i="3"/>
  <c r="L65" i="4" s="1"/>
  <c r="H49" i="4"/>
  <c r="H48" i="4"/>
  <c r="C29" i="19" l="1"/>
  <c r="M79" i="3"/>
  <c r="N77" i="3"/>
  <c r="N78" i="3" s="1"/>
  <c r="N56" i="3"/>
  <c r="N76" i="3" l="1"/>
  <c r="N79" i="3" s="1"/>
  <c r="N70" i="4" s="1"/>
  <c r="M70" i="4"/>
  <c r="M65" i="4"/>
  <c r="M80" i="3"/>
  <c r="N80" i="3" l="1"/>
  <c r="O17" i="1" l="1"/>
  <c r="M17" i="1"/>
  <c r="L17" i="1"/>
  <c r="J26" i="3" s="1"/>
  <c r="N17" i="1"/>
  <c r="J33" i="3" l="1"/>
  <c r="J209" i="3"/>
  <c r="J210" i="3" s="1"/>
  <c r="J219" i="3"/>
  <c r="J220" i="3" s="1"/>
  <c r="J90" i="4" s="1"/>
  <c r="J225" i="3"/>
  <c r="J226" i="3" s="1"/>
  <c r="J92" i="4" s="1"/>
  <c r="J110" i="3"/>
  <c r="J87" i="4"/>
  <c r="J175" i="3"/>
  <c r="J176" i="3" s="1"/>
  <c r="J170" i="3"/>
  <c r="J171" i="3" s="1"/>
  <c r="J194" i="3" s="1"/>
  <c r="J193" i="3"/>
  <c r="J239" i="3"/>
  <c r="J240" i="3" s="1"/>
  <c r="J38" i="4" s="1"/>
  <c r="J165" i="3"/>
  <c r="J155" i="3"/>
  <c r="J156" i="3" s="1"/>
  <c r="J150" i="3"/>
  <c r="J151" i="3" s="1"/>
  <c r="J188" i="3" s="1"/>
  <c r="J142" i="3"/>
  <c r="J133" i="3"/>
  <c r="J30" i="3"/>
  <c r="J21" i="4" s="1"/>
  <c r="J13" i="4"/>
  <c r="K49" i="7" l="1"/>
  <c r="K57" i="7"/>
  <c r="K74" i="7"/>
  <c r="K45" i="7"/>
  <c r="K70" i="7"/>
  <c r="K53" i="7"/>
  <c r="J134" i="3"/>
  <c r="J186" i="3" s="1"/>
  <c r="J167" i="4" s="1"/>
  <c r="J30" i="6"/>
  <c r="J88" i="4"/>
  <c r="J93" i="4" s="1"/>
  <c r="J29" i="6"/>
  <c r="J17" i="6"/>
  <c r="L116" i="12"/>
  <c r="J12" i="6"/>
  <c r="J79" i="4"/>
  <c r="J192" i="3"/>
  <c r="J111" i="3"/>
  <c r="J145" i="3"/>
  <c r="J84" i="4"/>
  <c r="K209" i="3"/>
  <c r="K210" i="3" s="1"/>
  <c r="K219" i="3"/>
  <c r="K220" i="3" s="1"/>
  <c r="K90" i="4" s="1"/>
  <c r="K225" i="3"/>
  <c r="J166" i="3"/>
  <c r="K110" i="3"/>
  <c r="K175" i="3"/>
  <c r="K176" i="3" s="1"/>
  <c r="K170" i="3"/>
  <c r="K171" i="3" s="1"/>
  <c r="K194" i="3" s="1"/>
  <c r="J80" i="4"/>
  <c r="K165" i="3"/>
  <c r="K166" i="3" s="1"/>
  <c r="K81" i="4" s="1"/>
  <c r="K239" i="3"/>
  <c r="K240" i="3" s="1"/>
  <c r="K38" i="4" s="1"/>
  <c r="K193" i="3"/>
  <c r="J160" i="3"/>
  <c r="J113" i="3"/>
  <c r="K155" i="3"/>
  <c r="J14" i="4"/>
  <c r="K150" i="3"/>
  <c r="K151" i="3" s="1"/>
  <c r="K188" i="3" s="1"/>
  <c r="J60" i="4"/>
  <c r="K140" i="3"/>
  <c r="K142" i="3" s="1"/>
  <c r="K133" i="3"/>
  <c r="K134" i="3" s="1"/>
  <c r="J22" i="4"/>
  <c r="J18" i="6" s="1"/>
  <c r="J36" i="3"/>
  <c r="J112" i="3" s="1"/>
  <c r="K26" i="3"/>
  <c r="K33" i="3"/>
  <c r="K30" i="3"/>
  <c r="J44" i="4"/>
  <c r="K13" i="4"/>
  <c r="K78" i="7" l="1"/>
  <c r="AD93" i="21"/>
  <c r="L49" i="7"/>
  <c r="L53" i="7"/>
  <c r="L57" i="7"/>
  <c r="L74" i="7"/>
  <c r="L70" i="7"/>
  <c r="L45" i="7"/>
  <c r="J146" i="3"/>
  <c r="J187" i="3" s="1"/>
  <c r="J164" i="4" s="1"/>
  <c r="K186" i="3"/>
  <c r="K167" i="4" s="1"/>
  <c r="J81" i="4"/>
  <c r="J206" i="3"/>
  <c r="J233" i="3" s="1"/>
  <c r="J234" i="3" s="1"/>
  <c r="J136" i="3"/>
  <c r="J57" i="4"/>
  <c r="J104" i="4" s="1"/>
  <c r="J161" i="3"/>
  <c r="J191" i="3" s="1"/>
  <c r="J108" i="4"/>
  <c r="K88" i="4"/>
  <c r="J110" i="4"/>
  <c r="K30" i="6"/>
  <c r="J109" i="4"/>
  <c r="K12" i="6"/>
  <c r="K29" i="6"/>
  <c r="J15" i="4"/>
  <c r="K44" i="7" s="1"/>
  <c r="K46" i="7" s="1"/>
  <c r="J13" i="6"/>
  <c r="K192" i="3"/>
  <c r="K79" i="4"/>
  <c r="K111" i="3"/>
  <c r="K145" i="3"/>
  <c r="K146" i="3" s="1"/>
  <c r="M116" i="12"/>
  <c r="K84" i="4"/>
  <c r="J59" i="4"/>
  <c r="J244" i="3"/>
  <c r="J243" i="3" s="1"/>
  <c r="J125" i="4" s="1"/>
  <c r="L209" i="3"/>
  <c r="L210" i="3" s="1"/>
  <c r="L88" i="4" s="1"/>
  <c r="L219" i="3"/>
  <c r="L220" i="3" s="1"/>
  <c r="L90" i="4" s="1"/>
  <c r="L225" i="3"/>
  <c r="L110" i="3"/>
  <c r="L175" i="3"/>
  <c r="L176" i="3" s="1"/>
  <c r="L170" i="3"/>
  <c r="L171" i="3" s="1"/>
  <c r="L194" i="3" s="1"/>
  <c r="K80" i="4"/>
  <c r="L165" i="3"/>
  <c r="L166" i="3" s="1"/>
  <c r="L81" i="4" s="1"/>
  <c r="L239" i="3"/>
  <c r="L240" i="3" s="1"/>
  <c r="L38" i="4" s="1"/>
  <c r="L193" i="3"/>
  <c r="K160" i="3"/>
  <c r="K161" i="3" s="1"/>
  <c r="J100" i="3"/>
  <c r="J94" i="3"/>
  <c r="K21" i="4"/>
  <c r="J37" i="3"/>
  <c r="L155" i="3"/>
  <c r="K14" i="4"/>
  <c r="AE93" i="21" s="1"/>
  <c r="K156" i="3"/>
  <c r="K60" i="4"/>
  <c r="L150" i="3"/>
  <c r="L151" i="3" s="1"/>
  <c r="L188" i="3" s="1"/>
  <c r="K57" i="4"/>
  <c r="K136" i="3"/>
  <c r="L140" i="3"/>
  <c r="L142" i="3" s="1"/>
  <c r="L133" i="3"/>
  <c r="L134" i="3" s="1"/>
  <c r="L186" i="3" s="1"/>
  <c r="L167" i="4" s="1"/>
  <c r="J24" i="4"/>
  <c r="J20" i="6" s="1"/>
  <c r="K22" i="4"/>
  <c r="K36" i="3"/>
  <c r="K112" i="3" s="1"/>
  <c r="L26" i="3"/>
  <c r="L33" i="3"/>
  <c r="L30" i="3"/>
  <c r="K44" i="4"/>
  <c r="L13" i="4"/>
  <c r="K187" i="3" l="1"/>
  <c r="K164" i="4" s="1"/>
  <c r="J58" i="4"/>
  <c r="K19" i="7" s="1"/>
  <c r="M57" i="7"/>
  <c r="M53" i="7"/>
  <c r="M74" i="7"/>
  <c r="M45" i="7"/>
  <c r="M70" i="7"/>
  <c r="M49" i="7"/>
  <c r="K13" i="6"/>
  <c r="L78" i="7"/>
  <c r="K18" i="6"/>
  <c r="K122" i="12"/>
  <c r="K84" i="7"/>
  <c r="K30" i="7"/>
  <c r="K34" i="7"/>
  <c r="J195" i="3"/>
  <c r="J166" i="4"/>
  <c r="J45" i="4"/>
  <c r="J17" i="4"/>
  <c r="K17" i="6"/>
  <c r="K24" i="4"/>
  <c r="L29" i="6"/>
  <c r="K191" i="3"/>
  <c r="K166" i="4" s="1"/>
  <c r="J78" i="4"/>
  <c r="J106" i="4" s="1"/>
  <c r="J107" i="4"/>
  <c r="K109" i="4"/>
  <c r="K108" i="4"/>
  <c r="K104" i="4"/>
  <c r="J36" i="4"/>
  <c r="K110" i="4"/>
  <c r="L30" i="6"/>
  <c r="J25" i="4"/>
  <c r="J189" i="4"/>
  <c r="N116" i="12"/>
  <c r="L12" i="6"/>
  <c r="J14" i="6"/>
  <c r="L111" i="3"/>
  <c r="L145" i="3"/>
  <c r="L146" i="3" s="1"/>
  <c r="L187" i="3" s="1"/>
  <c r="L164" i="4" s="1"/>
  <c r="K15" i="4"/>
  <c r="L192" i="3"/>
  <c r="L79" i="4"/>
  <c r="K58" i="4"/>
  <c r="L19" i="7" s="1"/>
  <c r="L84" i="4"/>
  <c r="K59" i="4"/>
  <c r="K244" i="3"/>
  <c r="K243" i="3" s="1"/>
  <c r="K125" i="4" s="1"/>
  <c r="M209" i="3"/>
  <c r="M210" i="3" s="1"/>
  <c r="M88" i="4" s="1"/>
  <c r="M219" i="3"/>
  <c r="M220" i="3" s="1"/>
  <c r="M90" i="4" s="1"/>
  <c r="M225" i="3"/>
  <c r="M110" i="3"/>
  <c r="M175" i="3"/>
  <c r="M176" i="3" s="1"/>
  <c r="M170" i="3"/>
  <c r="M171" i="3" s="1"/>
  <c r="M194" i="3" s="1"/>
  <c r="L80" i="4"/>
  <c r="K78" i="4"/>
  <c r="M239" i="3"/>
  <c r="M240" i="3" s="1"/>
  <c r="M38" i="4" s="1"/>
  <c r="M165" i="3"/>
  <c r="M166" i="3" s="1"/>
  <c r="M81" i="4" s="1"/>
  <c r="M193" i="3"/>
  <c r="L160" i="3"/>
  <c r="L161" i="3" s="1"/>
  <c r="L191" i="3" s="1"/>
  <c r="J92" i="3"/>
  <c r="J95" i="3" s="1"/>
  <c r="K100" i="3"/>
  <c r="J105" i="3"/>
  <c r="J30" i="4" s="1"/>
  <c r="K43" i="3"/>
  <c r="L21" i="4"/>
  <c r="L17" i="6" s="1"/>
  <c r="K37" i="3"/>
  <c r="M155" i="3"/>
  <c r="L14" i="4"/>
  <c r="L156" i="3"/>
  <c r="L60" i="4"/>
  <c r="M150" i="3"/>
  <c r="M151" i="3" s="1"/>
  <c r="M188" i="3" s="1"/>
  <c r="L57" i="4"/>
  <c r="L136" i="3"/>
  <c r="M140" i="3"/>
  <c r="M142" i="3" s="1"/>
  <c r="M133" i="3"/>
  <c r="M134" i="3" s="1"/>
  <c r="M186" i="3" s="1"/>
  <c r="M167" i="4" s="1"/>
  <c r="L22" i="4"/>
  <c r="L18" i="6" s="1"/>
  <c r="L36" i="3"/>
  <c r="L112" i="3" s="1"/>
  <c r="M33" i="3"/>
  <c r="M30" i="3"/>
  <c r="M13" i="4"/>
  <c r="M26" i="3"/>
  <c r="L44" i="4"/>
  <c r="M78" i="7" l="1"/>
  <c r="AF93" i="21"/>
  <c r="L44" i="7"/>
  <c r="L46" i="7" s="1"/>
  <c r="N74" i="7"/>
  <c r="N70" i="7"/>
  <c r="N57" i="7"/>
  <c r="N45" i="7"/>
  <c r="N53" i="7"/>
  <c r="N49" i="7"/>
  <c r="K20" i="6"/>
  <c r="K85" i="7"/>
  <c r="K86" i="7" s="1"/>
  <c r="K48" i="7"/>
  <c r="K50" i="7" s="1"/>
  <c r="J28" i="6"/>
  <c r="K89" i="7"/>
  <c r="K94" i="7"/>
  <c r="J27" i="4"/>
  <c r="L195" i="3"/>
  <c r="L166" i="4"/>
  <c r="K195" i="3"/>
  <c r="K25" i="4"/>
  <c r="M29" i="6"/>
  <c r="J85" i="4"/>
  <c r="N239" i="3"/>
  <c r="N240" i="3" s="1"/>
  <c r="N38" i="4" s="1"/>
  <c r="J24" i="6"/>
  <c r="K14" i="8"/>
  <c r="K18" i="8" s="1"/>
  <c r="J21" i="6"/>
  <c r="K13" i="8"/>
  <c r="L58" i="4"/>
  <c r="J119" i="4"/>
  <c r="J46" i="4"/>
  <c r="L110" i="4"/>
  <c r="L109" i="4"/>
  <c r="L104" i="4"/>
  <c r="K107" i="4"/>
  <c r="L108" i="4"/>
  <c r="K85" i="4"/>
  <c r="M30" i="6"/>
  <c r="J31" i="4"/>
  <c r="O116" i="12"/>
  <c r="M12" i="6"/>
  <c r="K45" i="4"/>
  <c r="K14" i="6"/>
  <c r="L15" i="4"/>
  <c r="L13" i="6"/>
  <c r="K183" i="4"/>
  <c r="M111" i="3"/>
  <c r="M145" i="3"/>
  <c r="M146" i="3" s="1"/>
  <c r="M187" i="3" s="1"/>
  <c r="M164" i="4" s="1"/>
  <c r="M192" i="3"/>
  <c r="M79" i="4"/>
  <c r="K17" i="4"/>
  <c r="K45" i="3"/>
  <c r="K91" i="3" s="1"/>
  <c r="K113" i="3" s="1"/>
  <c r="J197" i="4"/>
  <c r="J174" i="4" s="1"/>
  <c r="M84" i="4"/>
  <c r="L59" i="4"/>
  <c r="L244" i="3"/>
  <c r="L243" i="3" s="1"/>
  <c r="L125" i="4" s="1"/>
  <c r="J115" i="4"/>
  <c r="N209" i="3"/>
  <c r="N210" i="3" s="1"/>
  <c r="N225" i="3"/>
  <c r="N219" i="3"/>
  <c r="N220" i="3" s="1"/>
  <c r="N90" i="4" s="1"/>
  <c r="J114" i="3"/>
  <c r="J115" i="3" s="1"/>
  <c r="N110" i="3"/>
  <c r="N175" i="3"/>
  <c r="N176" i="3" s="1"/>
  <c r="N170" i="3"/>
  <c r="N171" i="3" s="1"/>
  <c r="N194" i="3" s="1"/>
  <c r="M80" i="4"/>
  <c r="K106" i="4"/>
  <c r="L78" i="4"/>
  <c r="N165" i="3"/>
  <c r="N166" i="3" s="1"/>
  <c r="N81" i="4" s="1"/>
  <c r="N193" i="3"/>
  <c r="M160" i="3"/>
  <c r="M161" i="3" s="1"/>
  <c r="M191" i="3" s="1"/>
  <c r="L100" i="3"/>
  <c r="N13" i="4"/>
  <c r="L24" i="4"/>
  <c r="L20" i="6" s="1"/>
  <c r="M21" i="4"/>
  <c r="M17" i="6" s="1"/>
  <c r="N26" i="3"/>
  <c r="N145" i="3" s="1"/>
  <c r="N146" i="3" s="1"/>
  <c r="N155" i="3"/>
  <c r="N156" i="3" s="1"/>
  <c r="N133" i="3"/>
  <c r="N150" i="3"/>
  <c r="N151" i="3" s="1"/>
  <c r="N188" i="3" s="1"/>
  <c r="N140" i="3"/>
  <c r="N142" i="3" s="1"/>
  <c r="N33" i="3"/>
  <c r="N22" i="4" s="1"/>
  <c r="N30" i="3"/>
  <c r="N21" i="4" s="1"/>
  <c r="L37" i="3"/>
  <c r="M14" i="4"/>
  <c r="AG93" i="21" s="1"/>
  <c r="M156" i="3"/>
  <c r="M60" i="4"/>
  <c r="M57" i="4"/>
  <c r="M136" i="3"/>
  <c r="M22" i="4"/>
  <c r="M18" i="6" s="1"/>
  <c r="M36" i="3"/>
  <c r="M112" i="3" s="1"/>
  <c r="M44" i="4"/>
  <c r="J116" i="3" l="1"/>
  <c r="J117" i="3" s="1"/>
  <c r="P38" i="4"/>
  <c r="Q38" i="4"/>
  <c r="M13" i="6"/>
  <c r="N78" i="7"/>
  <c r="L107" i="4"/>
  <c r="M19" i="7"/>
  <c r="P13" i="4"/>
  <c r="O74" i="7"/>
  <c r="O49" i="7"/>
  <c r="O57" i="7"/>
  <c r="O53" i="7"/>
  <c r="O70" i="7"/>
  <c r="O45" i="7"/>
  <c r="Q13" i="4"/>
  <c r="P21" i="4"/>
  <c r="Q21" i="4"/>
  <c r="L48" i="7"/>
  <c r="L50" i="7" s="1"/>
  <c r="L85" i="7"/>
  <c r="P22" i="4"/>
  <c r="Q22" i="4"/>
  <c r="L45" i="4"/>
  <c r="M44" i="7"/>
  <c r="M46" i="7" s="1"/>
  <c r="K88" i="7"/>
  <c r="K91" i="7" s="1"/>
  <c r="K52" i="7"/>
  <c r="K54" i="7" s="1"/>
  <c r="K93" i="7"/>
  <c r="K95" i="7" s="1"/>
  <c r="L20" i="7"/>
  <c r="L14" i="7"/>
  <c r="K20" i="7"/>
  <c r="K14" i="7"/>
  <c r="M195" i="3"/>
  <c r="M166" i="4"/>
  <c r="N88" i="4"/>
  <c r="K15" i="8"/>
  <c r="K21" i="6"/>
  <c r="L13" i="8"/>
  <c r="K185" i="4"/>
  <c r="L22" i="8"/>
  <c r="L85" i="4"/>
  <c r="M104" i="4"/>
  <c r="M109" i="4"/>
  <c r="M108" i="4"/>
  <c r="M110" i="4"/>
  <c r="N12" i="6"/>
  <c r="N29" i="6"/>
  <c r="J39" i="4"/>
  <c r="J31" i="6" s="1"/>
  <c r="J25" i="6"/>
  <c r="N30" i="6"/>
  <c r="N18" i="6"/>
  <c r="N17" i="6"/>
  <c r="K46" i="4"/>
  <c r="L25" i="4"/>
  <c r="K27" i="4"/>
  <c r="L17" i="4"/>
  <c r="L14" i="6"/>
  <c r="M58" i="4"/>
  <c r="N19" i="7" s="1"/>
  <c r="N187" i="3"/>
  <c r="N164" i="4" s="1"/>
  <c r="P116" i="12"/>
  <c r="N192" i="3"/>
  <c r="N79" i="4"/>
  <c r="K101" i="3"/>
  <c r="L101" i="3" s="1"/>
  <c r="M101" i="3" s="1"/>
  <c r="N101" i="3" s="1"/>
  <c r="K94" i="3"/>
  <c r="K46" i="3"/>
  <c r="K63" i="4" s="1"/>
  <c r="N84" i="4"/>
  <c r="N59" i="4"/>
  <c r="N244" i="3"/>
  <c r="N243" i="3" s="1"/>
  <c r="N125" i="4" s="1"/>
  <c r="M59" i="4"/>
  <c r="M244" i="3"/>
  <c r="M243" i="3" s="1"/>
  <c r="M125" i="4" s="1"/>
  <c r="K87" i="4"/>
  <c r="K204" i="3"/>
  <c r="K206" i="3" s="1"/>
  <c r="K233" i="3" s="1"/>
  <c r="K234" i="3" s="1"/>
  <c r="N44" i="4"/>
  <c r="N160" i="3"/>
  <c r="N161" i="3" s="1"/>
  <c r="N191" i="3" s="1"/>
  <c r="N111" i="3"/>
  <c r="M78" i="4"/>
  <c r="L106" i="4"/>
  <c r="N80" i="4"/>
  <c r="N60" i="4"/>
  <c r="N24" i="4"/>
  <c r="N58" i="4"/>
  <c r="O19" i="7" s="1"/>
  <c r="N56" i="4"/>
  <c r="N105" i="4" s="1"/>
  <c r="M100" i="3"/>
  <c r="N14" i="4"/>
  <c r="AH93" i="21" s="1"/>
  <c r="N36" i="3"/>
  <c r="N112" i="3" s="1"/>
  <c r="N134" i="3"/>
  <c r="N186" i="3" s="1"/>
  <c r="N167" i="4" s="1"/>
  <c r="M37" i="3"/>
  <c r="M15" i="4"/>
  <c r="N44" i="7" s="1"/>
  <c r="N46" i="7" s="1"/>
  <c r="M24" i="4"/>
  <c r="M20" i="6" s="1"/>
  <c r="L34" i="7" l="1"/>
  <c r="L30" i="7"/>
  <c r="L84" i="7"/>
  <c r="L86" i="7" s="1"/>
  <c r="M48" i="7"/>
  <c r="M50" i="7" s="1"/>
  <c r="M85" i="7"/>
  <c r="N13" i="6"/>
  <c r="P14" i="4"/>
  <c r="O78" i="7"/>
  <c r="Q14" i="4"/>
  <c r="O18" i="7"/>
  <c r="O79" i="7"/>
  <c r="N20" i="6"/>
  <c r="P24" i="4"/>
  <c r="Q24" i="4"/>
  <c r="M20" i="7"/>
  <c r="M14" i="7"/>
  <c r="N195" i="3"/>
  <c r="N166" i="4"/>
  <c r="L21" i="6"/>
  <c r="M13" i="8"/>
  <c r="N109" i="4"/>
  <c r="N110" i="4"/>
  <c r="M107" i="4"/>
  <c r="M85" i="4"/>
  <c r="L122" i="12"/>
  <c r="N107" i="4"/>
  <c r="N108" i="4"/>
  <c r="L46" i="4"/>
  <c r="L27" i="4"/>
  <c r="K189" i="4"/>
  <c r="K197" i="4" s="1"/>
  <c r="K174" i="4" s="1"/>
  <c r="K36" i="4"/>
  <c r="M17" i="4"/>
  <c r="M14" i="6"/>
  <c r="J114" i="4"/>
  <c r="J161" i="4" s="1"/>
  <c r="N15" i="4"/>
  <c r="K105" i="3"/>
  <c r="K30" i="4" s="1"/>
  <c r="L44" i="3"/>
  <c r="L183" i="4" s="1"/>
  <c r="M22" i="8" s="1"/>
  <c r="K92" i="3"/>
  <c r="K95" i="3" s="1"/>
  <c r="L43" i="3"/>
  <c r="J41" i="4"/>
  <c r="J172" i="4"/>
  <c r="L87" i="4"/>
  <c r="L204" i="3"/>
  <c r="L206" i="3" s="1"/>
  <c r="K114" i="3"/>
  <c r="K115" i="3" s="1"/>
  <c r="J124" i="3"/>
  <c r="N78" i="4"/>
  <c r="M106" i="4"/>
  <c r="N136" i="3"/>
  <c r="N57" i="4"/>
  <c r="N100" i="3"/>
  <c r="M45" i="4"/>
  <c r="N37" i="3"/>
  <c r="M25" i="4"/>
  <c r="M30" i="7" l="1"/>
  <c r="M34" i="7"/>
  <c r="M84" i="7"/>
  <c r="M86" i="7" s="1"/>
  <c r="O80" i="7"/>
  <c r="K116" i="3"/>
  <c r="K117" i="3" s="1"/>
  <c r="K124" i="3" s="1"/>
  <c r="N14" i="6"/>
  <c r="P15" i="4"/>
  <c r="O44" i="7"/>
  <c r="O46" i="7" s="1"/>
  <c r="Q15" i="4"/>
  <c r="N85" i="7"/>
  <c r="N48" i="7"/>
  <c r="N50" i="7" s="1"/>
  <c r="N20" i="7"/>
  <c r="N14" i="7"/>
  <c r="L94" i="7"/>
  <c r="L89" i="7"/>
  <c r="L14" i="8"/>
  <c r="L18" i="8" s="1"/>
  <c r="K31" i="4"/>
  <c r="M21" i="6"/>
  <c r="N13" i="8"/>
  <c r="J33" i="6"/>
  <c r="K16" i="8"/>
  <c r="K17" i="8" s="1"/>
  <c r="K19" i="8" s="1"/>
  <c r="M122" i="12"/>
  <c r="N106" i="4"/>
  <c r="N104" i="4"/>
  <c r="K119" i="4"/>
  <c r="K28" i="6"/>
  <c r="K24" i="6"/>
  <c r="N25" i="4"/>
  <c r="N17" i="4"/>
  <c r="J42" i="4"/>
  <c r="N45" i="4"/>
  <c r="L185" i="4"/>
  <c r="L45" i="3"/>
  <c r="M204" i="3"/>
  <c r="M206" i="3" s="1"/>
  <c r="M233" i="3" s="1"/>
  <c r="K115" i="4"/>
  <c r="L233" i="3"/>
  <c r="L234" i="3" s="1"/>
  <c r="N85" i="4"/>
  <c r="M46" i="4"/>
  <c r="M27" i="4"/>
  <c r="P25" i="4" l="1"/>
  <c r="O85" i="7"/>
  <c r="O48" i="7"/>
  <c r="O50" i="7" s="1"/>
  <c r="Q25" i="4"/>
  <c r="L15" i="8"/>
  <c r="K25" i="6"/>
  <c r="L52" i="7"/>
  <c r="L54" i="7" s="1"/>
  <c r="L93" i="7"/>
  <c r="L95" i="7" s="1"/>
  <c r="L88" i="7"/>
  <c r="L91" i="7" s="1"/>
  <c r="K172" i="4"/>
  <c r="K41" i="4"/>
  <c r="O20" i="7"/>
  <c r="O14" i="7"/>
  <c r="K56" i="7"/>
  <c r="K58" i="7" s="1"/>
  <c r="K64" i="7"/>
  <c r="K60" i="7"/>
  <c r="J34" i="6"/>
  <c r="N21" i="6"/>
  <c r="O13" i="8"/>
  <c r="C51" i="8" s="1"/>
  <c r="C52" i="8" s="1"/>
  <c r="C56" i="8" s="1"/>
  <c r="K39" i="4"/>
  <c r="N46" i="4"/>
  <c r="N27" i="4"/>
  <c r="L189" i="4"/>
  <c r="L197" i="4" s="1"/>
  <c r="L174" i="4" s="1"/>
  <c r="L36" i="4"/>
  <c r="L46" i="3"/>
  <c r="L63" i="4" s="1"/>
  <c r="L91" i="3"/>
  <c r="M87" i="4"/>
  <c r="M234" i="3"/>
  <c r="L114" i="3"/>
  <c r="N30" i="7" l="1"/>
  <c r="N84" i="7"/>
  <c r="N86" i="7" s="1"/>
  <c r="N34" i="7"/>
  <c r="L16" i="8"/>
  <c r="L17" i="8" s="1"/>
  <c r="L19" i="8" s="1"/>
  <c r="K42" i="4"/>
  <c r="K33" i="6"/>
  <c r="M89" i="7"/>
  <c r="M94" i="7"/>
  <c r="C53" i="8"/>
  <c r="K31" i="6"/>
  <c r="N122" i="12"/>
  <c r="L119" i="4"/>
  <c r="L28" i="6"/>
  <c r="M189" i="4"/>
  <c r="M197" i="4" s="1"/>
  <c r="M36" i="4"/>
  <c r="K114" i="4"/>
  <c r="K161" i="4" s="1"/>
  <c r="L113" i="3"/>
  <c r="L115" i="3" s="1"/>
  <c r="L94" i="3"/>
  <c r="L102" i="3"/>
  <c r="M44" i="3"/>
  <c r="M183" i="4" s="1"/>
  <c r="N22" i="8" s="1"/>
  <c r="L92" i="3"/>
  <c r="L95" i="3" s="1"/>
  <c r="M43" i="3"/>
  <c r="M114" i="3"/>
  <c r="N87" i="4"/>
  <c r="N204" i="3"/>
  <c r="N206" i="3" s="1"/>
  <c r="D31" i="9"/>
  <c r="D64" i="9" s="1"/>
  <c r="O30" i="7" l="1"/>
  <c r="O84" i="7"/>
  <c r="O86" i="7" s="1"/>
  <c r="O34" i="7"/>
  <c r="L116" i="3"/>
  <c r="L117" i="3" s="1"/>
  <c r="L124" i="3" s="1"/>
  <c r="L60" i="7"/>
  <c r="K34" i="6"/>
  <c r="L64" i="7"/>
  <c r="L56" i="7"/>
  <c r="L58" i="7" s="1"/>
  <c r="N89" i="7"/>
  <c r="N94" i="7"/>
  <c r="O122" i="12"/>
  <c r="M119" i="4"/>
  <c r="M28" i="6"/>
  <c r="M185" i="4"/>
  <c r="M174" i="4" s="1"/>
  <c r="M45" i="3"/>
  <c r="M91" i="3" s="1"/>
  <c r="L105" i="3"/>
  <c r="L30" i="4" s="1"/>
  <c r="M14" i="8" s="1"/>
  <c r="M102" i="3"/>
  <c r="N233" i="3"/>
  <c r="N234" i="3" s="1"/>
  <c r="L41" i="4"/>
  <c r="L172" i="4"/>
  <c r="D33" i="9"/>
  <c r="D43" i="9"/>
  <c r="D45" i="9" s="1"/>
  <c r="M18" i="8" l="1"/>
  <c r="M15" i="8"/>
  <c r="L33" i="6"/>
  <c r="M16" i="8"/>
  <c r="L31" i="4"/>
  <c r="L24" i="6"/>
  <c r="N189" i="4"/>
  <c r="N197" i="4" s="1"/>
  <c r="N36" i="4"/>
  <c r="N102" i="3"/>
  <c r="L115" i="4"/>
  <c r="M103" i="3"/>
  <c r="M113" i="3"/>
  <c r="M115" i="3" s="1"/>
  <c r="M94" i="3"/>
  <c r="M46" i="3"/>
  <c r="M63" i="4" s="1"/>
  <c r="N114" i="3"/>
  <c r="D65" i="9"/>
  <c r="D49" i="9"/>
  <c r="D54" i="9" s="1"/>
  <c r="I31" i="9"/>
  <c r="I33" i="9" s="1"/>
  <c r="F31" i="9"/>
  <c r="F33" i="9" s="1"/>
  <c r="N31" i="9"/>
  <c r="N64" i="9" s="1"/>
  <c r="M31" i="9"/>
  <c r="M43" i="9" s="1"/>
  <c r="M45" i="9" s="1"/>
  <c r="J31" i="9"/>
  <c r="H31" i="9"/>
  <c r="H43" i="9" s="1"/>
  <c r="H45" i="9" s="1"/>
  <c r="L31" i="9"/>
  <c r="L33" i="9" s="1"/>
  <c r="E31" i="9"/>
  <c r="E43" i="9" s="1"/>
  <c r="E45" i="9" s="1"/>
  <c r="K31" i="9"/>
  <c r="K33" i="9" s="1"/>
  <c r="G31" i="9"/>
  <c r="G33" i="9" s="1"/>
  <c r="M116" i="3" l="1"/>
  <c r="M117" i="3" s="1"/>
  <c r="M124" i="3" s="1"/>
  <c r="P36" i="4"/>
  <c r="Q36" i="4"/>
  <c r="M52" i="7"/>
  <c r="M54" i="7" s="1"/>
  <c r="M88" i="7"/>
  <c r="M91" i="7" s="1"/>
  <c r="M93" i="7"/>
  <c r="M95" i="7" s="1"/>
  <c r="O89" i="7"/>
  <c r="O94" i="7"/>
  <c r="M17" i="8"/>
  <c r="M19" i="8" s="1"/>
  <c r="M23" i="8" s="1"/>
  <c r="N103" i="3"/>
  <c r="N119" i="4"/>
  <c r="N28" i="6"/>
  <c r="L39" i="4"/>
  <c r="L42" i="4" s="1"/>
  <c r="L25" i="6"/>
  <c r="M105" i="3"/>
  <c r="M30" i="4" s="1"/>
  <c r="N14" i="8" s="1"/>
  <c r="N44" i="3"/>
  <c r="N183" i="4" s="1"/>
  <c r="O22" i="8" s="1"/>
  <c r="M92" i="3"/>
  <c r="M95" i="3" s="1"/>
  <c r="N43" i="3"/>
  <c r="F43" i="9"/>
  <c r="F65" i="9" s="1"/>
  <c r="G43" i="9"/>
  <c r="G45" i="9" s="1"/>
  <c r="K43" i="9"/>
  <c r="J43" i="9"/>
  <c r="H65" i="9"/>
  <c r="H49" i="9"/>
  <c r="H54" i="9" s="1"/>
  <c r="G64" i="9"/>
  <c r="J64" i="9"/>
  <c r="H64" i="9"/>
  <c r="H33" i="9"/>
  <c r="F64" i="9"/>
  <c r="N33" i="9"/>
  <c r="F46" i="1"/>
  <c r="F49" i="1" s="1"/>
  <c r="F51" i="1" s="1"/>
  <c r="F48" i="1"/>
  <c r="F47" i="1"/>
  <c r="M65" i="9"/>
  <c r="M49" i="9"/>
  <c r="M54" i="9" s="1"/>
  <c r="G46" i="1"/>
  <c r="G49" i="1" s="1"/>
  <c r="G51" i="1" s="1"/>
  <c r="G47" i="1"/>
  <c r="G48" i="1"/>
  <c r="E49" i="9"/>
  <c r="E54" i="9" s="1"/>
  <c r="E65" i="9"/>
  <c r="H48" i="1"/>
  <c r="H46" i="1"/>
  <c r="H49" i="1" s="1"/>
  <c r="H51" i="1" s="1"/>
  <c r="H47" i="1"/>
  <c r="F49" i="9"/>
  <c r="F54" i="9" s="1"/>
  <c r="K49" i="9"/>
  <c r="K54" i="9" s="1"/>
  <c r="M64" i="9"/>
  <c r="E33" i="9"/>
  <c r="M33" i="9"/>
  <c r="K64" i="9"/>
  <c r="N43" i="9"/>
  <c r="N45" i="9" s="1"/>
  <c r="L64" i="9"/>
  <c r="E64" i="9"/>
  <c r="I64" i="9"/>
  <c r="D66" i="9"/>
  <c r="L43" i="9"/>
  <c r="L45" i="9" s="1"/>
  <c r="I43" i="9"/>
  <c r="I45" i="9" s="1"/>
  <c r="L34" i="6" l="1"/>
  <c r="M60" i="7"/>
  <c r="M56" i="7"/>
  <c r="M58" i="7" s="1"/>
  <c r="M64" i="7"/>
  <c r="N18" i="8"/>
  <c r="N15" i="8"/>
  <c r="M31" i="4"/>
  <c r="M24" i="6"/>
  <c r="L31" i="6"/>
  <c r="L114" i="4"/>
  <c r="L161" i="4" s="1"/>
  <c r="N45" i="3"/>
  <c r="N185" i="4"/>
  <c r="N174" i="4" s="1"/>
  <c r="M115" i="4"/>
  <c r="M41" i="4"/>
  <c r="M172" i="4"/>
  <c r="J49" i="9"/>
  <c r="J54" i="9" s="1"/>
  <c r="F45" i="9"/>
  <c r="J65" i="9"/>
  <c r="J45" i="9"/>
  <c r="K65" i="9"/>
  <c r="K45" i="9"/>
  <c r="G65" i="9"/>
  <c r="G49" i="9"/>
  <c r="J66" i="9"/>
  <c r="J47" i="1"/>
  <c r="J46" i="1"/>
  <c r="J49" i="1" s="1"/>
  <c r="J51" i="1" s="1"/>
  <c r="J48" i="1"/>
  <c r="H66" i="9"/>
  <c r="I46" i="1"/>
  <c r="I49" i="1" s="1"/>
  <c r="I51" i="1" s="1"/>
  <c r="I48" i="1"/>
  <c r="I47" i="1"/>
  <c r="I49" i="9"/>
  <c r="I54" i="9" s="1"/>
  <c r="I65" i="9"/>
  <c r="M66" i="9"/>
  <c r="F66" i="9"/>
  <c r="N49" i="9"/>
  <c r="N54" i="9" s="1"/>
  <c r="N65" i="9"/>
  <c r="K66" i="9"/>
  <c r="L65" i="9"/>
  <c r="L49" i="9"/>
  <c r="L54" i="9" s="1"/>
  <c r="D67" i="9"/>
  <c r="D61" i="9"/>
  <c r="D68" i="9" s="1"/>
  <c r="E66" i="9"/>
  <c r="N52" i="7" l="1"/>
  <c r="N54" i="7" s="1"/>
  <c r="N93" i="7"/>
  <c r="N95" i="7" s="1"/>
  <c r="N88" i="7"/>
  <c r="N91" i="7" s="1"/>
  <c r="N91" i="3"/>
  <c r="M33" i="6"/>
  <c r="N16" i="8"/>
  <c r="N17" i="8" s="1"/>
  <c r="N19" i="8" s="1"/>
  <c r="M39" i="4"/>
  <c r="M31" i="6" s="1"/>
  <c r="M25" i="6"/>
  <c r="N46" i="3"/>
  <c r="N63" i="4" s="1"/>
  <c r="G54" i="9"/>
  <c r="G66" i="9"/>
  <c r="H67" i="9"/>
  <c r="H61" i="9"/>
  <c r="H68" i="9" s="1"/>
  <c r="J61" i="9"/>
  <c r="J68" i="9" s="1"/>
  <c r="J67" i="9"/>
  <c r="E61" i="9"/>
  <c r="E68" i="9" s="1"/>
  <c r="E67" i="9"/>
  <c r="M61" i="9"/>
  <c r="M68" i="9" s="1"/>
  <c r="M67" i="9"/>
  <c r="I66" i="9"/>
  <c r="N66" i="9"/>
  <c r="F61" i="9"/>
  <c r="F68" i="9" s="1"/>
  <c r="F67" i="9"/>
  <c r="L66" i="9"/>
  <c r="K67" i="9"/>
  <c r="K61" i="9"/>
  <c r="K68" i="9" s="1"/>
  <c r="N113" i="3" l="1"/>
  <c r="N115" i="3" s="1"/>
  <c r="N104" i="3"/>
  <c r="N105" i="3" s="1"/>
  <c r="N30" i="4" s="1"/>
  <c r="N94" i="3"/>
  <c r="M42" i="4"/>
  <c r="M114" i="4"/>
  <c r="M161" i="4" s="1"/>
  <c r="N92" i="3"/>
  <c r="N95" i="3" s="1"/>
  <c r="G61" i="9"/>
  <c r="G68" i="9" s="1"/>
  <c r="G67" i="9"/>
  <c r="I67" i="9"/>
  <c r="I61" i="9"/>
  <c r="I68" i="9" s="1"/>
  <c r="L61" i="9"/>
  <c r="L68" i="9" s="1"/>
  <c r="L67" i="9"/>
  <c r="N61" i="9"/>
  <c r="N68" i="9" s="1"/>
  <c r="P30" i="4" l="1"/>
  <c r="Q30" i="4"/>
  <c r="N116" i="3"/>
  <c r="N172" i="4" s="1"/>
  <c r="M34" i="6"/>
  <c r="N60" i="7"/>
  <c r="N56" i="7"/>
  <c r="N58" i="7" s="1"/>
  <c r="N64" i="7"/>
  <c r="O14" i="8"/>
  <c r="O18" i="8" s="1"/>
  <c r="N115" i="4"/>
  <c r="N31" i="4"/>
  <c r="N24" i="6"/>
  <c r="N41" i="4"/>
  <c r="J185" i="3"/>
  <c r="P31" i="4" l="1"/>
  <c r="P41" i="4"/>
  <c r="Q41" i="4"/>
  <c r="N117" i="3"/>
  <c r="N124" i="3" s="1"/>
  <c r="O16" i="8"/>
  <c r="O52" i="7"/>
  <c r="O54" i="7" s="1"/>
  <c r="O93" i="7"/>
  <c r="O95" i="7" s="1"/>
  <c r="O88" i="7"/>
  <c r="O91" i="7" s="1"/>
  <c r="N39" i="4"/>
  <c r="N33" i="4"/>
  <c r="O15" i="8"/>
  <c r="O17" i="8" s="1"/>
  <c r="O19" i="8" s="1"/>
  <c r="N47" i="4"/>
  <c r="N25" i="6"/>
  <c r="N33" i="6"/>
  <c r="J165" i="4"/>
  <c r="J168" i="4" s="1"/>
  <c r="J199" i="4" s="1"/>
  <c r="J189" i="3"/>
  <c r="J197" i="3" s="1"/>
  <c r="K23" i="8" s="1"/>
  <c r="K185" i="3"/>
  <c r="K189" i="3" s="1"/>
  <c r="M185" i="3"/>
  <c r="N185" i="3"/>
  <c r="N189" i="3" s="1"/>
  <c r="N197" i="3" s="1"/>
  <c r="L185" i="3"/>
  <c r="I56" i="4"/>
  <c r="I197" i="3"/>
  <c r="L56" i="4"/>
  <c r="L105" i="4" s="1"/>
  <c r="J56" i="4"/>
  <c r="J105" i="4" s="1"/>
  <c r="M56" i="4"/>
  <c r="M105" i="4" s="1"/>
  <c r="K56" i="4"/>
  <c r="K105" i="4" s="1"/>
  <c r="I142" i="3"/>
  <c r="I105" i="4" l="1"/>
  <c r="J79" i="7"/>
  <c r="J80" i="7" s="1"/>
  <c r="J18" i="7"/>
  <c r="M18" i="7"/>
  <c r="M79" i="7"/>
  <c r="M80" i="7" s="1"/>
  <c r="N31" i="6"/>
  <c r="P39" i="4"/>
  <c r="Q39" i="4"/>
  <c r="L18" i="7"/>
  <c r="L79" i="7"/>
  <c r="L80" i="7" s="1"/>
  <c r="N79" i="7"/>
  <c r="N80" i="7" s="1"/>
  <c r="N18" i="7"/>
  <c r="K79" i="7"/>
  <c r="K80" i="7" s="1"/>
  <c r="K18" i="7"/>
  <c r="N42" i="4"/>
  <c r="O64" i="7" s="1"/>
  <c r="N114" i="4"/>
  <c r="N161" i="4" s="1"/>
  <c r="N48" i="4"/>
  <c r="O23" i="8"/>
  <c r="M165" i="4"/>
  <c r="M170" i="4" s="1"/>
  <c r="M189" i="3"/>
  <c r="M197" i="3" s="1"/>
  <c r="L165" i="4"/>
  <c r="L170" i="4" s="1"/>
  <c r="L189" i="3"/>
  <c r="L197" i="3" s="1"/>
  <c r="J202" i="4"/>
  <c r="K200" i="4" s="1"/>
  <c r="J170" i="4"/>
  <c r="K29" i="8" s="1"/>
  <c r="N165" i="4"/>
  <c r="K165" i="4"/>
  <c r="K197" i="3"/>
  <c r="I61" i="4"/>
  <c r="J17" i="7" l="1"/>
  <c r="J21" i="7" s="1"/>
  <c r="J13" i="7"/>
  <c r="J15" i="7" s="1"/>
  <c r="N49" i="4"/>
  <c r="N34" i="6"/>
  <c r="P42" i="4"/>
  <c r="Q42" i="4"/>
  <c r="O60" i="7"/>
  <c r="O56" i="7"/>
  <c r="O58" i="7" s="1"/>
  <c r="N23" i="8"/>
  <c r="N29" i="8" s="1"/>
  <c r="M29" i="8"/>
  <c r="L23" i="8"/>
  <c r="L29" i="8" s="1"/>
  <c r="L168" i="4"/>
  <c r="L173" i="4" s="1"/>
  <c r="L199" i="4" s="1"/>
  <c r="I103" i="4"/>
  <c r="M168" i="4"/>
  <c r="M173" i="4" s="1"/>
  <c r="M199" i="4" s="1"/>
  <c r="N168" i="4"/>
  <c r="N170" i="4"/>
  <c r="C34" i="8" s="1"/>
  <c r="K168" i="4"/>
  <c r="K173" i="4" s="1"/>
  <c r="K199" i="4" s="1"/>
  <c r="J54" i="4"/>
  <c r="I68" i="4"/>
  <c r="N173" i="4" l="1"/>
  <c r="N199" i="4" s="1"/>
  <c r="O29" i="8"/>
  <c r="C37" i="8" s="1"/>
  <c r="I72" i="4"/>
  <c r="L115" i="12"/>
  <c r="L118" i="12" s="1"/>
  <c r="J64" i="3"/>
  <c r="I74" i="4" l="1"/>
  <c r="K64" i="3"/>
  <c r="J68" i="4"/>
  <c r="J72" i="4" s="1"/>
  <c r="I57" i="6" l="1"/>
  <c r="J39" i="7"/>
  <c r="J40" i="7" s="1"/>
  <c r="J61" i="7"/>
  <c r="J62" i="7" s="1"/>
  <c r="J35" i="7"/>
  <c r="J36" i="7" s="1"/>
  <c r="J71" i="7"/>
  <c r="J72" i="7" s="1"/>
  <c r="J75" i="7"/>
  <c r="J76" i="7" s="1"/>
  <c r="I101" i="4"/>
  <c r="I59" i="6"/>
  <c r="I39" i="6"/>
  <c r="I40" i="6"/>
  <c r="I50" i="6"/>
  <c r="I48" i="6"/>
  <c r="I56" i="6"/>
  <c r="I49" i="6"/>
  <c r="I52" i="6"/>
  <c r="I51" i="6"/>
  <c r="I54" i="6"/>
  <c r="I43" i="6"/>
  <c r="I44" i="6"/>
  <c r="I55" i="6"/>
  <c r="I45" i="6"/>
  <c r="I42" i="6"/>
  <c r="I41" i="6"/>
  <c r="I46" i="6"/>
  <c r="I53" i="6"/>
  <c r="L64" i="3"/>
  <c r="K68" i="4"/>
  <c r="M64" i="3" l="1"/>
  <c r="L68" i="4"/>
  <c r="N64" i="3" l="1"/>
  <c r="M68" i="4"/>
  <c r="N68" i="4" l="1"/>
  <c r="I33" i="4"/>
  <c r="I47" i="4"/>
  <c r="I49" i="4" l="1"/>
  <c r="I48" i="4"/>
  <c r="J33" i="4" l="1"/>
  <c r="J47" i="4"/>
  <c r="L47" i="4"/>
  <c r="L33" i="4"/>
  <c r="K33" i="4"/>
  <c r="K47" i="4"/>
  <c r="J48" i="4" l="1"/>
  <c r="K48" i="4"/>
  <c r="L48" i="4"/>
  <c r="M33" i="4"/>
  <c r="M47" i="4"/>
  <c r="J49" i="4" l="1"/>
  <c r="M48" i="4"/>
  <c r="L49" i="4"/>
  <c r="K49" i="4"/>
  <c r="K202" i="4" l="1"/>
  <c r="L200" i="4" s="1"/>
  <c r="M49" i="4"/>
  <c r="C54" i="8" l="1"/>
  <c r="C55" i="8" s="1"/>
  <c r="C35" i="8"/>
  <c r="C39" i="8" s="1"/>
  <c r="K54" i="4"/>
  <c r="C57" i="8" l="1"/>
  <c r="C7" i="22"/>
  <c r="C36" i="8"/>
  <c r="C38" i="8" s="1"/>
  <c r="C61" i="8"/>
  <c r="M115" i="12"/>
  <c r="M118" i="12" s="1"/>
  <c r="L202" i="4"/>
  <c r="M200" i="4" s="1"/>
  <c r="C40" i="8" l="1"/>
  <c r="C6" i="22"/>
  <c r="C44" i="8"/>
  <c r="L54" i="4"/>
  <c r="N115" i="12" l="1"/>
  <c r="N118" i="12" s="1"/>
  <c r="M202" i="4"/>
  <c r="N200" i="4" l="1"/>
  <c r="N202" i="4" s="1"/>
  <c r="M54" i="4"/>
  <c r="N54" i="4" l="1"/>
  <c r="P115" i="12" s="1"/>
  <c r="P118" i="12" s="1"/>
  <c r="O115" i="12"/>
  <c r="O118" i="12" s="1"/>
  <c r="L226" i="3" l="1"/>
  <c r="L92" i="4" s="1"/>
  <c r="K226" i="3"/>
  <c r="K92" i="4" s="1"/>
  <c r="M226" i="3"/>
  <c r="M92" i="4" s="1"/>
  <c r="N226" i="3"/>
  <c r="N92" i="4" s="1"/>
  <c r="M93" i="4" l="1"/>
  <c r="N93" i="4"/>
  <c r="K93" i="4"/>
  <c r="L93" i="4"/>
  <c r="E126" i="3"/>
  <c r="F123" i="3" l="1"/>
  <c r="F126" i="3" s="1"/>
  <c r="G123" i="3" l="1"/>
  <c r="G126" i="3" s="1"/>
  <c r="H123" i="3" l="1"/>
  <c r="H126" i="3" s="1"/>
  <c r="I123" i="3" l="1"/>
  <c r="I126" i="3" s="1"/>
  <c r="J123" i="3" l="1"/>
  <c r="J126" i="3" s="1"/>
  <c r="K123" i="3" l="1"/>
  <c r="K126" i="3" s="1"/>
  <c r="J96" i="4"/>
  <c r="K31" i="7" s="1"/>
  <c r="K32" i="7" s="1"/>
  <c r="J97" i="4" l="1"/>
  <c r="J99" i="4" s="1"/>
  <c r="K123" i="12"/>
  <c r="K124" i="12" s="1"/>
  <c r="L123" i="3"/>
  <c r="L126" i="3" s="1"/>
  <c r="K96" i="4"/>
  <c r="L31" i="7" s="1"/>
  <c r="L32" i="7" s="1"/>
  <c r="K38" i="7" l="1"/>
  <c r="K65" i="7"/>
  <c r="K66" i="7" s="1"/>
  <c r="J83" i="6"/>
  <c r="K97" i="4"/>
  <c r="L123" i="12"/>
  <c r="L124" i="12" s="1"/>
  <c r="M123" i="3"/>
  <c r="M126" i="3" s="1"/>
  <c r="L96" i="4"/>
  <c r="M31" i="7" s="1"/>
  <c r="M32" i="7" s="1"/>
  <c r="L38" i="7" l="1"/>
  <c r="L65" i="7"/>
  <c r="L66" i="7" s="1"/>
  <c r="K99" i="4"/>
  <c r="K83" i="6" s="1"/>
  <c r="J77" i="6"/>
  <c r="J81" i="6"/>
  <c r="J67" i="6"/>
  <c r="J68" i="6"/>
  <c r="J85" i="6"/>
  <c r="J75" i="6"/>
  <c r="J73" i="6"/>
  <c r="J76" i="6"/>
  <c r="J78" i="6"/>
  <c r="J74" i="6"/>
  <c r="J79" i="6"/>
  <c r="J65" i="6"/>
  <c r="J64" i="6"/>
  <c r="J69" i="6"/>
  <c r="J66" i="6"/>
  <c r="J63" i="6"/>
  <c r="J70" i="6"/>
  <c r="J82" i="6"/>
  <c r="L97" i="4"/>
  <c r="M123" i="12"/>
  <c r="M124" i="12" s="1"/>
  <c r="N123" i="3"/>
  <c r="N126" i="3" s="1"/>
  <c r="M96" i="4"/>
  <c r="N31" i="7" s="1"/>
  <c r="N32" i="7" s="1"/>
  <c r="M38" i="7" l="1"/>
  <c r="M65" i="7"/>
  <c r="M66" i="7" s="1"/>
  <c r="N96" i="4"/>
  <c r="L99" i="4"/>
  <c r="L83" i="6" s="1"/>
  <c r="K77" i="6"/>
  <c r="K81" i="6"/>
  <c r="K67" i="6"/>
  <c r="K68" i="6"/>
  <c r="K85" i="6"/>
  <c r="K75" i="6"/>
  <c r="K76" i="6"/>
  <c r="K66" i="6"/>
  <c r="K69" i="6"/>
  <c r="K65" i="6"/>
  <c r="K74" i="6"/>
  <c r="K64" i="6"/>
  <c r="K63" i="6"/>
  <c r="K70" i="6"/>
  <c r="K73" i="6"/>
  <c r="K78" i="6"/>
  <c r="K79" i="6"/>
  <c r="K82" i="6"/>
  <c r="M97" i="4"/>
  <c r="N123" i="12"/>
  <c r="N124" i="12" s="1"/>
  <c r="N38" i="7" l="1"/>
  <c r="N65" i="7"/>
  <c r="N66" i="7" s="1"/>
  <c r="N97" i="4"/>
  <c r="O31" i="7"/>
  <c r="O32" i="7" s="1"/>
  <c r="O123" i="12"/>
  <c r="O124" i="12" s="1"/>
  <c r="M99" i="4"/>
  <c r="M83" i="6" s="1"/>
  <c r="L81" i="6"/>
  <c r="L67" i="6"/>
  <c r="L77" i="6"/>
  <c r="L68" i="6"/>
  <c r="L85" i="6"/>
  <c r="L75" i="6"/>
  <c r="L74" i="6"/>
  <c r="L66" i="6"/>
  <c r="L76" i="6"/>
  <c r="L64" i="6"/>
  <c r="L65" i="6"/>
  <c r="L69" i="6"/>
  <c r="L63" i="6"/>
  <c r="L70" i="6"/>
  <c r="L73" i="6"/>
  <c r="L78" i="6"/>
  <c r="L79" i="6"/>
  <c r="L82" i="6"/>
  <c r="O65" i="7" l="1"/>
  <c r="O66" i="7" s="1"/>
  <c r="O38" i="7"/>
  <c r="N99" i="4"/>
  <c r="N83" i="6" s="1"/>
  <c r="M81" i="6"/>
  <c r="M67" i="6"/>
  <c r="M68" i="6"/>
  <c r="M85" i="6"/>
  <c r="M77" i="6"/>
  <c r="M75" i="6"/>
  <c r="M76" i="6"/>
  <c r="M66" i="6"/>
  <c r="M74" i="6"/>
  <c r="M69" i="6"/>
  <c r="M65" i="6"/>
  <c r="M64" i="6"/>
  <c r="M63" i="6"/>
  <c r="M70" i="6"/>
  <c r="M73" i="6"/>
  <c r="M78" i="6"/>
  <c r="M79" i="6"/>
  <c r="M82" i="6"/>
  <c r="N81" i="6" l="1"/>
  <c r="N67" i="6"/>
  <c r="N68" i="6"/>
  <c r="N82" i="6"/>
  <c r="N79" i="6"/>
  <c r="N70" i="6"/>
  <c r="N63" i="6"/>
  <c r="N69" i="6"/>
  <c r="N64" i="6"/>
  <c r="N65" i="6"/>
  <c r="N76" i="6"/>
  <c r="N74" i="6"/>
  <c r="N66" i="6"/>
  <c r="N75" i="6"/>
  <c r="N78" i="6"/>
  <c r="N77" i="6"/>
  <c r="N73" i="6"/>
  <c r="N85" i="6"/>
  <c r="D153" i="3"/>
  <c r="D173" i="3"/>
  <c r="D216" i="3"/>
  <c r="D222" i="3"/>
  <c r="D228" i="3"/>
  <c r="E253" i="3"/>
  <c r="K72" i="4" l="1"/>
  <c r="L72" i="4"/>
  <c r="M72" i="4"/>
  <c r="N72" i="4"/>
  <c r="J61" i="4" l="1"/>
  <c r="J74" i="4" s="1"/>
  <c r="K61" i="4"/>
  <c r="J103" i="4" l="1"/>
  <c r="J41" i="6"/>
  <c r="K71" i="7"/>
  <c r="K72" i="7" s="1"/>
  <c r="K39" i="7"/>
  <c r="K40" i="7" s="1"/>
  <c r="K35" i="7"/>
  <c r="K36" i="7" s="1"/>
  <c r="K75" i="7"/>
  <c r="K76" i="7" s="1"/>
  <c r="K74" i="4"/>
  <c r="K46" i="6" s="1"/>
  <c r="L17" i="7"/>
  <c r="L21" i="7" s="1"/>
  <c r="L13" i="7"/>
  <c r="L15" i="7" s="1"/>
  <c r="K17" i="7"/>
  <c r="K21" i="7" s="1"/>
  <c r="K13" i="7"/>
  <c r="K15" i="7" s="1"/>
  <c r="K103" i="4"/>
  <c r="L61" i="4"/>
  <c r="J43" i="6"/>
  <c r="J51" i="6"/>
  <c r="J59" i="6"/>
  <c r="J45" i="6"/>
  <c r="J49" i="6"/>
  <c r="J53" i="6"/>
  <c r="J40" i="6"/>
  <c r="J48" i="6"/>
  <c r="J55" i="6"/>
  <c r="J42" i="6"/>
  <c r="J50" i="6"/>
  <c r="J57" i="6"/>
  <c r="J44" i="6"/>
  <c r="J52" i="6"/>
  <c r="J39" i="6"/>
  <c r="J56" i="6"/>
  <c r="J46" i="6"/>
  <c r="J54" i="6"/>
  <c r="J101" i="4" l="1"/>
  <c r="K61" i="7"/>
  <c r="K62" i="7" s="1"/>
  <c r="K50" i="6"/>
  <c r="K101" i="4"/>
  <c r="K57" i="6"/>
  <c r="L61" i="7"/>
  <c r="L62" i="7" s="1"/>
  <c r="L71" i="7"/>
  <c r="L72" i="7" s="1"/>
  <c r="L39" i="7"/>
  <c r="L40" i="7" s="1"/>
  <c r="L35" i="7"/>
  <c r="L36" i="7" s="1"/>
  <c r="L75" i="7"/>
  <c r="L76" i="7" s="1"/>
  <c r="K44" i="6"/>
  <c r="K59" i="6"/>
  <c r="K39" i="6"/>
  <c r="K51" i="6"/>
  <c r="M17" i="7"/>
  <c r="M21" i="7" s="1"/>
  <c r="M13" i="7"/>
  <c r="M15" i="7" s="1"/>
  <c r="K52" i="6"/>
  <c r="K45" i="6"/>
  <c r="K40" i="6"/>
  <c r="K55" i="6"/>
  <c r="K53" i="6"/>
  <c r="K56" i="6"/>
  <c r="K54" i="6"/>
  <c r="K48" i="6"/>
  <c r="K41" i="6"/>
  <c r="K43" i="6"/>
  <c r="K42" i="6"/>
  <c r="K49" i="6"/>
  <c r="M61" i="4"/>
  <c r="L74" i="4"/>
  <c r="L46" i="6" s="1"/>
  <c r="L103" i="4"/>
  <c r="N17" i="7" l="1"/>
  <c r="N21" i="7" s="1"/>
  <c r="N13" i="7"/>
  <c r="N15" i="7" s="1"/>
  <c r="M71" i="7"/>
  <c r="M72" i="7" s="1"/>
  <c r="M39" i="7"/>
  <c r="M40" i="7" s="1"/>
  <c r="M35" i="7"/>
  <c r="M36" i="7" s="1"/>
  <c r="M75" i="7"/>
  <c r="M76" i="7" s="1"/>
  <c r="M61" i="7"/>
  <c r="M62" i="7" s="1"/>
  <c r="L43" i="6"/>
  <c r="L56" i="6"/>
  <c r="L59" i="6"/>
  <c r="L49" i="6"/>
  <c r="L45" i="6"/>
  <c r="L41" i="6"/>
  <c r="L54" i="6"/>
  <c r="L51" i="6"/>
  <c r="L39" i="6"/>
  <c r="L52" i="6"/>
  <c r="L44" i="6"/>
  <c r="L57" i="6"/>
  <c r="L101" i="4"/>
  <c r="L50" i="6"/>
  <c r="L42" i="6"/>
  <c r="L55" i="6"/>
  <c r="L48" i="6"/>
  <c r="L53" i="6"/>
  <c r="L40" i="6"/>
  <c r="N61" i="4"/>
  <c r="M103" i="4"/>
  <c r="M74" i="4"/>
  <c r="M46" i="6" l="1"/>
  <c r="N71" i="7"/>
  <c r="N72" i="7" s="1"/>
  <c r="N39" i="7"/>
  <c r="N40" i="7" s="1"/>
  <c r="N35" i="7"/>
  <c r="N36" i="7" s="1"/>
  <c r="N61" i="7"/>
  <c r="N62" i="7" s="1"/>
  <c r="N75" i="7"/>
  <c r="N76" i="7" s="1"/>
  <c r="O17" i="7"/>
  <c r="O21" i="7" s="1"/>
  <c r="O13" i="7"/>
  <c r="O15" i="7" s="1"/>
  <c r="M51" i="6"/>
  <c r="M59" i="6"/>
  <c r="M43" i="6"/>
  <c r="M56" i="6"/>
  <c r="M49" i="6"/>
  <c r="M41" i="6"/>
  <c r="M54" i="6"/>
  <c r="M55" i="6"/>
  <c r="M39" i="6"/>
  <c r="M52" i="6"/>
  <c r="M44" i="6"/>
  <c r="M57" i="6"/>
  <c r="M45" i="6"/>
  <c r="M101" i="4"/>
  <c r="M50" i="6"/>
  <c r="M42" i="6"/>
  <c r="M48" i="6"/>
  <c r="M53" i="6"/>
  <c r="M40" i="6"/>
  <c r="N103" i="4"/>
  <c r="N74" i="4"/>
  <c r="O71" i="7" l="1"/>
  <c r="O72" i="7" s="1"/>
  <c r="O39" i="7"/>
  <c r="O40" i="7" s="1"/>
  <c r="O35" i="7"/>
  <c r="O36" i="7" s="1"/>
  <c r="O75" i="7"/>
  <c r="O76" i="7" s="1"/>
  <c r="O61" i="7"/>
  <c r="O62" i="7" s="1"/>
  <c r="N45" i="6"/>
  <c r="N59" i="6"/>
  <c r="N51" i="6"/>
  <c r="N43" i="6"/>
  <c r="N56" i="6"/>
  <c r="N49" i="6"/>
  <c r="N48" i="6"/>
  <c r="N41" i="6"/>
  <c r="N54" i="6"/>
  <c r="N39" i="6"/>
  <c r="N52" i="6"/>
  <c r="N44" i="6"/>
  <c r="N57" i="6"/>
  <c r="N101" i="4"/>
  <c r="N50" i="6"/>
  <c r="N53" i="6"/>
  <c r="N42" i="6"/>
  <c r="N55" i="6"/>
  <c r="N40" i="6"/>
  <c r="N46" i="6"/>
  <c r="C45" i="8"/>
  <c r="C46" i="8"/>
  <c r="C62" i="8"/>
  <c r="C63" i="8"/>
  <c r="D69" i="8"/>
  <c r="D78" i="8"/>
  <c r="L11" i="16"/>
  <c r="M11" i="16"/>
  <c r="N11" i="16"/>
  <c r="O11" i="16"/>
  <c r="D16" i="16"/>
  <c r="C21" i="16"/>
  <c r="C22" i="16"/>
  <c r="C24" i="16"/>
  <c r="C25" i="16"/>
  <c r="D27" i="16"/>
  <c r="E28" i="16"/>
  <c r="C30" i="19"/>
  <c r="C31" i="19"/>
  <c r="D6" i="22"/>
  <c r="F6" i="22"/>
  <c r="H6" i="22"/>
  <c r="I6" i="22"/>
  <c r="D7" i="22"/>
  <c r="F7" i="22"/>
  <c r="H7" i="22"/>
  <c r="I7"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TUF GAMING</author>
  </authors>
  <commentList>
    <comment ref="C9" authorId="0" shapeId="0" xr:uid="{1D42DB84-BCA5-49C5-9450-E70ED8FF63EE}">
      <text>
        <r>
          <rPr>
            <b/>
            <sz val="9"/>
            <color indexed="81"/>
            <rFont val="Tahoma"/>
            <family val="2"/>
          </rPr>
          <t>Indigo Financial Modelling:</t>
        </r>
        <r>
          <rPr>
            <sz val="9"/>
            <color indexed="81"/>
            <rFont val="Tahoma"/>
            <family val="2"/>
          </rPr>
          <t xml:space="preserve">
Took the data from TradingView.com</t>
        </r>
      </text>
    </comment>
    <comment ref="C12" authorId="0" shapeId="0" xr:uid="{4A338323-EFC5-4CED-8865-C02AC0807E85}">
      <text>
        <r>
          <rPr>
            <b/>
            <sz val="9"/>
            <color indexed="81"/>
            <rFont val="Tahoma"/>
            <family val="2"/>
          </rPr>
          <t>IndiGo Financial Modelling:</t>
        </r>
        <r>
          <rPr>
            <sz val="9"/>
            <color indexed="81"/>
            <rFont val="Tahoma"/>
            <family val="2"/>
          </rPr>
          <t xml:space="preserve">
Took this data from Dr. Damodaran website
</t>
        </r>
      </text>
    </comment>
    <comment ref="C17" authorId="0" shapeId="0" xr:uid="{C35D7F42-B268-44D1-AF59-C1FC57A2701F}">
      <text>
        <r>
          <rPr>
            <b/>
            <sz val="9"/>
            <color indexed="81"/>
            <rFont val="Tahoma"/>
            <family val="2"/>
          </rPr>
          <t xml:space="preserve">Indigo Financial Modelling:
</t>
        </r>
        <r>
          <rPr>
            <sz val="9"/>
            <color indexed="81"/>
            <rFont val="Tahoma"/>
            <family val="2"/>
          </rPr>
          <t>Took the data from Bajaj Finserv.</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<sst xmlns="http://schemas.openxmlformats.org/spreadsheetml/2006/main" count="1574" uniqueCount="857">
  <si>
    <t>Control Sheet</t>
  </si>
  <si>
    <t>Current Case</t>
  </si>
  <si>
    <t xml:space="preserve">  </t>
  </si>
  <si>
    <t>Actual</t>
  </si>
  <si>
    <t>Explicit Forecast Period</t>
  </si>
  <si>
    <t>In INR Crores unless stated otherwise</t>
  </si>
  <si>
    <t>#</t>
  </si>
  <si>
    <t>Management Case</t>
  </si>
  <si>
    <t>Best Case</t>
  </si>
  <si>
    <t>Down Case</t>
  </si>
  <si>
    <t>Marginal Tax Rate</t>
  </si>
  <si>
    <t>Dividend Payout %</t>
  </si>
  <si>
    <t>Sales Schedule</t>
  </si>
  <si>
    <t xml:space="preserve"> </t>
  </si>
  <si>
    <t>Total Sales</t>
  </si>
  <si>
    <t>Cost of Goods Sold Schedule</t>
  </si>
  <si>
    <t>SG&amp;A (Excluding Depreciation and Interest Expenses) Schedule</t>
  </si>
  <si>
    <t>Intangible Non Current Asset - Amount Spend</t>
  </si>
  <si>
    <t>Depreciation Schedule</t>
  </si>
  <si>
    <t>Less: Depreciation</t>
  </si>
  <si>
    <t>Total Depreciation</t>
  </si>
  <si>
    <t>Tax Expenses Schedule</t>
  </si>
  <si>
    <t>Revenue</t>
  </si>
  <si>
    <t>Less: COGS</t>
  </si>
  <si>
    <t>Less: SG&amp;A Expenses</t>
  </si>
  <si>
    <t>Less: Depreciation and Amortization</t>
  </si>
  <si>
    <t>Less: Interest Expenses</t>
  </si>
  <si>
    <t>Earning before Tax</t>
  </si>
  <si>
    <t>Less: Tax Expenses</t>
  </si>
  <si>
    <t>Net Income</t>
  </si>
  <si>
    <t>Retained Earnings Schedule (Dividends)</t>
  </si>
  <si>
    <t>Retained Earning - Beginning of the year</t>
  </si>
  <si>
    <t>Add: Net Income</t>
  </si>
  <si>
    <t>Less: Dividend Paid</t>
  </si>
  <si>
    <t>Retained Earnings - Ending of year</t>
  </si>
  <si>
    <t>Dividend Payout Rate %</t>
  </si>
  <si>
    <t xml:space="preserve">Working Capital Schedule </t>
  </si>
  <si>
    <t>Debtors</t>
  </si>
  <si>
    <t>Sales</t>
  </si>
  <si>
    <t>Inventory</t>
  </si>
  <si>
    <t>COGS</t>
  </si>
  <si>
    <t>Inventory Days</t>
  </si>
  <si>
    <t>Prepaid Expenses</t>
  </si>
  <si>
    <t>Prepaid Expenses % Sales</t>
  </si>
  <si>
    <t>Other Current Asset</t>
  </si>
  <si>
    <t>Other Current Asset % Sales</t>
  </si>
  <si>
    <t>Creditors</t>
  </si>
  <si>
    <t>Other Payables % Sales</t>
  </si>
  <si>
    <t>Other Current Liabilities</t>
  </si>
  <si>
    <t>Other Current Liabilities % Sales</t>
  </si>
  <si>
    <t>Change In Working Capital</t>
  </si>
  <si>
    <t>Other Current Assets</t>
  </si>
  <si>
    <t>Other Current Liability</t>
  </si>
  <si>
    <t xml:space="preserve">Interest Schedule </t>
  </si>
  <si>
    <t>3 Statement Model</t>
  </si>
  <si>
    <t xml:space="preserve">                  CAGR</t>
  </si>
  <si>
    <t xml:space="preserve">                                                              Actual</t>
  </si>
  <si>
    <t>5 Years</t>
  </si>
  <si>
    <t>3 Years</t>
  </si>
  <si>
    <t>Income Statement</t>
  </si>
  <si>
    <t>Less: Cost of Goods Sold</t>
  </si>
  <si>
    <t>Gross Profit</t>
  </si>
  <si>
    <t>Less: SG&amp;A (Excluding Depreciation and Amortization)</t>
  </si>
  <si>
    <t>Total SG&amp;A</t>
  </si>
  <si>
    <t>EBITDA</t>
  </si>
  <si>
    <t>Depreciation</t>
  </si>
  <si>
    <t>EBIT</t>
  </si>
  <si>
    <t xml:space="preserve">EBT </t>
  </si>
  <si>
    <t>Less: Taxes</t>
  </si>
  <si>
    <t>Sales Growth %</t>
  </si>
  <si>
    <t>Gross Profit Margin %</t>
  </si>
  <si>
    <t>EBITDA Margin %</t>
  </si>
  <si>
    <t>EBIT Margin %</t>
  </si>
  <si>
    <t>Actual Tax Rate %</t>
  </si>
  <si>
    <t>Net Income Margin %</t>
  </si>
  <si>
    <t>Balance Sheet</t>
  </si>
  <si>
    <t>Assets</t>
  </si>
  <si>
    <t>Cash</t>
  </si>
  <si>
    <t>Total Current Assests</t>
  </si>
  <si>
    <t>Total Assets</t>
  </si>
  <si>
    <t>Liability and Shareholder's Equity</t>
  </si>
  <si>
    <t>Total Current Liability</t>
  </si>
  <si>
    <t>Total Non-Current Liability</t>
  </si>
  <si>
    <t>Total Shareholder's Equity</t>
  </si>
  <si>
    <t>Total Liability and Shareholder's Equity</t>
  </si>
  <si>
    <t>Net Working Capital</t>
  </si>
  <si>
    <t>Debtor Days</t>
  </si>
  <si>
    <t>Creditor Days</t>
  </si>
  <si>
    <t>Other Current Assets % Sales</t>
  </si>
  <si>
    <t>Other Current Liability % Sales</t>
  </si>
  <si>
    <t>Cash Flow Statement</t>
  </si>
  <si>
    <t xml:space="preserve">Intangible Non Current Asset </t>
  </si>
  <si>
    <t>Opening Cash Balance</t>
  </si>
  <si>
    <t>Closing Cash Balance</t>
  </si>
  <si>
    <t>Common Sized Statement Model</t>
  </si>
  <si>
    <t>Common Sized Income Statement</t>
  </si>
  <si>
    <t>Liquidity Ratio</t>
  </si>
  <si>
    <t>Current Assets</t>
  </si>
  <si>
    <t>Current Liability</t>
  </si>
  <si>
    <t>Quick Ratio (Acid Ratio)</t>
  </si>
  <si>
    <t>Cash Conversion Days</t>
  </si>
  <si>
    <t>Leverage Ratios (Solvency Ratios)</t>
  </si>
  <si>
    <t>Total Debt</t>
  </si>
  <si>
    <t>Total Equity</t>
  </si>
  <si>
    <t>Debt to Equity</t>
  </si>
  <si>
    <t>Debt to Assets Ratio</t>
  </si>
  <si>
    <t>Equity Ratio</t>
  </si>
  <si>
    <t>Profitability/Margin Ratios</t>
  </si>
  <si>
    <t>Gross Margin Ratios</t>
  </si>
  <si>
    <t>EBITDA Margin Ratios</t>
  </si>
  <si>
    <t>EBIT Margin Ratios</t>
  </si>
  <si>
    <t>Net Profit</t>
  </si>
  <si>
    <t>Net Profit Margin</t>
  </si>
  <si>
    <t>Return on Assets</t>
  </si>
  <si>
    <t>Return on Equity</t>
  </si>
  <si>
    <t>Efficiency Ratios</t>
  </si>
  <si>
    <t>Revenue (Sales)</t>
  </si>
  <si>
    <t>Assets Turnover Ratios</t>
  </si>
  <si>
    <t>Change In Revenue</t>
  </si>
  <si>
    <t>Change In Total Assets</t>
  </si>
  <si>
    <t>Reinvestment Ratios</t>
  </si>
  <si>
    <t>Total Inventory</t>
  </si>
  <si>
    <t>Inventory Turnover Ratios</t>
  </si>
  <si>
    <t>Coverage Ratios</t>
  </si>
  <si>
    <t>Debt to EBITDA Coverage Ratio</t>
  </si>
  <si>
    <t>Interest</t>
  </si>
  <si>
    <t>Debt Repayment</t>
  </si>
  <si>
    <t>Debt Service Coverage Ratio</t>
  </si>
  <si>
    <t>Interest Expenses</t>
  </si>
  <si>
    <t>Interest Coverage Ratio</t>
  </si>
  <si>
    <t>DCF Valuation</t>
  </si>
  <si>
    <t>Mid Year Conviction</t>
  </si>
  <si>
    <t>Yes</t>
  </si>
  <si>
    <t>No</t>
  </si>
  <si>
    <t>Free Cash Flow to Firm</t>
  </si>
  <si>
    <t>Less: Tax</t>
  </si>
  <si>
    <t>EBIT (1-T)</t>
  </si>
  <si>
    <t>Less: Reinvestments</t>
  </si>
  <si>
    <t>Change in Working Capital</t>
  </si>
  <si>
    <t>Discount Period (Year)</t>
  </si>
  <si>
    <t>Mid Year Conviction?</t>
  </si>
  <si>
    <t>Discount Rate (WACC)</t>
  </si>
  <si>
    <t>Present Value Factor</t>
  </si>
  <si>
    <t>Present Value of Free Cash Flow to Firm</t>
  </si>
  <si>
    <t>Weighted Average Cost of Capital</t>
  </si>
  <si>
    <t>DCF Calculation - Perpetuity Growth</t>
  </si>
  <si>
    <t>Perpetuity Growth Rate</t>
  </si>
  <si>
    <t>Terminal Year FCFF *(1+PGR)</t>
  </si>
  <si>
    <t>Terminal Value</t>
  </si>
  <si>
    <t>Present Value of Terminal Factor</t>
  </si>
  <si>
    <t>Present Value of FCFFs</t>
  </si>
  <si>
    <t>Enterprose Value</t>
  </si>
  <si>
    <t>Implied Exit Multiple</t>
  </si>
  <si>
    <t>Implied EV/EBITDA</t>
  </si>
  <si>
    <t>Less: Debt</t>
  </si>
  <si>
    <t>Add: Cash</t>
  </si>
  <si>
    <t>Equity Value</t>
  </si>
  <si>
    <t>DCF Calculation - Exit Multiple</t>
  </si>
  <si>
    <t>Exit Multiple</t>
  </si>
  <si>
    <t>Terminal Year EBITDA</t>
  </si>
  <si>
    <t>Particulars</t>
  </si>
  <si>
    <t>Revenue from operations</t>
  </si>
  <si>
    <t>Other income</t>
  </si>
  <si>
    <t>Total Income</t>
  </si>
  <si>
    <t/>
  </si>
  <si>
    <t>COGS (Cost of Goods Sold)</t>
  </si>
  <si>
    <t>Aircraft fuel expenses</t>
  </si>
  <si>
    <t>Aircraft and engine rentals</t>
  </si>
  <si>
    <t>Supplementary rentals and aircraft repair and maintenance (net)</t>
  </si>
  <si>
    <t>Airport fees and charges</t>
  </si>
  <si>
    <t>Purchase of stock-in-trade (In-flight)</t>
  </si>
  <si>
    <t>Foreign exchange loss (net)</t>
  </si>
  <si>
    <t>Changes in inventories of stock-in-trade</t>
  </si>
  <si>
    <t>Total COGS</t>
  </si>
  <si>
    <t>SG&amp;A (Selling, General &amp; Aministrative)</t>
  </si>
  <si>
    <t>Employee benefits expense</t>
  </si>
  <si>
    <t>Other expenses</t>
  </si>
  <si>
    <t>Less: Depreciation and amortisation expense</t>
  </si>
  <si>
    <t>Depreciation and amortisation expense</t>
  </si>
  <si>
    <t>Finance costs</t>
  </si>
  <si>
    <t>PBT (Profit Before Tax)</t>
  </si>
  <si>
    <t>Tax expense</t>
  </si>
  <si>
    <t>Current tax</t>
  </si>
  <si>
    <t>Deferred tax charge / (credit)</t>
  </si>
  <si>
    <t>Total tax expense / (credit)</t>
  </si>
  <si>
    <t>Non-current assets</t>
  </si>
  <si>
    <t>Property, plant and equipment</t>
  </si>
  <si>
    <t>Right of use assets</t>
  </si>
  <si>
    <t>Capital work-in-progress</t>
  </si>
  <si>
    <t>Intangible assets</t>
  </si>
  <si>
    <t>Intangible assets under development</t>
  </si>
  <si>
    <t>Financial assets</t>
  </si>
  <si>
    <t>Investments</t>
  </si>
  <si>
    <t>Loans</t>
  </si>
  <si>
    <t>Other financial assets</t>
  </si>
  <si>
    <t>Deferred tax assets (net)</t>
  </si>
  <si>
    <t>Income tax assets (net)</t>
  </si>
  <si>
    <t>Other non-current assets</t>
  </si>
  <si>
    <t>Total non-current assets</t>
  </si>
  <si>
    <t>Current assets</t>
  </si>
  <si>
    <t>Inventories</t>
  </si>
  <si>
    <t>Trade receivables</t>
  </si>
  <si>
    <t>Cash and cash equivalents</t>
  </si>
  <si>
    <t>Bank balances other than cash and cash equivalents, above</t>
  </si>
  <si>
    <t>Other current assets</t>
  </si>
  <si>
    <t>Total current assets</t>
  </si>
  <si>
    <t>Assets held for sale</t>
  </si>
  <si>
    <t>-</t>
  </si>
  <si>
    <t>TOTAL ASSETS</t>
  </si>
  <si>
    <t>–</t>
  </si>
  <si>
    <t>Equity</t>
  </si>
  <si>
    <t>Equity share capital</t>
  </si>
  <si>
    <t>Other equity</t>
  </si>
  <si>
    <t>Total equity</t>
  </si>
  <si>
    <t>Non-current liabilities</t>
  </si>
  <si>
    <t>Financial liabilities</t>
  </si>
  <si>
    <t>Borrowings</t>
  </si>
  <si>
    <t>Lease liabilities</t>
  </si>
  <si>
    <t>Other financial liabilities</t>
  </si>
  <si>
    <t>Provisions</t>
  </si>
  <si>
    <t>Deferred tax liabilities (net)</t>
  </si>
  <si>
    <t>Other non-current liabilities</t>
  </si>
  <si>
    <t>Deferred incentives</t>
  </si>
  <si>
    <t>Total non-current liabilities</t>
  </si>
  <si>
    <t>Current liabilities</t>
  </si>
  <si>
    <t>Trade payables</t>
  </si>
  <si>
    <t>*</t>
  </si>
  <si>
    <t>total outstanding dues of micro enterprises and small enterprises</t>
  </si>
  <si>
    <t>total outstanding dues of creditors other than micro enterprises and small
enterprises</t>
  </si>
  <si>
    <t>Other current liabilities</t>
  </si>
  <si>
    <t>Current tax liabilities (net)</t>
  </si>
  <si>
    <t>Total current liabilities</t>
  </si>
  <si>
    <t>TOTAL EQUITY AND LIABILITIES</t>
  </si>
  <si>
    <t>Cash flows from operating activities</t>
  </si>
  <si>
    <t>Profit before tax</t>
  </si>
  <si>
    <t>Adjustments for:</t>
  </si>
  <si>
    <t>Interest on lease liabilities</t>
  </si>
  <si>
    <t>Unrealised foreign exchange loss (net)</t>
  </si>
  <si>
    <t>Interest accretion on provisions and other financial liabilities measured at
amortised cost (net)</t>
  </si>
  <si>
    <t>Mark to market gain on current investments at fair value</t>
  </si>
  <si>
    <t>Interest income from bank deposits</t>
  </si>
  <si>
    <t>Non cash incentives, claims and credits</t>
  </si>
  <si>
    <t>Net gain on sale of current investments</t>
  </si>
  <si>
    <t>Interest income from financial assets at amortised cost</t>
  </si>
  <si>
    <t>Employee stock option scheme expense (included in salaries, wages and bonus)</t>
  </si>
  <si>
    <t>Share based payments expense</t>
  </si>
  <si>
    <t>Unrealised loss / (gain) on change in fair value of derivatives (net)</t>
  </si>
  <si>
    <t>Liabilities no longer required written back</t>
  </si>
  <si>
    <t>Interest on borrowings measured at amortised cost</t>
  </si>
  <si>
    <t>Redelivery and overhaul cost</t>
  </si>
  <si>
    <t>Provision for doubtful debts and loans and advances</t>
  </si>
  <si>
    <t>Provision for inventory obsolescence (net)</t>
  </si>
  <si>
    <t>Assets written off</t>
  </si>
  <si>
    <t>Property, plant and equipment written off</t>
  </si>
  <si>
    <t>Profit on sale of property, plant and equipment (net)</t>
  </si>
  <si>
    <t>Profit on sale and leaseback of owned assets</t>
  </si>
  <si>
    <t>Deferred rent amortisation (included in Aircraft and engine rentals)</t>
  </si>
  <si>
    <t>Finance lease charges on finance lease obligations measured at amortised cost</t>
  </si>
  <si>
    <t>Bad debts written off</t>
  </si>
  <si>
    <t>Impairment loss on trade receivables</t>
  </si>
  <si>
    <t>Impairment loss on deposits</t>
  </si>
  <si>
    <t>Advances written off</t>
  </si>
  <si>
    <t>Operating profit before working capital changes</t>
  </si>
  <si>
    <t>Increase in loan, other financial assets and other assets</t>
  </si>
  <si>
    <t>Increase in inventories</t>
  </si>
  <si>
    <t>Increase in trade payables, other financial liabilities, other liabilities and
provisions</t>
  </si>
  <si>
    <t>Increase in trade receivables</t>
  </si>
  <si>
    <t>Increase in deferred incentives</t>
  </si>
  <si>
    <t>Cash generated from operating activities</t>
  </si>
  <si>
    <t>Income tax paid (net)</t>
  </si>
  <si>
    <t>Net cash generated from operating activities</t>
  </si>
  <si>
    <t>Cash flows from investing activities</t>
  </si>
  <si>
    <t>Purchase of mutual funds / equity shares / bonds (Refer to Note 8)</t>
  </si>
  <si>
    <t>Proceeds from sale of mutual funds / equity shares / bonds (Refer to Note 8)</t>
  </si>
  <si>
    <t>Investment in bank deposits (Refer to Note 9 and 14)</t>
  </si>
  <si>
    <t>Proceeds from maturity of bank deposits (Refer to Note 9 and 14)</t>
  </si>
  <si>
    <t>Interest received on bank deposits and bonds</t>
  </si>
  <si>
    <t>Major inspection and overhaul costs on leased aircraft (including capital advances
and capital creditors)</t>
  </si>
  <si>
    <t>Proceeds from sale and leaseback of owned assets (net)</t>
  </si>
  <si>
    <t>Purchase of property, plant and equipment and intangible assets (including capital
advances and capital creditors)</t>
  </si>
  <si>
    <t>Proceeds from sale of property, plant and equipment</t>
  </si>
  <si>
    <t>Net cash used in investing activities</t>
  </si>
  <si>
    <t>Cash flows from financing activities</t>
  </si>
  <si>
    <t>Repayment of lease liabilities (net of incentives) (Refer to Note 3 below)</t>
  </si>
  <si>
    <t>Interest charges paid on lease liabilities (Refer to Note 3 below)</t>
  </si>
  <si>
    <t>Proceeds from / (repayment) of short-term borrowings (net) (Refer to Note 3 below)</t>
  </si>
  <si>
    <t>Repayment of secured loans (Refer to Note 3 below)</t>
  </si>
  <si>
    <t>Interest paid on borrowings</t>
  </si>
  <si>
    <t>Final dividend paid</t>
  </si>
  <si>
    <t>Corporate dividend tax paid</t>
  </si>
  <si>
    <t>Securities premium received on account of issue of shares on exercise of stock options</t>
  </si>
  <si>
    <t>Proceeds from Institutional Placement Programme (Refer to Note 13.i.)</t>
  </si>
  <si>
    <t>Proceeds from issue of shares on exercise of stock options</t>
  </si>
  <si>
    <t>Net cash used in financing activities</t>
  </si>
  <si>
    <t>Net increase / (decrease) in cash and cash equivalents during the year (A+B+C)</t>
  </si>
  <si>
    <t>Effect of exchange rate changes on cash and cash equivalents held in foreign currency</t>
  </si>
  <si>
    <t>Cash and cash equivalents at the beginning of the year</t>
  </si>
  <si>
    <t>Cash on hand</t>
  </si>
  <si>
    <t>Cheques on hand</t>
  </si>
  <si>
    <t>Balances with banks:</t>
  </si>
  <si>
    <t>On current accounts</t>
  </si>
  <si>
    <t>On deposit accounts (with original maturity of three months or less)</t>
  </si>
  <si>
    <t>Cash and cash equivalents as at the end of the year</t>
  </si>
  <si>
    <t>COGS % Sales</t>
  </si>
  <si>
    <t>Stock-in-trade % Sales</t>
  </si>
  <si>
    <t>Change in inventory % Sales</t>
  </si>
  <si>
    <t>Gross Margin % Sales</t>
  </si>
  <si>
    <t>Employee benefits expense % Revenue</t>
  </si>
  <si>
    <t>EBE % Sales</t>
  </si>
  <si>
    <t>OE % Sales</t>
  </si>
  <si>
    <t>Other expense % Revenue</t>
  </si>
  <si>
    <t>Employee Benefit Expenses</t>
  </si>
  <si>
    <t>Other Expenses</t>
  </si>
  <si>
    <t>Employee Benefit Expenses % Revenue</t>
  </si>
  <si>
    <t>Other Expenses % Revenue</t>
  </si>
  <si>
    <t xml:space="preserve">Total SG&amp;A </t>
  </si>
  <si>
    <t>Total SG&amp;A % Revenue</t>
  </si>
  <si>
    <t xml:space="preserve">EBITDA Margin </t>
  </si>
  <si>
    <t>EBITDA Margin</t>
  </si>
  <si>
    <t xml:space="preserve">Gross Margin % Revenue </t>
  </si>
  <si>
    <t xml:space="preserve">InterGlobe Aviation </t>
  </si>
  <si>
    <t>Ratio Analysis</t>
  </si>
  <si>
    <t>Schedule Sheet</t>
  </si>
  <si>
    <t>Plant, machinery and equipment Growth %</t>
  </si>
  <si>
    <t>Right of use assets Growth %</t>
  </si>
  <si>
    <t>Capital Work in progress Growth %</t>
  </si>
  <si>
    <t>Financial Assets Growth %</t>
  </si>
  <si>
    <t>Intangible Non Current Asset Growth %</t>
  </si>
  <si>
    <t>YoY Growth %</t>
  </si>
  <si>
    <t>Capital Work In Progress</t>
  </si>
  <si>
    <t>Other Non-Current Assets</t>
  </si>
  <si>
    <t>Non-Current Asset Schedule</t>
  </si>
  <si>
    <t xml:space="preserve">Tangible Non-Current Asset </t>
  </si>
  <si>
    <t xml:space="preserve">Intangible Non-Current Asset </t>
  </si>
  <si>
    <t>Total Non-Current Assests</t>
  </si>
  <si>
    <t>Other Non-Current Assets % Revenue</t>
  </si>
  <si>
    <t xml:space="preserve">Revenue </t>
  </si>
  <si>
    <t>Other Non- Current Asssets</t>
  </si>
  <si>
    <t>Other non-current assets % Revenue</t>
  </si>
  <si>
    <t>Deferred Tax Growth %</t>
  </si>
  <si>
    <t>Income Tax  Growth %</t>
  </si>
  <si>
    <t>Financial Assets</t>
  </si>
  <si>
    <t>Deferred Tax</t>
  </si>
  <si>
    <t>Income Tax</t>
  </si>
  <si>
    <t>Financial Current Asset</t>
  </si>
  <si>
    <t>Financial Current Assets</t>
  </si>
  <si>
    <t>Net Fixed Assets</t>
  </si>
  <si>
    <t>CWIP</t>
  </si>
  <si>
    <t>CWIP % Net Fixed Assets</t>
  </si>
  <si>
    <t>Gross Block</t>
  </si>
  <si>
    <t>Plant &amp; Machinery</t>
  </si>
  <si>
    <t>Less: Accumulated Dep</t>
  </si>
  <si>
    <t>Right of use</t>
  </si>
  <si>
    <t>Intangible Non Current Asset (Under Development) Growth %</t>
  </si>
  <si>
    <t>Intangible Non Current Asset - Under Development</t>
  </si>
  <si>
    <t>Less: Accumulated Amortization</t>
  </si>
  <si>
    <t>Dep</t>
  </si>
  <si>
    <t>Amort</t>
  </si>
  <si>
    <t>Avg life of assets</t>
  </si>
  <si>
    <t>Avg age of assets</t>
  </si>
  <si>
    <t>% of asset dep</t>
  </si>
  <si>
    <t>% of net fixed asset</t>
  </si>
  <si>
    <t>% of gross block</t>
  </si>
  <si>
    <t>% of revenue</t>
  </si>
  <si>
    <t>Median</t>
  </si>
  <si>
    <t>Mean</t>
  </si>
  <si>
    <t>Add: Capex during the year</t>
  </si>
  <si>
    <t>Depreciation Waterfall Schedule (PE&amp;M)</t>
  </si>
  <si>
    <t>EBIT Margin</t>
  </si>
  <si>
    <t>Exceptional Itmes</t>
  </si>
  <si>
    <t>Non controlling interest</t>
  </si>
  <si>
    <t>Exceptional items</t>
  </si>
  <si>
    <t>Proceeds from issue of units of controlled trust to non-controlling interests</t>
  </si>
  <si>
    <t xml:space="preserve">Opening PM&amp;E </t>
  </si>
  <si>
    <t>Closing PM&amp;E</t>
  </si>
  <si>
    <t>Addition during the year</t>
  </si>
  <si>
    <t>Total Net Deprecialble Fixed Asset</t>
  </si>
  <si>
    <t>Depreciation% Revenue</t>
  </si>
  <si>
    <t>Depreciation% Net fixed asset</t>
  </si>
  <si>
    <t>Finance Cost</t>
  </si>
  <si>
    <t>Add: Other Income</t>
  </si>
  <si>
    <t>Exceptional Items</t>
  </si>
  <si>
    <t>Other Income</t>
  </si>
  <si>
    <t xml:space="preserve">Other Income Schedule </t>
  </si>
  <si>
    <t>Other Income % Revenue</t>
  </si>
  <si>
    <t>Other Financial Liability</t>
  </si>
  <si>
    <t>Other Financial Liability % Sales</t>
  </si>
  <si>
    <t>Financial Liability</t>
  </si>
  <si>
    <t>Provisions % Sales</t>
  </si>
  <si>
    <t>Provision</t>
  </si>
  <si>
    <t>Financial Liability % Sales</t>
  </si>
  <si>
    <t>Interest Income</t>
  </si>
  <si>
    <t>Foreign Exchange</t>
  </si>
  <si>
    <t>Investment Gains/Loss</t>
  </si>
  <si>
    <t>Provisions &amp; Impairments</t>
  </si>
  <si>
    <t>Write-offs</t>
  </si>
  <si>
    <t>Gains/loss on assets sales</t>
  </si>
  <si>
    <t>Other non-cash adjustment</t>
  </si>
  <si>
    <t>Redelivery &amp; Overhaul</t>
  </si>
  <si>
    <t>Depreciation &amp; Amortization</t>
  </si>
  <si>
    <t>Earning before tax</t>
  </si>
  <si>
    <t>Repayment of lease liabilities (net of incentives)</t>
  </si>
  <si>
    <t>Interest charges paid on lease liabilities</t>
  </si>
  <si>
    <t xml:space="preserve">Proceeds from / (repayment) of short-term borrowings (net) </t>
  </si>
  <si>
    <t xml:space="preserve">Repayment of secured loans </t>
  </si>
  <si>
    <t xml:space="preserve">Purchase of mutual funds / equity shares / bonds </t>
  </si>
  <si>
    <t>Proceeds from sale of mutual funds / equity shares / bonds</t>
  </si>
  <si>
    <t xml:space="preserve">Investment in bank deposits </t>
  </si>
  <si>
    <t>Proceeds from maturity of bank deposits</t>
  </si>
  <si>
    <t>Net Change in Cash (A+B+C)</t>
  </si>
  <si>
    <t>Lease Lib</t>
  </si>
  <si>
    <t>Borrowing</t>
  </si>
  <si>
    <t>Interest accretion on provisions and other financial liabilities measured at amortised cost</t>
  </si>
  <si>
    <t>Interest others</t>
  </si>
  <si>
    <t>Net loss on foreign currency transactions and translation to the extent regarded as borrowing cost*</t>
  </si>
  <si>
    <t>Long term</t>
  </si>
  <si>
    <t>short term</t>
  </si>
  <si>
    <t>Borrowing int</t>
  </si>
  <si>
    <t>Lease Lib int</t>
  </si>
  <si>
    <t>Interest Amount</t>
  </si>
  <si>
    <t>Total b</t>
  </si>
  <si>
    <t>Total l</t>
  </si>
  <si>
    <t>Int % Financial lib</t>
  </si>
  <si>
    <t>Interest Rate</t>
  </si>
  <si>
    <t>Average Financial Liability</t>
  </si>
  <si>
    <t>Non- Current Financial Liability</t>
  </si>
  <si>
    <t>Lease Liability</t>
  </si>
  <si>
    <t>Total Non-Current Financial Liability</t>
  </si>
  <si>
    <t>Total Non-Current and Current Financial Liability</t>
  </si>
  <si>
    <t>Interest Expenses (Finance Cost)</t>
  </si>
  <si>
    <t>Fixed Depo</t>
  </si>
  <si>
    <t xml:space="preserve">Investment Schedule </t>
  </si>
  <si>
    <t>Investment</t>
  </si>
  <si>
    <t>Investment YoY %</t>
  </si>
  <si>
    <t>Gain/loss</t>
  </si>
  <si>
    <t>Total Current Asset</t>
  </si>
  <si>
    <t>Total Change Working Capital</t>
  </si>
  <si>
    <t>Prepaid Expenses % COGS</t>
  </si>
  <si>
    <t>Cash % Revenue</t>
  </si>
  <si>
    <t xml:space="preserve">CASH </t>
  </si>
  <si>
    <t>Assumptions</t>
  </si>
  <si>
    <t xml:space="preserve">Cost of Goods Sold </t>
  </si>
  <si>
    <t xml:space="preserve">Selling, General and Administrative (SG&amp;A) Expenses </t>
  </si>
  <si>
    <t xml:space="preserve">Non Current Asset </t>
  </si>
  <si>
    <t xml:space="preserve">Tax Rate </t>
  </si>
  <si>
    <t xml:space="preserve">Senior Term Loan </t>
  </si>
  <si>
    <t xml:space="preserve">Interest Rate </t>
  </si>
  <si>
    <t xml:space="preserve">Dividend Payout </t>
  </si>
  <si>
    <t xml:space="preserve">Other Income </t>
  </si>
  <si>
    <t>Please provide the below inputs</t>
  </si>
  <si>
    <t>Name of the Company</t>
  </si>
  <si>
    <t>WACC Inputs</t>
  </si>
  <si>
    <t>Country</t>
  </si>
  <si>
    <t>Local Currency 10Yr. Government Bond Yield</t>
  </si>
  <si>
    <t>Credit default spread as per Dr. Damodaran</t>
  </si>
  <si>
    <t>Implied US Equity Risk Premium</t>
  </si>
  <si>
    <t>Asset Beta</t>
  </si>
  <si>
    <t>Asset Beta Variation (+/-)</t>
  </si>
  <si>
    <t>Debt to Capital (Gearing)</t>
  </si>
  <si>
    <t>Company Credit Rating Available?</t>
  </si>
  <si>
    <t>Provide Credit Rating</t>
  </si>
  <si>
    <t>Small Size Premium</t>
  </si>
  <si>
    <t>Asset Specific Risk Premium</t>
  </si>
  <si>
    <t>Moody's rating</t>
  </si>
  <si>
    <t>CDS % Change</t>
  </si>
  <si>
    <t>Abu Dhabi</t>
  </si>
  <si>
    <t>Algeria</t>
  </si>
  <si>
    <t>Angola</t>
  </si>
  <si>
    <t>Australia</t>
  </si>
  <si>
    <t>Austria</t>
  </si>
  <si>
    <t>Bahrain</t>
  </si>
  <si>
    <t>Belgium</t>
  </si>
  <si>
    <t>Brazil</t>
  </si>
  <si>
    <t>Bulgaria</t>
  </si>
  <si>
    <t>Cameroon</t>
  </si>
  <si>
    <t>Canada</t>
  </si>
  <si>
    <t>Chile</t>
  </si>
  <si>
    <t>China</t>
  </si>
  <si>
    <t>Colombia</t>
  </si>
  <si>
    <t>Costa Rica</t>
  </si>
  <si>
    <t>Croatia</t>
  </si>
  <si>
    <t>Cyprus</t>
  </si>
  <si>
    <t>Czech Republic</t>
  </si>
  <si>
    <t>Denmark</t>
  </si>
  <si>
    <t>Dubai</t>
  </si>
  <si>
    <t>Ecuador</t>
  </si>
  <si>
    <t>Egypt</t>
  </si>
  <si>
    <t>El Salvador</t>
  </si>
  <si>
    <t>Estonia</t>
  </si>
  <si>
    <t>Finland</t>
  </si>
  <si>
    <t>France</t>
  </si>
  <si>
    <t>Germany</t>
  </si>
  <si>
    <t>Greece</t>
  </si>
  <si>
    <t>Guatemala</t>
  </si>
  <si>
    <t>Hong Kong</t>
  </si>
  <si>
    <t>Hungary</t>
  </si>
  <si>
    <t>Iceland</t>
  </si>
  <si>
    <t>India</t>
  </si>
  <si>
    <t>Indonesia</t>
  </si>
  <si>
    <t>Iraq</t>
  </si>
  <si>
    <t>Ireland</t>
  </si>
  <si>
    <t>Israel</t>
  </si>
  <si>
    <t>Italy</t>
  </si>
  <si>
    <t>Japan</t>
  </si>
  <si>
    <t>Kazakhstan</t>
  </si>
  <si>
    <t>Kenya</t>
  </si>
  <si>
    <t>Korea</t>
  </si>
  <si>
    <t>Kuwait</t>
  </si>
  <si>
    <t>Latvia</t>
  </si>
  <si>
    <t>Lithuania</t>
  </si>
  <si>
    <t>Malaysia</t>
  </si>
  <si>
    <t>Mexico</t>
  </si>
  <si>
    <t>Morocco</t>
  </si>
  <si>
    <t>Namibia</t>
  </si>
  <si>
    <t>Netherlands</t>
  </si>
  <si>
    <t>New Zealand</t>
  </si>
  <si>
    <t>Nicaragua</t>
  </si>
  <si>
    <t>Nigeria</t>
  </si>
  <si>
    <t>Norway</t>
  </si>
  <si>
    <t>Oman</t>
  </si>
  <si>
    <t>Pakistan</t>
  </si>
  <si>
    <t>Panama</t>
  </si>
  <si>
    <t>Peru</t>
  </si>
  <si>
    <t>Philippines</t>
  </si>
  <si>
    <t>Poland</t>
  </si>
  <si>
    <t>Portugal</t>
  </si>
  <si>
    <t>Qatar</t>
  </si>
  <si>
    <t>Romania</t>
  </si>
  <si>
    <t>Russia</t>
  </si>
  <si>
    <t>MR</t>
  </si>
  <si>
    <t>NA</t>
  </si>
  <si>
    <t>Rwanda</t>
  </si>
  <si>
    <t>Saudi Arabia</t>
  </si>
  <si>
    <t>Senegal</t>
  </si>
  <si>
    <t>Serbia</t>
  </si>
  <si>
    <t>Slovakia</t>
  </si>
  <si>
    <t>Slovenia</t>
  </si>
  <si>
    <t>South Africa</t>
  </si>
  <si>
    <t>Spain</t>
  </si>
  <si>
    <t>Sweden</t>
  </si>
  <si>
    <t>Switzerland</t>
  </si>
  <si>
    <t>Thailand</t>
  </si>
  <si>
    <t>Tunisia</t>
  </si>
  <si>
    <t>Turkey</t>
  </si>
  <si>
    <t>United Kingdom</t>
  </si>
  <si>
    <t>United States</t>
  </si>
  <si>
    <t>Uruguay</t>
  </si>
  <si>
    <t>Vietnam</t>
  </si>
  <si>
    <t>Average</t>
  </si>
  <si>
    <t>Aa2</t>
  </si>
  <si>
    <t>B3</t>
  </si>
  <si>
    <t>Aaa</t>
  </si>
  <si>
    <t>Aa1</t>
  </si>
  <si>
    <t>B2</t>
  </si>
  <si>
    <t>Aa3</t>
  </si>
  <si>
    <t>Ba1</t>
  </si>
  <si>
    <t>Baa1</t>
  </si>
  <si>
    <t>Caa1</t>
  </si>
  <si>
    <t>A2</t>
  </si>
  <si>
    <t>A1</t>
  </si>
  <si>
    <t>Baa3</t>
  </si>
  <si>
    <t>Ba2</t>
  </si>
  <si>
    <t>A3</t>
  </si>
  <si>
    <t>Caa3</t>
  </si>
  <si>
    <t>Baa2</t>
  </si>
  <si>
    <t>B1</t>
  </si>
  <si>
    <t>Ba3</t>
  </si>
  <si>
    <t>Debt to Capital</t>
  </si>
  <si>
    <t xml:space="preserve">Debt </t>
  </si>
  <si>
    <t>Current Financial Liability</t>
  </si>
  <si>
    <t>Capital</t>
  </si>
  <si>
    <t>For financial service firms (default spreads are slighty different)</t>
  </si>
  <si>
    <t>If long term interest coverage ratio is</t>
  </si>
  <si>
    <t>&gt;</t>
  </si>
  <si>
    <t>Rating is</t>
  </si>
  <si>
    <t>Spread is</t>
  </si>
  <si>
    <t>greater than</t>
  </si>
  <si>
    <t>D2/D</t>
  </si>
  <si>
    <t>C2/C</t>
  </si>
  <si>
    <t>Ca2/CC</t>
  </si>
  <si>
    <t>Caa/CCC</t>
  </si>
  <si>
    <t>B3/B-</t>
  </si>
  <si>
    <t>B2/B</t>
  </si>
  <si>
    <t>B1/B+</t>
  </si>
  <si>
    <t>Ba2/BB</t>
  </si>
  <si>
    <t>Ba1/BB+</t>
  </si>
  <si>
    <t>Baa2/BBB</t>
  </si>
  <si>
    <t>A3/A-</t>
  </si>
  <si>
    <t>A2/A</t>
  </si>
  <si>
    <t>A1/A+</t>
  </si>
  <si>
    <t>Aa2/AA</t>
  </si>
  <si>
    <t>Aaa/AAA</t>
  </si>
  <si>
    <t>For large non-financial service firm</t>
  </si>
  <si>
    <t>If Interest Coverage Ratio is</t>
  </si>
  <si>
    <t>&lt; to</t>
  </si>
  <si>
    <t xml:space="preserve">&lt; to </t>
  </si>
  <si>
    <t>Company is non-financial or financial firm?</t>
  </si>
  <si>
    <t>Non-financial firm</t>
  </si>
  <si>
    <t xml:space="preserve">Financial firm </t>
  </si>
  <si>
    <t xml:space="preserve">ICR-Based Corporate Default Spread </t>
  </si>
  <si>
    <t>Low</t>
  </si>
  <si>
    <t>High</t>
  </si>
  <si>
    <t>Mid</t>
  </si>
  <si>
    <t>Risk Free Rate</t>
  </si>
  <si>
    <t>Equity Risk Premium</t>
  </si>
  <si>
    <t>D/E Ratio</t>
  </si>
  <si>
    <t>Equity Beta</t>
  </si>
  <si>
    <t>CAPM Cost of Equity</t>
  </si>
  <si>
    <t>Asset Specific Premium</t>
  </si>
  <si>
    <t>Post Tax Cost of Debt</t>
  </si>
  <si>
    <t>Capital Gearing (D/D+E)</t>
  </si>
  <si>
    <t>Weighted Average Cost of Capital (Rounded)</t>
  </si>
  <si>
    <t>Modified Cost of Equity</t>
  </si>
  <si>
    <t>Pre Tax Cost of Debt</t>
  </si>
  <si>
    <t>Beta Analysis - 2 Years Weekly</t>
  </si>
  <si>
    <t>Comparable Company</t>
  </si>
  <si>
    <t>No. of weekly observation</t>
  </si>
  <si>
    <t>Market Cap</t>
  </si>
  <si>
    <t>Assset Beta</t>
  </si>
  <si>
    <t>2 Year Avg. D/E</t>
  </si>
  <si>
    <t>2 Year Avg. D/E+D</t>
  </si>
  <si>
    <t>Ticker</t>
  </si>
  <si>
    <t>Ryanair Holdings</t>
  </si>
  <si>
    <t>RYAAY</t>
  </si>
  <si>
    <t>Singapore Airlines</t>
  </si>
  <si>
    <t>C6L / SIA</t>
  </si>
  <si>
    <t>Considered?</t>
  </si>
  <si>
    <t>Average Broad Set</t>
  </si>
  <si>
    <t>Median Broad Set</t>
  </si>
  <si>
    <t>Average Considered Set</t>
  </si>
  <si>
    <t>Median Considered Set</t>
  </si>
  <si>
    <t>Narroee Set</t>
  </si>
  <si>
    <t>Beta Analysis - 5 Years Monthly</t>
  </si>
  <si>
    <t>Blume Beta Analysis - 5 Years Monthly</t>
  </si>
  <si>
    <t>2/3 Beta + 1/3 * Material Beta</t>
  </si>
  <si>
    <t>1. Tax rate considered as the Marginal tax rate in India</t>
  </si>
  <si>
    <t>3. Equity Beta = Asset Beta*(1+(1-Tax Rate%)*Debt/Equity)</t>
  </si>
  <si>
    <t>2. Asset Beta is considered as median of 5 years beta odf comps adjusted for blume effect.</t>
  </si>
  <si>
    <t>Equity Risk Premium (ERP)</t>
  </si>
  <si>
    <t>Cost of debt</t>
  </si>
  <si>
    <t>Small Size Premium &amp; Asset Specific Premium</t>
  </si>
  <si>
    <t>Emperically small sized assets have exceed the returns as compared to lare sized assets. We have used the study on size premium conducted by Incwert which is based on difference between actual returns and CAPM expected returns arranged in decline basis market capitalization of Indian Companies.</t>
  </si>
  <si>
    <t>Less: Depreciation &amp; Amortization</t>
  </si>
  <si>
    <t>Add: Depreciation &amp; Amortization</t>
  </si>
  <si>
    <t>Capex during the year</t>
  </si>
  <si>
    <t>Enterprise Value</t>
  </si>
  <si>
    <t>Add: Non Operating Assets</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</si>
  <si>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</si>
  <si>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</si>
  <si>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</si>
  <si>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</si>
  <si>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</si>
  <si>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</si>
  <si>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</si>
  <si>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Risk Free rate =</t>
  </si>
  <si>
    <t>Enter the number of options outstanding =</t>
  </si>
  <si>
    <t>Enter the number of shares outstanding =</t>
  </si>
  <si>
    <t>Do not input any numbers below this line</t>
  </si>
  <si>
    <t>VALUING OPTIONS WHEN THERE IS DILUTION</t>
  </si>
  <si>
    <t>Stock Price=</t>
  </si>
  <si>
    <t>Strike Price=</t>
  </si>
  <si>
    <t># Shares outstanding=</t>
  </si>
  <si>
    <t>Adjusted S =</t>
  </si>
  <si>
    <t>T.Bond rate=</t>
  </si>
  <si>
    <t>Adjusted K =</t>
  </si>
  <si>
    <t>Variance=</t>
  </si>
  <si>
    <t>Expiration (in years) =</t>
  </si>
  <si>
    <t>Annualized dividend yield=</t>
  </si>
  <si>
    <t>Div. Adj. interest rate=</t>
  </si>
  <si>
    <t>d1 =</t>
  </si>
  <si>
    <t>N (d1) =</t>
  </si>
  <si>
    <t>d2 =</t>
  </si>
  <si>
    <t>N (d2) =</t>
  </si>
  <si>
    <t>Value per option =</t>
  </si>
  <si>
    <t>Value of all options outstanding =</t>
  </si>
  <si>
    <t>Grant Date</t>
  </si>
  <si>
    <t>No. of options</t>
  </si>
  <si>
    <t>Exercise Price</t>
  </si>
  <si>
    <t>Contractual Period</t>
  </si>
  <si>
    <t>Expected Volatility</t>
  </si>
  <si>
    <t>Wighted Average</t>
  </si>
  <si>
    <t># Options issued=</t>
  </si>
  <si>
    <t>Less: Value of Options</t>
  </si>
  <si>
    <t>Equity Value for Shareholders</t>
  </si>
  <si>
    <t>In INR million unless stated otherwise</t>
  </si>
  <si>
    <t>ḥ</t>
  </si>
  <si>
    <t>Sensitivity Analysis</t>
  </si>
  <si>
    <t>Terminal Growth %</t>
  </si>
  <si>
    <t>WACC</t>
  </si>
  <si>
    <t xml:space="preserve">Exit Multiple </t>
  </si>
  <si>
    <t>Revenue YoY % Growth</t>
  </si>
  <si>
    <t>Closing Intangible Non-Current Asset</t>
  </si>
  <si>
    <t>Closing Right of use assets</t>
  </si>
  <si>
    <t>Plant, Machinery and Equipment</t>
  </si>
  <si>
    <t>Comparable Companies</t>
  </si>
  <si>
    <t>PAT</t>
  </si>
  <si>
    <t>Operating Expenses</t>
  </si>
  <si>
    <t>Non-Operating Expenses</t>
  </si>
  <si>
    <t>EBT</t>
  </si>
  <si>
    <t>Tax</t>
  </si>
  <si>
    <t>$ (in millions, except per share data)</t>
  </si>
  <si>
    <t>Revenue Growth %</t>
  </si>
  <si>
    <t>EBITDA Growth %</t>
  </si>
  <si>
    <t>EBIT Growth %</t>
  </si>
  <si>
    <t>NM</t>
  </si>
  <si>
    <t>EBT Margin %</t>
  </si>
  <si>
    <t>EBT Growth %</t>
  </si>
  <si>
    <t>Net Income Growth %</t>
  </si>
  <si>
    <t>Passenger service</t>
  </si>
  <si>
    <t>Cargo Service</t>
  </si>
  <si>
    <t>In flight sales</t>
  </si>
  <si>
    <t>Others</t>
  </si>
  <si>
    <t>Others YoY Growth %</t>
  </si>
  <si>
    <t>Passenger service YoY Growth %</t>
  </si>
  <si>
    <t>Cargo Service YoY Growth %</t>
  </si>
  <si>
    <t>In flight sales YoY Growth %</t>
  </si>
  <si>
    <t>Relative Valuation</t>
  </si>
  <si>
    <t>Market Data</t>
  </si>
  <si>
    <t>Share Price</t>
  </si>
  <si>
    <t>Market Cap.</t>
  </si>
  <si>
    <t>Debt</t>
  </si>
  <si>
    <t>Enterprice Value</t>
  </si>
  <si>
    <t>Financial Data</t>
  </si>
  <si>
    <t>$m  (until stated otherwise)</t>
  </si>
  <si>
    <t>Multiples</t>
  </si>
  <si>
    <t>EV/Sales</t>
  </si>
  <si>
    <t>EV/EBITDA</t>
  </si>
  <si>
    <t>Price/Earnings</t>
  </si>
  <si>
    <t>75th Percentile</t>
  </si>
  <si>
    <t>25th Percentile</t>
  </si>
  <si>
    <t>FY27 revenue growth assumption based on management’s Q1 FY27 capacity guidance of 3–4% and mid-teens unit passenger revenue growth 14-15%</t>
  </si>
  <si>
    <t>InterGlobe  Aviation</t>
  </si>
  <si>
    <t>INDIGO</t>
  </si>
  <si>
    <t>Earnings</t>
  </si>
  <si>
    <t>Valuation Multiples</t>
  </si>
  <si>
    <t xml:space="preserve">Asset Beta - </t>
  </si>
  <si>
    <t>Company</t>
  </si>
  <si>
    <t>Description</t>
  </si>
  <si>
    <t>C6L</t>
  </si>
  <si>
    <t>Comparable Companies Descrption</t>
  </si>
  <si>
    <t>Wizz Air Holdings</t>
  </si>
  <si>
    <t>WIZZ</t>
  </si>
  <si>
    <t>RYA</t>
  </si>
  <si>
    <t>About the company - Business Profile</t>
  </si>
  <si>
    <t>InterGlobe Aviation Ltd. (IndiGo) is India’s largest passenger airline by domestic market share. Operating as a low-cost carrier (LCC), the company focuses on three core pillars: affordable fares, on-time performance, and a courteous, hassle-free service. As of December 2025, IndiGo operates a vast network connecting 96 domestic and 44 international destinations with a fleet of 440 aircraft. The company has positioned itself as a dominant player in the Indian aviation industry, leveraging a large-scale, standardized fleet to maintain cost leadership and operational efficiency.</t>
  </si>
  <si>
    <t>Key Points</t>
  </si>
  <si>
    <t>Key Facts</t>
  </si>
  <si>
    <t>Founded: 2004 (First flight in 2006)</t>
  </si>
  <si>
    <t>Headquarters: Gurugram, Haryana, India</t>
  </si>
  <si>
    <t>Listing: Listed on NSE and BSE (Ticker: INDIGO)</t>
  </si>
  <si>
    <t>Core Offerings: Passenger transportation (domestic and international), cargo services (IndiGo CarGo), and ancillary services (in-flight catering, seat selection, etc.).</t>
  </si>
  <si>
    <t>Operations and Resources IndiGo maintains one of the youngest fleets globally, with an average aircraft age of approximately 4.4 years. As of December 31, 2025, the fleet composition includes:</t>
  </si>
  <si>
    <t>Airbus A320neo: 180</t>
  </si>
  <si>
    <t>Airbus A321neo: 168 (including 1 A321neo XLR)</t>
  </si>
  <si>
    <t>ATR 72-600: 46</t>
  </si>
  <si>
    <t>Airbus A320ceo: 26</t>
  </si>
  <si>
    <t>A321 Freighter: 3</t>
  </si>
  <si>
    <t>Damp Leased Aircraft: 16 (including Boeing 777, 787, 737, and Airbus models)</t>
  </si>
  <si>
    <t>The company operates over 2,200 daily flights and served more than 106 million passengers in FY24.</t>
  </si>
  <si>
    <t>Revenue and Financial Performance IndiGo’s business model is centered on "air transportation services," which the management evaluates as a single primary segment.</t>
  </si>
  <si>
    <t>Total Revenue (FY25): ₹808,029 million, representing a 17.3% growth over FY24.</t>
  </si>
  <si>
    <t>Profit After Tax (FY25): ₹72,584 million.</t>
  </si>
  <si>
    <t>Revenue Breakdown (FY25):</t>
  </si>
  <si>
    <t>Revenue from operations: ₹808,029 million.</t>
  </si>
  <si>
    <t>Other income: ₹32,953 million.</t>
  </si>
  <si>
    <t>Cost Structure (FY25): Aircraft fuel remains the largest expense at ₹261,973 million, followed by supplementary rentals and maintenance at ₹112,185 million.</t>
  </si>
  <si>
    <t>Market Significance and Ownership IndiGo holds a significant position in the Indian market, carrying over 3.2 lakh customers daily. The company’s strategic importance is highlighted by its massive order book of over 920 aircraft, including a historic 2023 order for 500 Airbus A320 family aircraft. The ownership is primarily held by the promoter group (InterGlobe Enterprises and associates).</t>
  </si>
  <si>
    <t>Sustainability and Innovation</t>
  </si>
  <si>
    <t>Fleet Modernization: Approximately 78% of the fleet comprises fuel-efficient A320neo family aircraft, which offer a 15% reduction in fuel consumption compared to older models.</t>
  </si>
  <si>
    <t>Strategic Initiatives: The company is expanding its long-haul capability with orders for A321XLRs (expected in FY26) and wide-body A350-900 aircraft (expected in CY27).</t>
  </si>
  <si>
    <t>Digital and Startups: In November 2023, the company formed InterGlobe Aviation Ventures LLP to engage with startups for early access to disruptive aviation technologies.</t>
  </si>
  <si>
    <t>Future Outlook The company aims to double its scale by the end of the decade. Key strategic focus areas include:</t>
  </si>
  <si>
    <t>Expanding the international network, which currently covers 44 destinations.</t>
  </si>
  <si>
    <t>Strengthening codeshare partnerships (currently serving 83+ additional international destinations through partners).</t>
  </si>
  <si>
    <t>Improving fleet utilization despite industry-wide engine supply chain challenges. give me an introduction of indigo for my valuation report keep it 150-200 words</t>
  </si>
  <si>
    <t>Key product</t>
  </si>
  <si>
    <t xml:space="preserve">Passenger Services </t>
  </si>
  <si>
    <t xml:space="preserve">Cargo Services </t>
  </si>
  <si>
    <t xml:space="preserve">Other / Ancillary </t>
  </si>
  <si>
    <t>DATE</t>
  </si>
  <si>
    <t>CLOSE</t>
  </si>
  <si>
    <t>Advanced Economy</t>
  </si>
  <si>
    <t>Euro Areas</t>
  </si>
  <si>
    <t xml:space="preserve">Japan </t>
  </si>
  <si>
    <t>United Kindom</t>
  </si>
  <si>
    <t xml:space="preserve">World </t>
  </si>
  <si>
    <t>Global Outlook</t>
  </si>
  <si>
    <t>India GDP Growth (annually %)</t>
  </si>
  <si>
    <t>World</t>
  </si>
  <si>
    <t xml:space="preserve">Global Aviation </t>
  </si>
  <si>
    <t>Passenger traffic metric</t>
  </si>
  <si>
    <t>RPK</t>
  </si>
  <si>
    <t>CTK</t>
  </si>
  <si>
    <t>Airline financial performance</t>
  </si>
  <si>
    <t>Passenger Revenue</t>
  </si>
  <si>
    <t>Cargo Revenue</t>
  </si>
  <si>
    <t>Ancillary and Other Revenue</t>
  </si>
  <si>
    <t>Domestic</t>
  </si>
  <si>
    <t>International</t>
  </si>
  <si>
    <t xml:space="preserve">Domestic </t>
  </si>
  <si>
    <t>International &amp; Domestic freight traffic (MT )</t>
  </si>
  <si>
    <t>Growth YoY %</t>
  </si>
  <si>
    <t>International and Domestic Traffic (million)</t>
  </si>
  <si>
    <t xml:space="preserve">Passenger Demand Growth </t>
  </si>
  <si>
    <t>Passenger (million)</t>
  </si>
  <si>
    <t>Growth (%)</t>
  </si>
  <si>
    <t>Seat Capacity Growth</t>
  </si>
  <si>
    <t>Airlines</t>
  </si>
  <si>
    <t>YoY (%)</t>
  </si>
  <si>
    <t>IndiGo</t>
  </si>
  <si>
    <t>Air India</t>
  </si>
  <si>
    <t>Air India Express</t>
  </si>
  <si>
    <t>Akasa Air</t>
  </si>
  <si>
    <t>Seats (million)</t>
  </si>
  <si>
    <t>SpiceJet</t>
  </si>
  <si>
    <t>Q1 EBITDAR &amp; EBITDAR Margin</t>
  </si>
  <si>
    <t>EBITDAR (billion)</t>
  </si>
  <si>
    <t>EBITDAR Margin</t>
  </si>
  <si>
    <t>Revenue Driver</t>
  </si>
  <si>
    <t>Passenger Services</t>
  </si>
  <si>
    <t>Cargo</t>
  </si>
  <si>
    <t>Other</t>
  </si>
  <si>
    <t>In-flight sales</t>
  </si>
  <si>
    <t xml:space="preserve">YoY % </t>
  </si>
  <si>
    <t>Gross Margin</t>
  </si>
  <si>
    <t>COGS/Revenue</t>
  </si>
  <si>
    <t>Inventory % COGS</t>
  </si>
  <si>
    <t>Trade payables Days</t>
  </si>
  <si>
    <t>Trade Receivables</t>
  </si>
  <si>
    <t>Trade Receivables Days</t>
  </si>
  <si>
    <t>Trade Receivables % Revenue</t>
  </si>
  <si>
    <t>Trade Payables Days</t>
  </si>
  <si>
    <t>Trade Payables</t>
  </si>
  <si>
    <t>Total Financial Liability</t>
  </si>
  <si>
    <t>Non-Current Financial Liability</t>
  </si>
  <si>
    <t xml:space="preserve">YoY% </t>
  </si>
  <si>
    <t>YoY %</t>
  </si>
  <si>
    <t>CASH NOPAT</t>
  </si>
  <si>
    <t>Wizz Air Holdings Plc is a European ultra-low-cost airline group headquartered in Budapest, Hungary. The company operates an extensive network across Europe and other international markets, with a strong presence in Central and Eastern Europe. Wizz Air focuses on providing affordable air travel through a low-cost operating model, supported by a young Airbus fleet and a high-density route network. The airline serves numerous destinations across Europe, the Middle East and North Africa, operating from a combination of primary, secondary and regional airports. Wizz Air is focused on maintaining a low-cost base while expanding its network and passenger capacity. The company is listed on the London Stock Exchange under the ticker WIZZ.</t>
  </si>
  <si>
    <t>Ryanair Holdings Plc is a European airline group and the parent company of Ryanair, Buzz, Lauda, Malta Air and Ryanair UK. The Group operates primarily under a low-cost airline model and has an extensive network connecting airports across Europe and other international markets. Ryanair focuses on offering low fares while maintaining high aircraft utilisation, strong load factors and a cost-efficient operating structure. The Group operates approximately 3,800 daily flights from around 95 bases, connecting more than 220 airports across 35 countries. Its fleet is predominantly based on Boeing 737 aircraft, supporting its low-cost and high-frequency operating model.</t>
  </si>
  <si>
    <t>Singapore Airlines Limited is the flag carrier of Singapore and operates a global passenger and cargo air transportation business. The Group provides passenger and cargo air transportation services, supported by complementary businesses including aircraft engineering, pilot training, air charter services, tour activities and loyalty-related services. Singapore Airlines operates an extensive international network connecting Singapore with major destinations across Asia, Europe, the Americas and other regions. The Group follows a full-service airline model, offering premium and economy cabin products across its network. Singapore Airlines is listed on the Singapore Exchange under the ticker C6L and is a subsidiary of Temasek Holdings.</t>
  </si>
  <si>
    <t>Valuation Summary</t>
  </si>
  <si>
    <t>Valuation Method</t>
  </si>
  <si>
    <t>Equity Value Available for Shareholders</t>
  </si>
  <si>
    <t>Number of Equity Share</t>
  </si>
  <si>
    <t>Equity Value Per Share</t>
  </si>
  <si>
    <t>Current Market Price</t>
  </si>
  <si>
    <t>Discount/Premium</t>
  </si>
  <si>
    <t>Discount/Premium %</t>
  </si>
  <si>
    <t>Company Status</t>
  </si>
  <si>
    <t>DCF - Perpetuity Growth</t>
  </si>
  <si>
    <t>DCF - Exit Multiple</t>
  </si>
  <si>
    <t>Relative Valuation - EV/Sales</t>
  </si>
  <si>
    <t>Relative Valuation - EV/EBITDA</t>
  </si>
  <si>
    <t>Relative Valuation - P/E</t>
  </si>
  <si>
    <t>Undervalued</t>
  </si>
  <si>
    <t>Overvalued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</si>
</sst>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6">
    <numFmt numFmtId="43" formatCode="_(* #,##0.00_);_(* \(#,##0.00\);_(* &quot;-&quot;??_);_(@_)"/>
    <numFmt numFmtId="164" formatCode="&quot;FY&quot;0"/>
    <numFmt numFmtId="165" formatCode="0.0%"/>
    <numFmt numFmtId="166" formatCode="_ [$₹-439]* #,##0_ ;_ [$₹-439]* \-#,##0_ ;_ [$₹-439]* &quot;-&quot;??_ ;_ @_ "/>
    <numFmt numFmtId="167" formatCode="_ [$₹-439]* #,##0.00_ ;_ [$₹-439]* \-#,##0.00_ ;_ [$₹-439]* &quot;-&quot;??_ ;_ @_ "/>
    <numFmt numFmtId="168" formatCode="\₹#,##0;\(\₹#,##0\)"/>
    <numFmt numFmtId="169" formatCode="0\ &quot;Days&quot;"/>
    <numFmt numFmtId="170" formatCode="0.0&quot;x&quot;"/>
    <numFmt numFmtId="171" formatCode="0_);\(0\)"/>
    <numFmt numFmtId="172" formatCode="0.0%;\(\-0.0%\);\-"/>
    <numFmt numFmtId="173" formatCode="#,##0.00;\(\-#,##0.00\);\-"/>
    <numFmt numFmtId="174" formatCode="#,##0.00;\(#,##0.00\);\-"/>
    <numFmt numFmtId="175" formatCode="0.0%;\(0.0%\);\-"/>
    <numFmt numFmtId="176" formatCode="#,##0;\(#,##0\)"/>
    <numFmt numFmtId="177" formatCode="#,##0.00;\(#,##0.00\)"/>
    <numFmt numFmtId="178" formatCode="&quot;Useful Life -&quot;\ 0\ &quot;Years&quot;"/>
    <numFmt numFmtId="179" formatCode="_(* #,##0.000000000_);_(* \(#,##0.000000000\);_(* &quot;-&quot;??_);_(@_)"/>
    <numFmt numFmtId="180" formatCode="0.0"/>
    <numFmt numFmtId="181" formatCode="0.00&quot;x&quot;"/>
    <numFmt numFmtId="182" formatCode="0.000000000"/>
    <numFmt numFmtId="183" formatCode="0&quot;x&quot;"/>
    <numFmt numFmtId="184" formatCode="\ &quot;FY&quot;0"/>
    <numFmt numFmtId="185" formatCode="0&quot;A&quot;"/>
    <numFmt numFmtId="186" formatCode="0&quot;E&quot;"/>
    <numFmt numFmtId="187" formatCode="#,##0.00&quot;x&quot;;\(#,##0.00&quot;x&quot;\)"/>
    <numFmt numFmtId="188" formatCode="0.00000000000"/>
    <numFmt numFmtId="189" formatCode="0.00000000000000000000000"/>
    <numFmt numFmtId="190" formatCode="0&quot;P&quot;"/>
    <numFmt numFmtId="191" formatCode="#,##0.0&quot;x&quot;;\(#,##0.0&quot;x&quot;\)"/>
    <numFmt numFmtId="192" formatCode="_(* #,##0_);_(* \(#,##0\);_(* &quot;-&quot;??_);_(@_)"/>
    <numFmt numFmtId="193" formatCode="0%;\(0%\);\-"/>
    <numFmt numFmtId="194" formatCode="0.00%;\(0.00%\);\-"/>
    <numFmt numFmtId="195" formatCode="0.00%\ &quot;Discount&quot;"/>
    <numFmt numFmtId="196" formatCode="0.00%;0.00%\ &quot;Premium&quot;"/>
    <numFmt numFmtId="197" formatCode="#,##0.00_);#,##0.00\ &quot;Premium&quot;"/>
    <numFmt numFmtId="198" formatCode="0.00\ &quot;Discount&quot;"/>
  </numFmts>
  <fonts count="49">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6"/>
      <color rgb="FF0000FF"/>
      <name val="Aptos Narrow"/>
      <family val="2"/>
      <scheme val="minor"/>
    </font>
    <font>
      <b/>
      <sz val="14"/>
      <color theme="1"/>
      <name val="Aptos Narrow"/>
      <family val="2"/>
      <scheme val="minor"/>
    </font>
    <font>
      <i/>
      <sz val="11"/>
      <color rgb="FF0000FF"/>
      <name val="Aptos Narrow"/>
      <family val="2"/>
      <scheme val="minor"/>
    </font>
    <font>
      <b/>
      <sz val="12"/>
      <color theme="0"/>
      <name val="Aptos Narrow"/>
      <family val="2"/>
      <scheme val="minor"/>
    </font>
    <font>
      <sz val="11"/>
      <color rgb="FF0000FF"/>
      <name val="Aptos Narrow"/>
      <family val="2"/>
      <scheme val="minor"/>
    </font>
    <font>
      <sz val="11"/>
      <color rgb="FF00B050"/>
      <name val="Aptos Narrow"/>
      <family val="2"/>
      <scheme val="minor"/>
    </font>
    <font>
      <b/>
      <sz val="11"/>
      <color rgb="FF00B050"/>
      <name val="Aptos Narrow"/>
      <family val="2"/>
      <scheme val="minor"/>
    </font>
    <font>
      <b/>
      <sz val="11"/>
      <color rgb="FFFF0000"/>
      <name val="Aptos Narrow"/>
      <family val="2"/>
      <scheme val="minor"/>
    </font>
    <font>
      <b/>
      <u/>
      <sz val="11"/>
      <color theme="1"/>
      <name val="Aptos Narrow"/>
      <family val="2"/>
      <scheme val="minor"/>
    </font>
    <font>
      <sz val="11"/>
      <color theme="0" tint="-0.499984740745262"/>
      <name val="Aptos Narrow"/>
      <family val="2"/>
      <scheme val="minor"/>
    </font>
    <font>
      <b/>
      <sz val="12"/>
      <color theme="1"/>
      <name val="Aptos Narrow"/>
      <family val="2"/>
      <scheme val="minor"/>
    </font>
    <font>
      <b/>
      <sz val="16"/>
      <color theme="1"/>
      <name val="Aptos Narrow"/>
      <family val="2"/>
      <scheme val="minor"/>
    </font>
    <font>
      <sz val="11"/>
      <color theme="0" tint="-0.34998626667073579"/>
      <name val="Aptos Narrow"/>
      <family val="2"/>
      <scheme val="minor"/>
    </font>
    <font>
      <sz val="11"/>
      <color theme="6" tint="0.39997558519241921"/>
      <name val="Aptos Narrow"/>
      <family val="2"/>
      <scheme val="minor"/>
    </font>
    <font>
      <b/>
      <sz val="11"/>
      <color rgb="FF0000FF"/>
      <name val="Aptos Narrow"/>
      <family val="2"/>
      <scheme val="minor"/>
    </font>
    <font>
      <i/>
      <sz val="11"/>
      <color theme="0" tint="-0.34998626667073579"/>
      <name val="Aptos Narrow"/>
      <family val="2"/>
      <scheme val="minor"/>
    </font>
    <font>
      <sz val="12"/>
      <color theme="1"/>
      <name val="Aptos Narrow"/>
      <family val="2"/>
      <scheme val="minor"/>
    </font>
    <font>
      <i/>
      <sz val="11"/>
      <color theme="0" tint="-0.249977111117893"/>
      <name val="Aptos Narrow"/>
      <family val="2"/>
      <scheme val="minor"/>
    </font>
    <font>
      <i/>
      <sz val="11"/>
      <color theme="0" tint="-0.14999847407452621"/>
      <name val="Aptos Narrow"/>
      <family val="2"/>
      <scheme val="minor"/>
    </font>
    <font>
      <i/>
      <sz val="11"/>
      <color theme="1"/>
      <name val="Aptos Narrow"/>
      <family val="2"/>
      <scheme val="minor"/>
    </font>
    <font>
      <sz val="11"/>
      <color theme="1" tint="4.9989318521683403E-2"/>
      <name val="Aptos Narrow"/>
      <family val="2"/>
      <scheme val="minor"/>
    </font>
    <font>
      <sz val="11"/>
      <color theme="0"/>
      <name val="Aptos Narrow"/>
      <family val="2"/>
      <scheme val="minor"/>
    </font>
    <font>
      <sz val="12"/>
      <name val="Aptos Narrow"/>
      <family val="2"/>
      <scheme val="minor"/>
    </font>
    <font>
      <sz val="9"/>
      <color rgb="FFFF0000"/>
      <name val="Geneva"/>
      <family val="2"/>
      <charset val="1"/>
    </font>
    <font>
      <sz val="9"/>
      <color indexed="81"/>
      <name val="Tahoma"/>
      <family val="2"/>
    </font>
    <font>
      <b/>
      <sz val="9"/>
      <color indexed="81"/>
      <name val="Tahoma"/>
      <family val="2"/>
    </font>
    <font>
      <b/>
      <sz val="11"/>
      <color rgb="FF000000"/>
      <name val="Times New Roman"/>
      <family val="1"/>
    </font>
    <font>
      <b/>
      <sz val="10"/>
      <name val="Times New Roman"/>
      <family val="1"/>
    </font>
    <font>
      <i/>
      <sz val="10"/>
      <name val="Times New Roman"/>
      <family val="1"/>
    </font>
    <font>
      <i/>
      <sz val="11"/>
      <color rgb="FF000000"/>
      <name val="Times New Roman"/>
      <family val="1"/>
    </font>
    <font>
      <b/>
      <sz val="16"/>
      <color rgb="FF0000FF"/>
      <name val="Aptos Narrow"/>
      <family val="2"/>
      <scheme val="minor"/>
    </font>
    <font>
      <i/>
      <sz val="9"/>
      <color theme="0" tint="-0.34998626667073579"/>
      <name val="Aptos Narrow"/>
      <family val="2"/>
      <scheme val="minor"/>
    </font>
    <font>
      <b/>
      <i/>
      <sz val="11"/>
      <color rgb="FF002060"/>
      <name val="Aptos Narrow"/>
      <family val="2"/>
      <scheme val="minor"/>
    </font>
    <font>
      <b/>
      <sz val="11"/>
      <color theme="1"/>
      <name val="Calibri"/>
      <family val="2"/>
    </font>
    <font>
      <sz val="11"/>
      <color theme="1"/>
      <name val="Calibri"/>
      <family val="2"/>
    </font>
    <font>
      <b/>
      <i/>
      <sz val="11"/>
      <color theme="1"/>
      <name val="Calibri"/>
      <family val="2"/>
    </font>
    <font>
      <b/>
      <i/>
      <sz val="11"/>
      <color theme="1"/>
      <name val="Aptos Narrow"/>
      <family val="2"/>
      <scheme val="minor"/>
    </font>
    <font>
      <b/>
      <sz val="11"/>
      <color rgb="FF0000FF"/>
      <name val="Calibri"/>
      <family val="2"/>
    </font>
    <font>
      <sz val="11"/>
      <color theme="0" tint="-0.14999847407452621"/>
      <name val="Aptos Narrow"/>
      <family val="2"/>
      <scheme val="minor"/>
    </font>
    <font>
      <b/>
      <i/>
      <sz val="11"/>
      <color theme="0"/>
      <name val="Aptos Narrow"/>
      <family val="2"/>
      <scheme val="minor"/>
    </font>
    <font>
      <i/>
      <sz val="9"/>
      <color theme="0" tint="-0.249977111117893"/>
      <name val="Aptos Narrow"/>
      <family val="2"/>
      <scheme val="minor"/>
    </font>
    <font>
      <sz val="11"/>
      <color theme="0" tint="-4.9989318521683403E-2"/>
      <name val="Aptos Narrow"/>
      <family val="2"/>
      <scheme val="minor"/>
    </font>
    <font>
      <b/>
      <sz val="11"/>
      <color theme="0" tint="-0.14999847407452621"/>
      <name val="Aptos Narrow"/>
      <family val="2"/>
      <scheme val="minor"/>
    </font>
    <font>
      <sz val="72"/>
      <color theme="1"/>
      <name val="Aptos Narrow"/>
      <family val="2"/>
      <scheme val="minor"/>
    </font>
    <font>
      <b/>
      <sz val="11"/>
      <color rgb="FF002060"/>
      <name val="Aptos Narrow"/>
      <family val="2"/>
      <scheme val="minor"/>
    </font>
  </fonts>
  <fills count="16">
    <fill>
      <patternFill patternType="none"/>
    </fill>
    <fill>
      <patternFill patternType="gray125"/>
    </fill>
    <fill>
      <patternFill patternType="solid">
        <fgColor theme="0" tint="-0.34998626667073579"/>
        <bgColor indexed="64"/>
      </patternFill>
    </fill>
    <fill>
      <patternFill patternType="solid">
        <fgColor rgb="FF002060"/>
        <bgColor indexed="64"/>
      </patternFill>
    </fill>
    <fill>
      <patternFill patternType="solid">
        <fgColor theme="3" tint="0.89999084444715716"/>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tint="9.9978637043366805E-2"/>
        <bgColor indexed="64"/>
      </patternFill>
    </fill>
    <fill>
      <patternFill patternType="solid">
        <fgColor theme="0"/>
        <bgColor theme="9" tint="0.79998168889431442"/>
      </patternFill>
    </fill>
    <fill>
      <patternFill patternType="solid">
        <fgColor theme="3" tint="0.749992370372631"/>
        <bgColor indexed="64"/>
      </patternFill>
    </fill>
    <fill>
      <patternFill patternType="solid">
        <fgColor theme="0" tint="-0.14999847407452621"/>
        <bgColor theme="9" tint="0.79998168889431442"/>
      </patternFill>
    </fill>
    <fill>
      <patternFill patternType="solid">
        <fgColor rgb="FFFFFF00"/>
        <bgColor theme="9" tint="0.79998168889431442"/>
      </patternFill>
    </fill>
    <fill>
      <patternFill patternType="solid">
        <fgColor theme="0" tint="-0.249977111117893"/>
        <bgColor indexed="64"/>
      </patternFill>
    </fill>
    <fill>
      <patternFill patternType="solid">
        <fgColor theme="0" tint="-0.249977111117893"/>
        <bgColor theme="9" tint="0.79998168889431442"/>
      </patternFill>
    </fill>
    <fill>
      <patternFill patternType="solid">
        <fgColor rgb="FF002060"/>
        <bgColor rgb="FF000000"/>
      </patternFill>
    </fill>
  </fills>
  <borders count="23">
    <border>
      <left/>
      <right/>
      <top/>
      <bottom/>
      <diagonal/>
    </border>
    <border>
      <left/>
      <right/>
      <top style="thin">
        <color indexed="64"/>
      </top>
      <bottom/>
      <diagonal/>
    </border>
    <border>
      <left/>
      <right/>
      <top style="hair">
        <color auto="1"/>
      </top>
      <bottom style="hair">
        <color auto="1"/>
      </bottom>
      <diagonal/>
    </border>
    <border>
      <left/>
      <right/>
      <top/>
      <bottom style="thin">
        <color auto="1"/>
      </bottom>
      <diagonal/>
    </border>
    <border>
      <left/>
      <right/>
      <top style="hair">
        <color auto="1"/>
      </top>
      <bottom/>
      <diagonal/>
    </border>
    <border>
      <left/>
      <right/>
      <top style="thin">
        <color auto="1"/>
      </top>
      <bottom style="medium">
        <color auto="1"/>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502">
    <xf numFmtId="0" fontId="0" fillId="0" borderId="0" xfId="0"/>
    <xf numFmtId="0" fontId="4" fillId="0" borderId="0" xfId="0" applyFont="1"/>
    <xf numFmtId="0" fontId="5" fillId="0" borderId="0" xfId="0" applyFont="1"/>
    <xf numFmtId="0" fontId="0" fillId="0" borderId="0" xfId="0" applyAlignment="1">
      <alignment horizontal="center"/>
    </xf>
    <xf numFmtId="0" fontId="6" fillId="0" borderId="0" xfId="0" applyFont="1"/>
    <xf numFmtId="164" fontId="3" fillId="0" borderId="0" xfId="0" applyNumberFormat="1" applyFont="1"/>
    <xf numFmtId="0" fontId="0" fillId="0" borderId="1" xfId="0" applyBorder="1"/>
    <xf numFmtId="0" fontId="7" fillId="3" borderId="0" xfId="0" applyFont="1" applyFill="1"/>
    <xf numFmtId="0" fontId="2" fillId="3" borderId="0" xfId="0" applyFont="1" applyFill="1"/>
    <xf numFmtId="0" fontId="3" fillId="4" borderId="0" xfId="0" applyFont="1" applyFill="1"/>
    <xf numFmtId="0" fontId="0" fillId="4" borderId="0" xfId="0" applyFill="1"/>
    <xf numFmtId="0" fontId="3" fillId="0" borderId="2" xfId="0" applyFont="1" applyBorder="1"/>
    <xf numFmtId="0" fontId="0" fillId="0" borderId="2" xfId="0" applyBorder="1"/>
    <xf numFmtId="0" fontId="8" fillId="0" borderId="2" xfId="0" applyFont="1" applyBorder="1"/>
    <xf numFmtId="165" fontId="8" fillId="0" borderId="2" xfId="0" applyNumberFormat="1" applyFont="1" applyBorder="1"/>
    <xf numFmtId="165" fontId="3" fillId="0" borderId="2" xfId="2" applyNumberFormat="1" applyFont="1" applyBorder="1"/>
    <xf numFmtId="0" fontId="3" fillId="0" borderId="0" xfId="0" applyFont="1"/>
    <xf numFmtId="165" fontId="3" fillId="0" borderId="0" xfId="2" applyNumberFormat="1" applyFont="1" applyBorder="1"/>
    <xf numFmtId="0" fontId="3" fillId="5" borderId="0" xfId="0" applyFont="1" applyFill="1"/>
    <xf numFmtId="0" fontId="0" fillId="5" borderId="0" xfId="0" applyFill="1"/>
    <xf numFmtId="10" fontId="8" fillId="0" borderId="2" xfId="0" applyNumberFormat="1" applyFont="1" applyBorder="1"/>
    <xf numFmtId="10" fontId="3" fillId="0" borderId="2" xfId="2" applyNumberFormat="1" applyFont="1" applyBorder="1"/>
    <xf numFmtId="1" fontId="0" fillId="0" borderId="0" xfId="0" applyNumberFormat="1"/>
    <xf numFmtId="0" fontId="3" fillId="0" borderId="4" xfId="0" applyFont="1" applyBorder="1"/>
    <xf numFmtId="0" fontId="0" fillId="6" borderId="0" xfId="0" applyFill="1"/>
    <xf numFmtId="165" fontId="3" fillId="6" borderId="0" xfId="2" applyNumberFormat="1" applyFont="1" applyFill="1"/>
    <xf numFmtId="165" fontId="3" fillId="5" borderId="0" xfId="2" applyNumberFormat="1" applyFont="1" applyFill="1"/>
    <xf numFmtId="0" fontId="3" fillId="5" borderId="5" xfId="0" applyFont="1" applyFill="1" applyBorder="1"/>
    <xf numFmtId="0" fontId="3" fillId="0" borderId="3" xfId="0" applyFont="1" applyBorder="1"/>
    <xf numFmtId="0" fontId="0" fillId="0" borderId="3" xfId="0" applyBorder="1"/>
    <xf numFmtId="0" fontId="3" fillId="0" borderId="1" xfId="0" applyFont="1" applyBorder="1"/>
    <xf numFmtId="0" fontId="3" fillId="0" borderId="5" xfId="0" applyFont="1" applyBorder="1"/>
    <xf numFmtId="0" fontId="3" fillId="6" borderId="0" xfId="0" applyFont="1" applyFill="1"/>
    <xf numFmtId="0" fontId="0" fillId="7" borderId="0" xfId="0" applyFill="1"/>
    <xf numFmtId="165" fontId="0" fillId="0" borderId="0" xfId="0" applyNumberFormat="1"/>
    <xf numFmtId="167" fontId="0" fillId="0" borderId="0" xfId="0" applyNumberFormat="1" applyAlignment="1">
      <alignment horizontal="left" indent="3"/>
    </xf>
    <xf numFmtId="165" fontId="0" fillId="6" borderId="0" xfId="2" applyNumberFormat="1" applyFont="1" applyFill="1"/>
    <xf numFmtId="167" fontId="0" fillId="5" borderId="0" xfId="0" applyNumberFormat="1" applyFill="1" applyAlignment="1">
      <alignment horizontal="left" indent="3"/>
    </xf>
    <xf numFmtId="168" fontId="0" fillId="0" borderId="0" xfId="0" applyNumberFormat="1"/>
    <xf numFmtId="0" fontId="3" fillId="5" borderId="1" xfId="0" applyFont="1" applyFill="1" applyBorder="1"/>
    <xf numFmtId="0" fontId="0" fillId="5" borderId="0" xfId="0" applyFill="1" applyAlignment="1">
      <alignment horizontal="left" indent="1"/>
    </xf>
    <xf numFmtId="0" fontId="12" fillId="0" borderId="0" xfId="0" applyFont="1"/>
    <xf numFmtId="164" fontId="0" fillId="0" borderId="0" xfId="0" applyNumberFormat="1" applyAlignment="1">
      <alignment horizontal="left"/>
    </xf>
    <xf numFmtId="167" fontId="3" fillId="0" borderId="1" xfId="0" applyNumberFormat="1" applyFont="1" applyBorder="1"/>
    <xf numFmtId="0" fontId="0" fillId="0" borderId="0" xfId="0" applyAlignment="1">
      <alignment horizontal="left" indent="1"/>
    </xf>
    <xf numFmtId="169" fontId="8" fillId="0" borderId="0" xfId="0" applyNumberFormat="1" applyFont="1"/>
    <xf numFmtId="169" fontId="3" fillId="6" borderId="0" xfId="0" applyNumberFormat="1" applyFont="1" applyFill="1"/>
    <xf numFmtId="0" fontId="12" fillId="5" borderId="0" xfId="0" applyFont="1" applyFill="1"/>
    <xf numFmtId="165" fontId="3" fillId="5" borderId="0" xfId="2" applyNumberFormat="1" applyFont="1" applyFill="1" applyBorder="1"/>
    <xf numFmtId="166" fontId="3" fillId="0" borderId="0" xfId="0" applyNumberFormat="1" applyFont="1"/>
    <xf numFmtId="166" fontId="11" fillId="0" borderId="0" xfId="0" applyNumberFormat="1" applyFont="1"/>
    <xf numFmtId="165" fontId="8" fillId="0" borderId="0" xfId="0" applyNumberFormat="1" applyFont="1"/>
    <xf numFmtId="165" fontId="9" fillId="5" borderId="0" xfId="2" applyNumberFormat="1" applyFont="1" applyFill="1"/>
    <xf numFmtId="0" fontId="2" fillId="3" borderId="0" xfId="0" applyFont="1" applyFill="1" applyAlignment="1">
      <alignment horizontal="center"/>
    </xf>
    <xf numFmtId="0" fontId="0" fillId="3" borderId="0" xfId="0" applyFill="1"/>
    <xf numFmtId="168" fontId="9" fillId="0" borderId="0" xfId="0" applyNumberFormat="1" applyFont="1"/>
    <xf numFmtId="165" fontId="0" fillId="0" borderId="0" xfId="2" applyNumberFormat="1" applyFont="1"/>
    <xf numFmtId="168" fontId="3" fillId="0" borderId="0" xfId="0" applyNumberFormat="1" applyFont="1"/>
    <xf numFmtId="0" fontId="0" fillId="0" borderId="5" xfId="0" applyBorder="1"/>
    <xf numFmtId="168" fontId="9" fillId="5" borderId="0" xfId="0" applyNumberFormat="1" applyFont="1" applyFill="1"/>
    <xf numFmtId="170" fontId="3" fillId="0" borderId="1" xfId="0" applyNumberFormat="1" applyFont="1" applyBorder="1"/>
    <xf numFmtId="9" fontId="13" fillId="0" borderId="0" xfId="2" applyFont="1"/>
    <xf numFmtId="9" fontId="13" fillId="0" borderId="0" xfId="2" applyFont="1" applyBorder="1"/>
    <xf numFmtId="9" fontId="13" fillId="0" borderId="1" xfId="2" applyFont="1" applyBorder="1"/>
    <xf numFmtId="0" fontId="0" fillId="0" borderId="0" xfId="0" applyAlignment="1">
      <alignment horizontal="left" indent="2"/>
    </xf>
    <xf numFmtId="165" fontId="10" fillId="5" borderId="0" xfId="2" applyNumberFormat="1" applyFont="1" applyFill="1" applyBorder="1"/>
    <xf numFmtId="165" fontId="9" fillId="5" borderId="0" xfId="2" applyNumberFormat="1" applyFont="1" applyFill="1" applyBorder="1"/>
    <xf numFmtId="0" fontId="9" fillId="5" borderId="0" xfId="2" applyNumberFormat="1" applyFont="1" applyFill="1" applyBorder="1"/>
    <xf numFmtId="168" fontId="3" fillId="5" borderId="0" xfId="0" applyNumberFormat="1" applyFont="1" applyFill="1"/>
    <xf numFmtId="0" fontId="0" fillId="5" borderId="6" xfId="0" applyFill="1" applyBorder="1"/>
    <xf numFmtId="0" fontId="8" fillId="5" borderId="7" xfId="0" applyFont="1" applyFill="1" applyBorder="1"/>
    <xf numFmtId="168" fontId="10" fillId="5" borderId="5" xfId="0" applyNumberFormat="1" applyFont="1" applyFill="1" applyBorder="1"/>
    <xf numFmtId="0" fontId="10" fillId="5" borderId="0" xfId="2" applyNumberFormat="1" applyFont="1" applyFill="1" applyBorder="1"/>
    <xf numFmtId="0" fontId="14" fillId="5" borderId="0" xfId="0" applyFont="1" applyFill="1"/>
    <xf numFmtId="0" fontId="2" fillId="5" borderId="0" xfId="0" applyFont="1" applyFill="1"/>
    <xf numFmtId="0" fontId="7" fillId="5" borderId="0" xfId="0" applyFont="1" applyFill="1"/>
    <xf numFmtId="0" fontId="15" fillId="5" borderId="0" xfId="0" applyFont="1" applyFill="1"/>
    <xf numFmtId="0" fontId="2" fillId="8" borderId="0" xfId="0" applyFont="1" applyFill="1"/>
    <xf numFmtId="164" fontId="2" fillId="8" borderId="0" xfId="0" applyNumberFormat="1" applyFont="1" applyFill="1"/>
    <xf numFmtId="43" fontId="0" fillId="5" borderId="0" xfId="1" applyFont="1" applyFill="1" applyBorder="1" applyAlignment="1">
      <alignment horizontal="right"/>
    </xf>
    <xf numFmtId="43" fontId="0" fillId="9" borderId="0" xfId="1" applyFont="1" applyFill="1" applyBorder="1" applyAlignment="1">
      <alignment horizontal="right"/>
    </xf>
    <xf numFmtId="43" fontId="3" fillId="5" borderId="5" xfId="1" applyFont="1" applyFill="1" applyBorder="1" applyAlignment="1">
      <alignment horizontal="right"/>
    </xf>
    <xf numFmtId="43" fontId="3" fillId="9" borderId="0" xfId="1" applyFont="1" applyFill="1" applyBorder="1" applyAlignment="1">
      <alignment horizontal="right"/>
    </xf>
    <xf numFmtId="43" fontId="0" fillId="9" borderId="3" xfId="1" applyFont="1" applyFill="1" applyBorder="1" applyAlignment="1">
      <alignment horizontal="right"/>
    </xf>
    <xf numFmtId="43" fontId="0" fillId="0" borderId="0" xfId="1" applyFont="1"/>
    <xf numFmtId="43" fontId="3" fillId="5" borderId="1" xfId="1" applyFont="1" applyFill="1" applyBorder="1" applyAlignment="1">
      <alignment horizontal="right"/>
    </xf>
    <xf numFmtId="43" fontId="3" fillId="9" borderId="5" xfId="1" applyFont="1" applyFill="1" applyBorder="1" applyAlignment="1">
      <alignment horizontal="right"/>
    </xf>
    <xf numFmtId="171" fontId="0" fillId="0" borderId="0" xfId="0" applyNumberFormat="1"/>
    <xf numFmtId="0" fontId="16" fillId="5" borderId="0" xfId="0" applyFont="1" applyFill="1"/>
    <xf numFmtId="0" fontId="16" fillId="0" borderId="0" xfId="0" applyFont="1"/>
    <xf numFmtId="172" fontId="16" fillId="0" borderId="0" xfId="2" applyNumberFormat="1" applyFont="1" applyAlignment="1">
      <alignment horizontal="right"/>
    </xf>
    <xf numFmtId="172" fontId="16" fillId="0" borderId="0" xfId="2" applyNumberFormat="1" applyFont="1"/>
    <xf numFmtId="173" fontId="0" fillId="9" borderId="0" xfId="0" applyNumberFormat="1" applyFill="1" applyAlignment="1">
      <alignment horizontal="right"/>
    </xf>
    <xf numFmtId="4" fontId="3" fillId="5" borderId="1" xfId="0" applyNumberFormat="1" applyFont="1" applyFill="1" applyBorder="1" applyAlignment="1">
      <alignment horizontal="right"/>
    </xf>
    <xf numFmtId="4" fontId="0" fillId="5" borderId="0" xfId="0" applyNumberFormat="1" applyFill="1" applyAlignment="1">
      <alignment horizontal="right"/>
    </xf>
    <xf numFmtId="4" fontId="0" fillId="9" borderId="0" xfId="0" applyNumberFormat="1" applyFill="1" applyAlignment="1">
      <alignment horizontal="right"/>
    </xf>
    <xf numFmtId="4" fontId="0" fillId="0" borderId="0" xfId="0" applyNumberFormat="1"/>
    <xf numFmtId="4" fontId="3" fillId="9" borderId="1" xfId="0" applyNumberFormat="1" applyFont="1" applyFill="1" applyBorder="1" applyAlignment="1">
      <alignment horizontal="right"/>
    </xf>
    <xf numFmtId="0" fontId="0" fillId="9" borderId="0" xfId="0" applyFill="1"/>
    <xf numFmtId="4" fontId="3" fillId="5" borderId="0" xfId="0" applyNumberFormat="1" applyFont="1" applyFill="1" applyAlignment="1">
      <alignment horizontal="right"/>
    </xf>
    <xf numFmtId="4" fontId="3" fillId="9" borderId="5" xfId="0" applyNumberFormat="1" applyFont="1" applyFill="1" applyBorder="1" applyAlignment="1">
      <alignment horizontal="right"/>
    </xf>
    <xf numFmtId="174" fontId="0" fillId="9" borderId="0" xfId="0" applyNumberFormat="1" applyFill="1" applyAlignment="1">
      <alignment horizontal="right"/>
    </xf>
    <xf numFmtId="4" fontId="0" fillId="0" borderId="0" xfId="0" applyNumberFormat="1" applyAlignment="1">
      <alignment horizontal="right"/>
    </xf>
    <xf numFmtId="4" fontId="16" fillId="0" borderId="0" xfId="0" applyNumberFormat="1" applyFont="1"/>
    <xf numFmtId="43" fontId="16" fillId="0" borderId="0" xfId="0" applyNumberFormat="1" applyFont="1"/>
    <xf numFmtId="0" fontId="13" fillId="10" borderId="0" xfId="0" applyFont="1" applyFill="1"/>
    <xf numFmtId="165" fontId="16" fillId="0" borderId="0" xfId="2" applyNumberFormat="1" applyFont="1"/>
    <xf numFmtId="0" fontId="3" fillId="9" borderId="0" xfId="0" applyFont="1" applyFill="1"/>
    <xf numFmtId="43" fontId="3" fillId="5" borderId="0" xfId="1" applyFont="1" applyFill="1" applyBorder="1"/>
    <xf numFmtId="43" fontId="0" fillId="5" borderId="0" xfId="1" applyFont="1" applyFill="1" applyBorder="1"/>
    <xf numFmtId="43" fontId="0" fillId="9" borderId="0" xfId="1" applyFont="1" applyFill="1" applyBorder="1"/>
    <xf numFmtId="43" fontId="0" fillId="0" borderId="0" xfId="0" applyNumberFormat="1"/>
    <xf numFmtId="0" fontId="3" fillId="9" borderId="1" xfId="0" applyFont="1" applyFill="1" applyBorder="1"/>
    <xf numFmtId="43" fontId="3" fillId="9" borderId="1" xfId="1" applyFont="1" applyFill="1" applyBorder="1"/>
    <xf numFmtId="0" fontId="0" fillId="5" borderId="1" xfId="0" applyFill="1" applyBorder="1"/>
    <xf numFmtId="43" fontId="0" fillId="0" borderId="1" xfId="0" applyNumberFormat="1" applyBorder="1"/>
    <xf numFmtId="43" fontId="0" fillId="5" borderId="1" xfId="1" applyFont="1" applyFill="1" applyBorder="1"/>
    <xf numFmtId="43" fontId="3" fillId="5" borderId="1" xfId="1" applyFont="1" applyFill="1" applyBorder="1"/>
    <xf numFmtId="43" fontId="3" fillId="5" borderId="5" xfId="1" applyFont="1" applyFill="1" applyBorder="1"/>
    <xf numFmtId="9" fontId="17" fillId="0" borderId="2" xfId="2" applyFont="1" applyBorder="1"/>
    <xf numFmtId="165" fontId="3" fillId="0" borderId="4" xfId="2" applyNumberFormat="1" applyFont="1" applyBorder="1"/>
    <xf numFmtId="165" fontId="8" fillId="0" borderId="2" xfId="2" applyNumberFormat="1" applyFont="1" applyBorder="1"/>
    <xf numFmtId="175" fontId="17" fillId="0" borderId="2" xfId="2" applyNumberFormat="1" applyFont="1" applyBorder="1"/>
    <xf numFmtId="175" fontId="3" fillId="0" borderId="2" xfId="2" applyNumberFormat="1" applyFont="1" applyBorder="1"/>
    <xf numFmtId="43" fontId="3" fillId="0" borderId="3" xfId="0" applyNumberFormat="1" applyFont="1" applyBorder="1"/>
    <xf numFmtId="43" fontId="1" fillId="9" borderId="0" xfId="1" applyFont="1" applyFill="1" applyBorder="1" applyAlignment="1">
      <alignment horizontal="right"/>
    </xf>
    <xf numFmtId="172" fontId="0" fillId="6" borderId="0" xfId="2" applyNumberFormat="1" applyFont="1" applyFill="1" applyAlignment="1">
      <alignment horizontal="right"/>
    </xf>
    <xf numFmtId="172" fontId="0" fillId="6" borderId="0" xfId="2" applyNumberFormat="1" applyFont="1" applyFill="1"/>
    <xf numFmtId="165" fontId="3" fillId="11" borderId="0" xfId="2" applyNumberFormat="1" applyFont="1" applyFill="1" applyBorder="1" applyAlignment="1">
      <alignment horizontal="right"/>
    </xf>
    <xf numFmtId="43" fontId="1" fillId="9" borderId="1" xfId="1" applyFont="1" applyFill="1" applyBorder="1" applyAlignment="1">
      <alignment horizontal="right"/>
    </xf>
    <xf numFmtId="43" fontId="3" fillId="9" borderId="1" xfId="1" applyFont="1" applyFill="1" applyBorder="1" applyAlignment="1">
      <alignment horizontal="right"/>
    </xf>
    <xf numFmtId="165" fontId="1" fillId="11" borderId="0" xfId="2" applyNumberFormat="1" applyFont="1" applyFill="1" applyBorder="1" applyAlignment="1">
      <alignment horizontal="right"/>
    </xf>
    <xf numFmtId="165" fontId="3" fillId="0" borderId="0" xfId="2" applyNumberFormat="1" applyFont="1"/>
    <xf numFmtId="174" fontId="0" fillId="0" borderId="0" xfId="0" applyNumberFormat="1"/>
    <xf numFmtId="164" fontId="18" fillId="0" borderId="0" xfId="0" applyNumberFormat="1" applyFont="1"/>
    <xf numFmtId="43" fontId="3" fillId="0" borderId="1" xfId="0" applyNumberFormat="1" applyFont="1" applyBorder="1"/>
    <xf numFmtId="0" fontId="2" fillId="4" borderId="0" xfId="0" applyFont="1" applyFill="1"/>
    <xf numFmtId="165" fontId="0" fillId="11" borderId="0" xfId="2" applyNumberFormat="1" applyFont="1" applyFill="1" applyBorder="1" applyAlignment="1">
      <alignment horizontal="right"/>
    </xf>
    <xf numFmtId="43" fontId="3" fillId="0" borderId="0" xfId="0" applyNumberFormat="1" applyFont="1"/>
    <xf numFmtId="165" fontId="8" fillId="0" borderId="0" xfId="2" applyNumberFormat="1" applyFont="1"/>
    <xf numFmtId="43" fontId="3" fillId="0" borderId="5" xfId="0" applyNumberFormat="1" applyFont="1" applyBorder="1"/>
    <xf numFmtId="43" fontId="9" fillId="0" borderId="0" xfId="0" applyNumberFormat="1" applyFont="1"/>
    <xf numFmtId="43" fontId="10" fillId="0" borderId="3" xfId="0" applyNumberFormat="1" applyFont="1" applyBorder="1"/>
    <xf numFmtId="43" fontId="10" fillId="0" borderId="0" xfId="0" applyNumberFormat="1" applyFont="1"/>
    <xf numFmtId="176" fontId="3" fillId="0" borderId="0" xfId="0" applyNumberFormat="1" applyFont="1"/>
    <xf numFmtId="165" fontId="3" fillId="9" borderId="0" xfId="2" applyNumberFormat="1" applyFont="1" applyFill="1" applyBorder="1" applyAlignment="1">
      <alignment horizontal="right"/>
    </xf>
    <xf numFmtId="177" fontId="9" fillId="0" borderId="0" xfId="0" applyNumberFormat="1" applyFont="1"/>
    <xf numFmtId="177" fontId="3" fillId="0" borderId="1" xfId="0" applyNumberFormat="1" applyFont="1" applyBorder="1"/>
    <xf numFmtId="2" fontId="0" fillId="0" borderId="0" xfId="0" applyNumberFormat="1"/>
    <xf numFmtId="169" fontId="18" fillId="6" borderId="0" xfId="0" applyNumberFormat="1" applyFont="1" applyFill="1"/>
    <xf numFmtId="0" fontId="5" fillId="5" borderId="0" xfId="0" applyFont="1" applyFill="1"/>
    <xf numFmtId="43" fontId="9" fillId="0" borderId="0" xfId="1" applyFont="1"/>
    <xf numFmtId="165" fontId="0" fillId="9" borderId="0" xfId="2" applyNumberFormat="1" applyFont="1" applyFill="1" applyAlignment="1">
      <alignment horizontal="right"/>
    </xf>
    <xf numFmtId="165" fontId="0" fillId="5" borderId="0" xfId="2" applyNumberFormat="1" applyFont="1" applyFill="1"/>
    <xf numFmtId="175" fontId="0" fillId="6" borderId="0" xfId="2" applyNumberFormat="1" applyFont="1" applyFill="1"/>
    <xf numFmtId="43" fontId="0" fillId="6" borderId="0" xfId="0" applyNumberFormat="1" applyFill="1"/>
    <xf numFmtId="0" fontId="15" fillId="0" borderId="0" xfId="0" applyFont="1"/>
    <xf numFmtId="0" fontId="3" fillId="0" borderId="0" xfId="0" applyFont="1" applyAlignment="1">
      <alignment horizontal="center"/>
    </xf>
    <xf numFmtId="43" fontId="0" fillId="5" borderId="0" xfId="0" applyNumberFormat="1" applyFill="1"/>
    <xf numFmtId="178" fontId="0" fillId="5" borderId="0" xfId="0" applyNumberFormat="1" applyFill="1" applyAlignment="1">
      <alignment horizontal="left"/>
    </xf>
    <xf numFmtId="174" fontId="8" fillId="5" borderId="0" xfId="0" applyNumberFormat="1" applyFont="1" applyFill="1" applyAlignment="1">
      <alignment horizontal="right" indent="3"/>
    </xf>
    <xf numFmtId="174" fontId="8" fillId="5" borderId="0" xfId="0" applyNumberFormat="1" applyFont="1" applyFill="1" applyAlignment="1">
      <alignment horizontal="right" indent="1"/>
    </xf>
    <xf numFmtId="167" fontId="3" fillId="0" borderId="0" xfId="0" applyNumberFormat="1" applyFont="1"/>
    <xf numFmtId="43" fontId="3" fillId="5" borderId="0" xfId="0" applyNumberFormat="1" applyFont="1" applyFill="1"/>
    <xf numFmtId="0" fontId="19" fillId="0" borderId="0" xfId="0" applyFont="1"/>
    <xf numFmtId="165" fontId="19" fillId="0" borderId="0" xfId="2" applyNumberFormat="1" applyFont="1"/>
    <xf numFmtId="0" fontId="19" fillId="5" borderId="0" xfId="0" applyFont="1" applyFill="1"/>
    <xf numFmtId="165" fontId="19" fillId="5" borderId="0" xfId="2" applyNumberFormat="1" applyFont="1" applyFill="1"/>
    <xf numFmtId="175" fontId="19" fillId="5" borderId="0" xfId="2" applyNumberFormat="1" applyFont="1" applyFill="1"/>
    <xf numFmtId="175" fontId="19" fillId="5" borderId="0" xfId="2" applyNumberFormat="1" applyFont="1" applyFill="1" applyBorder="1"/>
    <xf numFmtId="4" fontId="3" fillId="9" borderId="0" xfId="0" applyNumberFormat="1" applyFont="1" applyFill="1" applyAlignment="1">
      <alignment horizontal="right"/>
    </xf>
    <xf numFmtId="43" fontId="0" fillId="5" borderId="0" xfId="1" applyFont="1" applyFill="1"/>
    <xf numFmtId="2" fontId="3" fillId="0" borderId="0" xfId="0" applyNumberFormat="1" applyFont="1"/>
    <xf numFmtId="0" fontId="0" fillId="0" borderId="0" xfId="0" applyAlignment="1">
      <alignment horizontal="right"/>
    </xf>
    <xf numFmtId="164" fontId="2" fillId="8" borderId="0" xfId="0" applyNumberFormat="1" applyFont="1" applyFill="1" applyAlignment="1">
      <alignment horizontal="right"/>
    </xf>
    <xf numFmtId="43" fontId="3" fillId="5" borderId="0" xfId="1" applyFont="1" applyFill="1" applyBorder="1" applyAlignment="1">
      <alignment horizontal="right"/>
    </xf>
    <xf numFmtId="43" fontId="0" fillId="0" borderId="0" xfId="1" applyFont="1" applyAlignment="1">
      <alignment horizontal="right"/>
    </xf>
    <xf numFmtId="43" fontId="0" fillId="0" borderId="0" xfId="0" applyNumberFormat="1" applyAlignment="1">
      <alignment horizontal="right"/>
    </xf>
    <xf numFmtId="0" fontId="0" fillId="9" borderId="0" xfId="0" applyFill="1" applyAlignment="1">
      <alignment horizontal="right"/>
    </xf>
    <xf numFmtId="0" fontId="0" fillId="9" borderId="0" xfId="1" applyNumberFormat="1" applyFont="1" applyFill="1" applyBorder="1"/>
    <xf numFmtId="0" fontId="20" fillId="5" borderId="0" xfId="0" applyFont="1" applyFill="1"/>
    <xf numFmtId="0" fontId="20" fillId="5" borderId="3" xfId="0" applyFont="1" applyFill="1" applyBorder="1"/>
    <xf numFmtId="0" fontId="0" fillId="5" borderId="3" xfId="0" applyFill="1" applyBorder="1"/>
    <xf numFmtId="43" fontId="0" fillId="5" borderId="3" xfId="0" applyNumberFormat="1" applyFill="1" applyBorder="1"/>
    <xf numFmtId="165" fontId="0" fillId="0" borderId="0" xfId="2" applyNumberFormat="1" applyFont="1" applyAlignment="1">
      <alignment horizontal="right"/>
    </xf>
    <xf numFmtId="0" fontId="0" fillId="5" borderId="1" xfId="0" applyFill="1" applyBorder="1" applyAlignment="1">
      <alignment horizontal="left" indent="1"/>
    </xf>
    <xf numFmtId="178" fontId="0" fillId="5" borderId="1" xfId="0" applyNumberFormat="1" applyFill="1" applyBorder="1" applyAlignment="1">
      <alignment horizontal="left"/>
    </xf>
    <xf numFmtId="174" fontId="8" fillId="5" borderId="1" xfId="0" applyNumberFormat="1" applyFont="1" applyFill="1" applyBorder="1" applyAlignment="1">
      <alignment horizontal="right" indent="3"/>
    </xf>
    <xf numFmtId="174" fontId="8" fillId="5" borderId="1" xfId="0" applyNumberFormat="1" applyFont="1" applyFill="1" applyBorder="1" applyAlignment="1">
      <alignment horizontal="right" indent="1"/>
    </xf>
    <xf numFmtId="178" fontId="11" fillId="5" borderId="0" xfId="0" applyNumberFormat="1" applyFont="1" applyFill="1" applyAlignment="1">
      <alignment horizontal="left"/>
    </xf>
    <xf numFmtId="0" fontId="2" fillId="5" borderId="0" xfId="0" applyFont="1" applyFill="1" applyAlignment="1">
      <alignment horizontal="left" indent="12"/>
    </xf>
    <xf numFmtId="43" fontId="9" fillId="5" borderId="0" xfId="0" applyNumberFormat="1" applyFont="1" applyFill="1"/>
    <xf numFmtId="43" fontId="3" fillId="5" borderId="0" xfId="1" applyFont="1" applyFill="1"/>
    <xf numFmtId="43" fontId="1" fillId="0" borderId="0" xfId="1" applyFont="1"/>
    <xf numFmtId="43" fontId="1" fillId="0" borderId="0" xfId="0" applyNumberFormat="1" applyFont="1"/>
    <xf numFmtId="43" fontId="0" fillId="5" borderId="0" xfId="0" applyNumberFormat="1" applyFill="1" applyAlignment="1">
      <alignment horizontal="right"/>
    </xf>
    <xf numFmtId="43" fontId="1" fillId="5" borderId="0" xfId="1" applyFont="1" applyFill="1"/>
    <xf numFmtId="0" fontId="21" fillId="5" borderId="0" xfId="0" applyFont="1" applyFill="1"/>
    <xf numFmtId="168" fontId="21" fillId="5" borderId="0" xfId="0" applyNumberFormat="1" applyFont="1" applyFill="1"/>
    <xf numFmtId="1" fontId="21" fillId="5" borderId="0" xfId="0" applyNumberFormat="1" applyFont="1" applyFill="1"/>
    <xf numFmtId="165" fontId="21" fillId="5" borderId="0" xfId="2" applyNumberFormat="1" applyFont="1" applyFill="1"/>
    <xf numFmtId="43" fontId="3" fillId="0" borderId="0" xfId="1" applyFont="1"/>
    <xf numFmtId="43" fontId="0" fillId="12" borderId="0" xfId="1" applyFont="1" applyFill="1" applyBorder="1"/>
    <xf numFmtId="173" fontId="0" fillId="12" borderId="0" xfId="0" applyNumberFormat="1" applyFill="1" applyAlignment="1">
      <alignment horizontal="right"/>
    </xf>
    <xf numFmtId="0" fontId="0" fillId="7" borderId="0" xfId="0" applyFill="1" applyAlignment="1">
      <alignment horizontal="right"/>
    </xf>
    <xf numFmtId="43" fontId="0" fillId="7" borderId="0" xfId="1" applyFont="1" applyFill="1" applyBorder="1"/>
    <xf numFmtId="0" fontId="0" fillId="13" borderId="0" xfId="0" applyFill="1"/>
    <xf numFmtId="0" fontId="0" fillId="14" borderId="0" xfId="0" applyFill="1"/>
    <xf numFmtId="0" fontId="22" fillId="5" borderId="0" xfId="0" applyFont="1" applyFill="1"/>
    <xf numFmtId="0" fontId="22" fillId="9" borderId="0" xfId="0" applyFont="1" applyFill="1"/>
    <xf numFmtId="39" fontId="0" fillId="0" borderId="0" xfId="0" applyNumberFormat="1"/>
    <xf numFmtId="43" fontId="3" fillId="0" borderId="1" xfId="1" applyFont="1" applyBorder="1"/>
    <xf numFmtId="43" fontId="0" fillId="0" borderId="0" xfId="1" applyFont="1" applyBorder="1"/>
    <xf numFmtId="43" fontId="3" fillId="9" borderId="0" xfId="1" applyFont="1" applyFill="1" applyBorder="1"/>
    <xf numFmtId="169" fontId="3" fillId="5" borderId="0" xfId="0" applyNumberFormat="1" applyFont="1" applyFill="1"/>
    <xf numFmtId="0" fontId="23" fillId="6" borderId="0" xfId="0" applyFont="1" applyFill="1"/>
    <xf numFmtId="174" fontId="3" fillId="9" borderId="0" xfId="0" applyNumberFormat="1" applyFont="1" applyFill="1" applyAlignment="1">
      <alignment horizontal="right"/>
    </xf>
    <xf numFmtId="165" fontId="3" fillId="9" borderId="0" xfId="2" applyNumberFormat="1" applyFont="1" applyFill="1" applyAlignment="1">
      <alignment horizontal="right"/>
    </xf>
    <xf numFmtId="165" fontId="0" fillId="0" borderId="0" xfId="0" applyNumberFormat="1" applyAlignment="1">
      <alignment horizontal="center"/>
    </xf>
    <xf numFmtId="43" fontId="3" fillId="5" borderId="1" xfId="0" applyNumberFormat="1" applyFont="1" applyFill="1" applyBorder="1"/>
    <xf numFmtId="165" fontId="3" fillId="5" borderId="0" xfId="0" applyNumberFormat="1" applyFont="1" applyFill="1"/>
    <xf numFmtId="0" fontId="23" fillId="5" borderId="0" xfId="0" applyFont="1" applyFill="1"/>
    <xf numFmtId="165" fontId="21" fillId="5" borderId="0" xfId="2" applyNumberFormat="1" applyFont="1" applyFill="1" applyAlignment="1"/>
    <xf numFmtId="165" fontId="21" fillId="5" borderId="0" xfId="2" applyNumberFormat="1" applyFont="1" applyFill="1" applyAlignment="1">
      <alignment horizontal="right"/>
    </xf>
    <xf numFmtId="9" fontId="3" fillId="6" borderId="0" xfId="2" applyFont="1" applyFill="1"/>
    <xf numFmtId="9" fontId="0" fillId="0" borderId="0" xfId="0" applyNumberFormat="1"/>
    <xf numFmtId="43" fontId="3" fillId="0" borderId="0" xfId="1" applyFont="1" applyBorder="1"/>
    <xf numFmtId="43" fontId="9" fillId="5" borderId="0" xfId="1" applyFont="1" applyFill="1"/>
    <xf numFmtId="9" fontId="3" fillId="5" borderId="0" xfId="1" applyNumberFormat="1" applyFont="1" applyFill="1"/>
    <xf numFmtId="179" fontId="0" fillId="0" borderId="0" xfId="0" applyNumberFormat="1"/>
    <xf numFmtId="9" fontId="0" fillId="0" borderId="0" xfId="2" applyFont="1"/>
    <xf numFmtId="0" fontId="6" fillId="0" borderId="1" xfId="0" applyFont="1" applyBorder="1"/>
    <xf numFmtId="0" fontId="3" fillId="3" borderId="0" xfId="0" applyFont="1" applyFill="1"/>
    <xf numFmtId="43" fontId="9" fillId="5" borderId="3" xfId="0" applyNumberFormat="1" applyFont="1" applyFill="1" applyBorder="1"/>
    <xf numFmtId="165" fontId="8" fillId="6" borderId="0" xfId="2" applyNumberFormat="1" applyFont="1" applyFill="1"/>
    <xf numFmtId="165" fontId="24" fillId="6" borderId="0" xfId="0" applyNumberFormat="1" applyFont="1" applyFill="1"/>
    <xf numFmtId="165" fontId="24" fillId="6" borderId="0" xfId="2" applyNumberFormat="1" applyFont="1" applyFill="1"/>
    <xf numFmtId="10" fontId="24" fillId="6" borderId="0" xfId="0" applyNumberFormat="1" applyFont="1" applyFill="1"/>
    <xf numFmtId="10" fontId="8" fillId="6" borderId="0" xfId="0" applyNumberFormat="1" applyFont="1" applyFill="1"/>
    <xf numFmtId="165" fontId="18" fillId="6" borderId="0" xfId="2" applyNumberFormat="1" applyFont="1" applyFill="1"/>
    <xf numFmtId="0" fontId="24" fillId="6" borderId="0" xfId="0" applyFont="1" applyFill="1"/>
    <xf numFmtId="175" fontId="24" fillId="6" borderId="0" xfId="2" applyNumberFormat="1" applyFont="1" applyFill="1"/>
    <xf numFmtId="0" fontId="24" fillId="5" borderId="0" xfId="0" applyFont="1" applyFill="1"/>
    <xf numFmtId="175" fontId="24" fillId="5" borderId="0" xfId="2" applyNumberFormat="1" applyFont="1" applyFill="1"/>
    <xf numFmtId="165" fontId="24" fillId="5" borderId="0" xfId="2" applyNumberFormat="1" applyFont="1" applyFill="1"/>
    <xf numFmtId="0" fontId="24" fillId="4" borderId="0" xfId="0" applyFont="1" applyFill="1"/>
    <xf numFmtId="43" fontId="24" fillId="0" borderId="0" xfId="0" applyNumberFormat="1" applyFont="1"/>
    <xf numFmtId="174" fontId="9" fillId="5" borderId="0" xfId="0" applyNumberFormat="1" applyFont="1" applyFill="1" applyAlignment="1">
      <alignment horizontal="right" indent="1"/>
    </xf>
    <xf numFmtId="174" fontId="9" fillId="5" borderId="1" xfId="0" applyNumberFormat="1" applyFont="1" applyFill="1" applyBorder="1" applyAlignment="1">
      <alignment horizontal="right" indent="1"/>
    </xf>
    <xf numFmtId="167" fontId="0" fillId="6" borderId="0" xfId="0" applyNumberFormat="1" applyFill="1" applyAlignment="1">
      <alignment horizontal="left" indent="3"/>
    </xf>
    <xf numFmtId="174" fontId="9" fillId="0" borderId="0" xfId="0" applyNumberFormat="1" applyFont="1"/>
    <xf numFmtId="43" fontId="9" fillId="0" borderId="1" xfId="0" applyNumberFormat="1" applyFont="1" applyBorder="1"/>
    <xf numFmtId="43" fontId="9" fillId="0" borderId="3" xfId="0" applyNumberFormat="1" applyFont="1" applyBorder="1"/>
    <xf numFmtId="43" fontId="9" fillId="5" borderId="0" xfId="0" applyNumberFormat="1" applyFont="1" applyFill="1" applyAlignment="1">
      <alignment horizontal="right"/>
    </xf>
    <xf numFmtId="166" fontId="0" fillId="0" borderId="0" xfId="0" applyNumberFormat="1"/>
    <xf numFmtId="177" fontId="0" fillId="0" borderId="0" xfId="0" applyNumberFormat="1"/>
    <xf numFmtId="0" fontId="0" fillId="0" borderId="8" xfId="0" applyBorder="1"/>
    <xf numFmtId="0" fontId="18" fillId="0" borderId="9" xfId="0" applyFont="1" applyBorder="1"/>
    <xf numFmtId="0" fontId="26" fillId="0" borderId="0" xfId="0" applyFont="1" applyAlignment="1">
      <alignment horizontal="left"/>
    </xf>
    <xf numFmtId="0" fontId="26" fillId="0" borderId="0" xfId="0" applyFont="1" applyAlignment="1">
      <alignment horizontal="center"/>
    </xf>
    <xf numFmtId="10" fontId="0" fillId="0" borderId="0" xfId="2" applyNumberFormat="1" applyFont="1" applyBorder="1" applyAlignment="1">
      <alignment horizontal="center"/>
    </xf>
    <xf numFmtId="10" fontId="27" fillId="0" borderId="0" xfId="2" applyNumberFormat="1" applyFont="1" applyBorder="1" applyAlignment="1">
      <alignment horizontal="center"/>
    </xf>
    <xf numFmtId="0" fontId="14" fillId="0" borderId="0" xfId="0" applyFont="1" applyAlignment="1">
      <alignment horizontal="left"/>
    </xf>
    <xf numFmtId="0" fontId="14" fillId="0" borderId="0" xfId="0" applyFont="1"/>
    <xf numFmtId="10" fontId="14" fillId="0" borderId="0" xfId="0" applyNumberFormat="1" applyFont="1" applyAlignment="1">
      <alignment horizontal="center"/>
    </xf>
    <xf numFmtId="10" fontId="0" fillId="0" borderId="0" xfId="0" applyNumberFormat="1"/>
    <xf numFmtId="0" fontId="7" fillId="15" borderId="0" xfId="0" applyFont="1" applyFill="1" applyAlignment="1">
      <alignment horizontal="left" vertical="center" wrapText="1"/>
    </xf>
    <xf numFmtId="0" fontId="7" fillId="15" borderId="0" xfId="0" applyFont="1" applyFill="1" applyAlignment="1">
      <alignment horizontal="center" vertical="center" wrapText="1"/>
    </xf>
    <xf numFmtId="14" fontId="7" fillId="3" borderId="0" xfId="2" applyNumberFormat="1" applyFont="1" applyFill="1" applyBorder="1" applyAlignment="1">
      <alignment horizontal="center" vertical="center" wrapText="1"/>
    </xf>
    <xf numFmtId="0" fontId="18" fillId="0" borderId="9" xfId="0" applyFont="1" applyBorder="1" applyAlignment="1">
      <alignment horizontal="center"/>
    </xf>
    <xf numFmtId="10" fontId="18" fillId="0" borderId="9" xfId="0" applyNumberFormat="1" applyFont="1" applyBorder="1" applyAlignment="1">
      <alignment horizontal="center"/>
    </xf>
    <xf numFmtId="170" fontId="0" fillId="0" borderId="0" xfId="0" applyNumberFormat="1"/>
    <xf numFmtId="0" fontId="0" fillId="0" borderId="7" xfId="0" applyBorder="1" applyAlignment="1">
      <alignment horizontal="center"/>
    </xf>
    <xf numFmtId="10" fontId="0" fillId="0" borderId="7" xfId="0" applyNumberFormat="1" applyBorder="1" applyAlignment="1">
      <alignment horizontal="center"/>
    </xf>
    <xf numFmtId="0" fontId="30" fillId="0" borderId="0" xfId="0" applyFont="1"/>
    <xf numFmtId="0" fontId="32" fillId="0" borderId="7" xfId="0" applyFont="1" applyBorder="1" applyAlignment="1">
      <alignment horizontal="center"/>
    </xf>
    <xf numFmtId="0" fontId="33" fillId="0" borderId="0" xfId="0" applyFont="1"/>
    <xf numFmtId="0" fontId="25" fillId="0" borderId="0" xfId="0" applyFont="1"/>
    <xf numFmtId="165" fontId="18" fillId="0" borderId="9" xfId="2" applyNumberFormat="1" applyFont="1" applyBorder="1" applyAlignment="1">
      <alignment horizontal="center"/>
    </xf>
    <xf numFmtId="0" fontId="25" fillId="5" borderId="0" xfId="0" applyFont="1" applyFill="1"/>
    <xf numFmtId="2" fontId="18" fillId="0" borderId="9" xfId="2" applyNumberFormat="1" applyFont="1" applyBorder="1" applyAlignment="1">
      <alignment horizontal="center"/>
    </xf>
    <xf numFmtId="2" fontId="9" fillId="0" borderId="0" xfId="0" applyNumberFormat="1" applyFont="1"/>
    <xf numFmtId="0" fontId="34" fillId="0" borderId="0" xfId="0" applyFont="1"/>
    <xf numFmtId="0" fontId="0" fillId="0" borderId="2" xfId="0" applyBorder="1" applyAlignment="1">
      <alignment horizontal="center"/>
    </xf>
    <xf numFmtId="174" fontId="0" fillId="0" borderId="2" xfId="0" applyNumberFormat="1" applyBorder="1" applyAlignment="1">
      <alignment horizontal="center"/>
    </xf>
    <xf numFmtId="0" fontId="0" fillId="0" borderId="4" xfId="0" applyBorder="1"/>
    <xf numFmtId="0" fontId="3" fillId="13" borderId="10" xfId="0" applyFont="1" applyFill="1" applyBorder="1"/>
    <xf numFmtId="174" fontId="0" fillId="0" borderId="4" xfId="0" applyNumberFormat="1" applyBorder="1" applyAlignment="1">
      <alignment horizontal="center"/>
    </xf>
    <xf numFmtId="0" fontId="0" fillId="0" borderId="0" xfId="0" applyAlignment="1">
      <alignment horizontal="center" vertical="center" wrapText="1"/>
    </xf>
    <xf numFmtId="0" fontId="2" fillId="3" borderId="0" xfId="0" applyFont="1" applyFill="1" applyAlignment="1">
      <alignment horizontal="center" vertical="center" wrapText="1"/>
    </xf>
    <xf numFmtId="0" fontId="0" fillId="0" borderId="2" xfId="0" applyBorder="1" applyAlignment="1">
      <alignment vertical="center" wrapText="1"/>
    </xf>
    <xf numFmtId="0" fontId="0" fillId="0" borderId="2" xfId="0" applyBorder="1" applyAlignment="1">
      <alignment horizontal="center" vertical="center" wrapText="1"/>
    </xf>
    <xf numFmtId="180" fontId="0" fillId="0" borderId="2" xfId="0" applyNumberFormat="1" applyBorder="1" applyAlignment="1">
      <alignment vertical="center" wrapText="1"/>
    </xf>
    <xf numFmtId="10" fontId="0" fillId="0" borderId="2" xfId="0" applyNumberFormat="1" applyBorder="1"/>
    <xf numFmtId="2" fontId="0" fillId="0" borderId="2" xfId="0" applyNumberFormat="1" applyBorder="1"/>
    <xf numFmtId="0" fontId="3" fillId="0" borderId="2" xfId="0" applyFont="1" applyBorder="1" applyAlignment="1">
      <alignment vertical="center" wrapText="1"/>
    </xf>
    <xf numFmtId="10" fontId="3" fillId="0" borderId="2" xfId="0" applyNumberFormat="1" applyFont="1" applyBorder="1"/>
    <xf numFmtId="2" fontId="3" fillId="0" borderId="2" xfId="0" applyNumberFormat="1" applyFont="1" applyBorder="1"/>
    <xf numFmtId="180" fontId="0" fillId="0" borderId="2" xfId="0" applyNumberFormat="1" applyBorder="1" applyAlignment="1">
      <alignment horizontal="center" vertical="center" wrapText="1"/>
    </xf>
    <xf numFmtId="0" fontId="3" fillId="0" borderId="0" xfId="0" applyFont="1" applyAlignment="1">
      <alignment vertical="center" wrapText="1"/>
    </xf>
    <xf numFmtId="0" fontId="8" fillId="0" borderId="0" xfId="0" applyFont="1"/>
    <xf numFmtId="181" fontId="0" fillId="0" borderId="0" xfId="2" applyNumberFormat="1" applyFont="1"/>
    <xf numFmtId="165" fontId="18" fillId="0" borderId="9" xfId="0" applyNumberFormat="1" applyFont="1" applyBorder="1" applyAlignment="1">
      <alignment horizontal="center"/>
    </xf>
    <xf numFmtId="180" fontId="0" fillId="0" borderId="4" xfId="0" applyNumberFormat="1" applyBorder="1" applyAlignment="1">
      <alignment horizontal="center"/>
    </xf>
    <xf numFmtId="43" fontId="0" fillId="7" borderId="0" xfId="1" applyFont="1" applyFill="1"/>
    <xf numFmtId="181" fontId="0" fillId="7" borderId="0" xfId="2" applyNumberFormat="1" applyFont="1" applyFill="1"/>
    <xf numFmtId="165" fontId="0" fillId="0" borderId="2" xfId="0" applyNumberFormat="1" applyBorder="1" applyAlignment="1">
      <alignment horizontal="center"/>
    </xf>
    <xf numFmtId="165" fontId="0" fillId="0" borderId="4" xfId="0" applyNumberFormat="1" applyBorder="1" applyAlignment="1">
      <alignment horizontal="center"/>
    </xf>
    <xf numFmtId="165" fontId="3" fillId="13" borderId="10" xfId="0" applyNumberFormat="1" applyFont="1" applyFill="1" applyBorder="1" applyAlignment="1">
      <alignment horizontal="center"/>
    </xf>
    <xf numFmtId="165" fontId="3" fillId="5" borderId="0" xfId="0" applyNumberFormat="1" applyFont="1" applyFill="1" applyAlignment="1">
      <alignment horizontal="center"/>
    </xf>
    <xf numFmtId="0" fontId="35" fillId="5" borderId="0" xfId="0" applyFont="1" applyFill="1" applyAlignment="1">
      <alignment wrapText="1"/>
    </xf>
    <xf numFmtId="0" fontId="0" fillId="0" borderId="0" xfId="0" applyAlignment="1">
      <alignment wrapText="1"/>
    </xf>
    <xf numFmtId="0" fontId="36" fillId="5" borderId="0" xfId="0" applyFont="1" applyFill="1" applyAlignment="1">
      <alignment horizontal="left"/>
    </xf>
    <xf numFmtId="175" fontId="9" fillId="0" borderId="0" xfId="2" applyNumberFormat="1" applyFont="1"/>
    <xf numFmtId="175" fontId="10" fillId="0" borderId="1" xfId="2" applyNumberFormat="1" applyFont="1" applyBorder="1"/>
    <xf numFmtId="175" fontId="0" fillId="0" borderId="0" xfId="0" applyNumberFormat="1"/>
    <xf numFmtId="175" fontId="10" fillId="0" borderId="5" xfId="2" applyNumberFormat="1" applyFont="1" applyBorder="1"/>
    <xf numFmtId="165" fontId="1" fillId="9" borderId="0" xfId="2" applyNumberFormat="1" applyFont="1" applyFill="1" applyBorder="1" applyAlignment="1">
      <alignment horizontal="right"/>
    </xf>
    <xf numFmtId="43" fontId="3" fillId="5" borderId="5" xfId="0" applyNumberFormat="1" applyFont="1" applyFill="1" applyBorder="1"/>
    <xf numFmtId="43" fontId="0" fillId="5" borderId="0" xfId="1" applyFont="1" applyFill="1" applyAlignment="1">
      <alignment horizontal="left" indent="7"/>
    </xf>
    <xf numFmtId="0" fontId="37" fillId="0" borderId="0" xfId="0" applyFont="1" applyAlignment="1">
      <alignment vertical="center"/>
    </xf>
    <xf numFmtId="0" fontId="38" fillId="0" borderId="0" xfId="0" applyFont="1" applyAlignment="1">
      <alignment wrapText="1"/>
    </xf>
    <xf numFmtId="0" fontId="38" fillId="0" borderId="11" xfId="0" applyFont="1" applyBorder="1" applyAlignment="1">
      <alignment wrapText="1"/>
    </xf>
    <xf numFmtId="0" fontId="38" fillId="0" borderId="0" xfId="0" applyFont="1" applyAlignment="1">
      <alignment vertical="center"/>
    </xf>
    <xf numFmtId="0" fontId="38" fillId="0" borderId="12" xfId="0" applyFont="1" applyBorder="1" applyAlignment="1">
      <alignment wrapText="1"/>
    </xf>
    <xf numFmtId="0" fontId="39" fillId="0" borderId="0" xfId="0" applyFont="1" applyAlignment="1">
      <alignment vertical="center"/>
    </xf>
    <xf numFmtId="0" fontId="37" fillId="0" borderId="13" xfId="0" applyFont="1" applyBorder="1" applyAlignment="1">
      <alignment horizontal="right" wrapText="1"/>
    </xf>
    <xf numFmtId="10" fontId="38" fillId="0" borderId="13" xfId="0" applyNumberFormat="1" applyFont="1" applyBorder="1" applyAlignment="1">
      <alignment horizontal="right" wrapText="1"/>
    </xf>
    <xf numFmtId="15" fontId="0" fillId="0" borderId="0" xfId="0" applyNumberFormat="1"/>
    <xf numFmtId="10" fontId="0" fillId="0" borderId="0" xfId="2" applyNumberFormat="1" applyFont="1"/>
    <xf numFmtId="43" fontId="38" fillId="0" borderId="13" xfId="1" applyFont="1" applyBorder="1" applyAlignment="1">
      <alignment wrapText="1"/>
    </xf>
    <xf numFmtId="0" fontId="40" fillId="0" borderId="0" xfId="0" applyFont="1"/>
    <xf numFmtId="43" fontId="37" fillId="0" borderId="13" xfId="1" applyFont="1" applyBorder="1" applyAlignment="1">
      <alignment wrapText="1"/>
    </xf>
    <xf numFmtId="0" fontId="37" fillId="0" borderId="13" xfId="0" applyFont="1" applyBorder="1" applyAlignment="1">
      <alignment wrapText="1"/>
    </xf>
    <xf numFmtId="10" fontId="37" fillId="0" borderId="13" xfId="2" applyNumberFormat="1" applyFont="1" applyBorder="1" applyAlignment="1">
      <alignment wrapText="1"/>
    </xf>
    <xf numFmtId="43" fontId="41" fillId="0" borderId="13" xfId="1" applyFont="1" applyBorder="1" applyAlignment="1">
      <alignment wrapText="1"/>
    </xf>
    <xf numFmtId="0" fontId="41" fillId="0" borderId="13" xfId="0" applyFont="1" applyBorder="1" applyAlignment="1">
      <alignment wrapText="1"/>
    </xf>
    <xf numFmtId="10" fontId="41" fillId="0" borderId="13" xfId="0" applyNumberFormat="1" applyFont="1" applyBorder="1" applyAlignment="1">
      <alignment wrapText="1"/>
    </xf>
    <xf numFmtId="10" fontId="41" fillId="0" borderId="13" xfId="2" applyNumberFormat="1" applyFont="1" applyBorder="1" applyAlignment="1">
      <alignment wrapText="1"/>
    </xf>
    <xf numFmtId="43" fontId="40" fillId="0" borderId="0" xfId="0" applyNumberFormat="1" applyFont="1"/>
    <xf numFmtId="10" fontId="40" fillId="0" borderId="0" xfId="2" applyNumberFormat="1" applyFont="1"/>
    <xf numFmtId="2" fontId="37" fillId="0" borderId="13" xfId="0" applyNumberFormat="1" applyFont="1" applyBorder="1" applyAlignment="1">
      <alignment horizontal="right" wrapText="1"/>
    </xf>
    <xf numFmtId="2" fontId="38" fillId="0" borderId="13" xfId="0" applyNumberFormat="1" applyFont="1" applyBorder="1" applyAlignment="1">
      <alignment horizontal="right" wrapText="1"/>
    </xf>
    <xf numFmtId="43" fontId="38" fillId="0" borderId="13" xfId="1" applyFont="1" applyBorder="1" applyAlignment="1">
      <alignment horizontal="right" wrapText="1"/>
    </xf>
    <xf numFmtId="165" fontId="37" fillId="0" borderId="13" xfId="2" applyNumberFormat="1" applyFont="1" applyBorder="1" applyAlignment="1">
      <alignment wrapText="1"/>
    </xf>
    <xf numFmtId="2" fontId="38" fillId="0" borderId="14" xfId="0" applyNumberFormat="1" applyFont="1" applyBorder="1" applyAlignment="1">
      <alignment wrapText="1"/>
    </xf>
    <xf numFmtId="2" fontId="38" fillId="0" borderId="0" xfId="0" applyNumberFormat="1" applyFont="1" applyAlignment="1">
      <alignment wrapText="1"/>
    </xf>
    <xf numFmtId="2" fontId="38" fillId="0" borderId="14" xfId="0" applyNumberFormat="1" applyFont="1" applyBorder="1" applyAlignment="1">
      <alignment horizontal="right" wrapText="1"/>
    </xf>
    <xf numFmtId="2" fontId="38" fillId="0" borderId="11" xfId="0" applyNumberFormat="1" applyFont="1" applyBorder="1" applyAlignment="1">
      <alignment wrapText="1"/>
    </xf>
    <xf numFmtId="2" fontId="38" fillId="0" borderId="12" xfId="0" applyNumberFormat="1" applyFont="1" applyBorder="1" applyAlignment="1">
      <alignment wrapText="1"/>
    </xf>
    <xf numFmtId="165" fontId="0" fillId="5" borderId="7" xfId="0" applyNumberFormat="1" applyFill="1" applyBorder="1"/>
    <xf numFmtId="182" fontId="0" fillId="0" borderId="0" xfId="0" applyNumberFormat="1"/>
    <xf numFmtId="43" fontId="0" fillId="0" borderId="0" xfId="2" applyNumberFormat="1" applyFont="1"/>
    <xf numFmtId="181" fontId="0" fillId="5" borderId="0" xfId="2" applyNumberFormat="1" applyFont="1" applyFill="1" applyAlignment="1">
      <alignment horizontal="right"/>
    </xf>
    <xf numFmtId="169" fontId="0" fillId="0" borderId="0" xfId="0" applyNumberFormat="1"/>
    <xf numFmtId="0" fontId="19" fillId="0" borderId="0" xfId="0" applyFont="1" applyAlignment="1">
      <alignment vertical="center" wrapText="1"/>
    </xf>
    <xf numFmtId="0" fontId="2" fillId="3" borderId="0" xfId="0" applyFont="1" applyFill="1" applyAlignment="1">
      <alignment vertical="center" wrapText="1"/>
    </xf>
    <xf numFmtId="184" fontId="2" fillId="3" borderId="0" xfId="0" applyNumberFormat="1" applyFont="1" applyFill="1"/>
    <xf numFmtId="175" fontId="3" fillId="0" borderId="4" xfId="0" applyNumberFormat="1" applyFont="1" applyBorder="1"/>
    <xf numFmtId="0" fontId="0" fillId="0" borderId="0" xfId="0" applyAlignment="1">
      <alignment vertical="center" wrapText="1"/>
    </xf>
    <xf numFmtId="165" fontId="23" fillId="0" borderId="0" xfId="2" applyNumberFormat="1" applyFont="1"/>
    <xf numFmtId="0" fontId="0" fillId="0" borderId="1" xfId="0" applyBorder="1" applyAlignment="1">
      <alignment vertical="center" wrapText="1"/>
    </xf>
    <xf numFmtId="0" fontId="0" fillId="0" borderId="3" xfId="0" applyBorder="1" applyAlignment="1">
      <alignment vertical="center" wrapText="1"/>
    </xf>
    <xf numFmtId="165" fontId="23" fillId="0" borderId="0" xfId="2" applyNumberFormat="1" applyFont="1" applyAlignment="1">
      <alignment horizontal="right"/>
    </xf>
    <xf numFmtId="165" fontId="23" fillId="0" borderId="1" xfId="2" applyNumberFormat="1" applyFont="1" applyBorder="1"/>
    <xf numFmtId="0" fontId="23" fillId="0" borderId="3" xfId="0" applyFont="1" applyBorder="1"/>
    <xf numFmtId="165" fontId="23" fillId="0" borderId="3" xfId="0" applyNumberFormat="1" applyFont="1" applyBorder="1"/>
    <xf numFmtId="0" fontId="23" fillId="0" borderId="0" xfId="0" applyFont="1" applyAlignment="1">
      <alignment horizontal="right"/>
    </xf>
    <xf numFmtId="175" fontId="3" fillId="0" borderId="4" xfId="2" applyNumberFormat="1" applyFont="1" applyBorder="1"/>
    <xf numFmtId="165" fontId="8" fillId="0" borderId="0" xfId="2" applyNumberFormat="1" applyFont="1" applyBorder="1"/>
    <xf numFmtId="0" fontId="43" fillId="3" borderId="0" xfId="0" applyFont="1" applyFill="1" applyAlignment="1">
      <alignment horizontal="center"/>
    </xf>
    <xf numFmtId="185" fontId="2" fillId="3" borderId="0" xfId="0" applyNumberFormat="1" applyFont="1" applyFill="1" applyAlignment="1">
      <alignment horizontal="center"/>
    </xf>
    <xf numFmtId="186" fontId="2" fillId="3" borderId="0" xfId="0" applyNumberFormat="1" applyFont="1" applyFill="1" applyAlignment="1">
      <alignment horizontal="center"/>
    </xf>
    <xf numFmtId="181" fontId="0" fillId="0" borderId="0" xfId="0" applyNumberFormat="1"/>
    <xf numFmtId="0" fontId="0" fillId="6" borderId="0" xfId="0" applyFill="1" applyAlignment="1">
      <alignment vertical="center" wrapText="1"/>
    </xf>
    <xf numFmtId="43" fontId="0" fillId="6" borderId="0" xfId="1" applyFont="1" applyFill="1"/>
    <xf numFmtId="0" fontId="19" fillId="0" borderId="0" xfId="0" applyFont="1" applyAlignment="1">
      <alignment wrapText="1"/>
    </xf>
    <xf numFmtId="181" fontId="0" fillId="6" borderId="0" xfId="0" applyNumberFormat="1" applyFill="1" applyAlignment="1">
      <alignment vertical="center" wrapText="1"/>
    </xf>
    <xf numFmtId="2" fontId="0" fillId="6" borderId="0" xfId="0" applyNumberFormat="1" applyFill="1" applyAlignment="1">
      <alignment vertical="center" wrapText="1"/>
    </xf>
    <xf numFmtId="187" fontId="0" fillId="6" borderId="0" xfId="0" applyNumberFormat="1" applyFill="1"/>
    <xf numFmtId="0" fontId="3" fillId="6" borderId="0" xfId="0" applyFont="1" applyFill="1" applyAlignment="1">
      <alignment vertical="center" wrapText="1"/>
    </xf>
    <xf numFmtId="181" fontId="3" fillId="6" borderId="0" xfId="0" applyNumberFormat="1" applyFont="1" applyFill="1" applyAlignment="1">
      <alignment vertical="center" wrapText="1"/>
    </xf>
    <xf numFmtId="0" fontId="3" fillId="5" borderId="0" xfId="0" applyFont="1" applyFill="1" applyAlignment="1">
      <alignment horizontal="center"/>
    </xf>
    <xf numFmtId="0" fontId="44" fillId="5" borderId="0" xfId="0" applyFont="1" applyFill="1"/>
    <xf numFmtId="0" fontId="45" fillId="5" borderId="0" xfId="0" applyFont="1" applyFill="1" applyAlignment="1">
      <alignment horizontal="center"/>
    </xf>
    <xf numFmtId="0" fontId="46" fillId="3" borderId="0" xfId="0" applyFont="1" applyFill="1" applyAlignment="1">
      <alignment vertical="center" wrapText="1"/>
    </xf>
    <xf numFmtId="184" fontId="46" fillId="3" borderId="0" xfId="0" applyNumberFormat="1" applyFont="1" applyFill="1"/>
    <xf numFmtId="0" fontId="42" fillId="0" borderId="0" xfId="0" applyFont="1"/>
    <xf numFmtId="0" fontId="42" fillId="0" borderId="0" xfId="0" applyFont="1" applyAlignment="1">
      <alignment vertical="center" wrapText="1"/>
    </xf>
    <xf numFmtId="0" fontId="22" fillId="0" borderId="0" xfId="0" applyFont="1" applyAlignment="1">
      <alignment horizontal="right"/>
    </xf>
    <xf numFmtId="165" fontId="22" fillId="0" borderId="0" xfId="2" applyNumberFormat="1" applyFont="1" applyAlignment="1">
      <alignment horizontal="right"/>
    </xf>
    <xf numFmtId="0" fontId="42" fillId="0" borderId="1" xfId="0" applyFont="1" applyBorder="1" applyAlignment="1">
      <alignment vertical="center" wrapText="1"/>
    </xf>
    <xf numFmtId="0" fontId="42" fillId="0" borderId="1" xfId="0" applyFont="1" applyBorder="1"/>
    <xf numFmtId="165" fontId="22" fillId="0" borderId="1" xfId="2" applyNumberFormat="1" applyFont="1" applyBorder="1"/>
    <xf numFmtId="0" fontId="42" fillId="0" borderId="3" xfId="0" applyFont="1" applyBorder="1" applyAlignment="1">
      <alignment vertical="center" wrapText="1"/>
    </xf>
    <xf numFmtId="0" fontId="42" fillId="0" borderId="3" xfId="0" applyFont="1" applyBorder="1"/>
    <xf numFmtId="165" fontId="22" fillId="0" borderId="3" xfId="0" applyNumberFormat="1" applyFont="1" applyBorder="1"/>
    <xf numFmtId="165" fontId="8" fillId="5" borderId="0" xfId="2" applyNumberFormat="1" applyFont="1" applyFill="1"/>
    <xf numFmtId="10" fontId="3" fillId="6" borderId="0" xfId="2" applyNumberFormat="1" applyFont="1" applyFill="1"/>
    <xf numFmtId="2" fontId="8" fillId="0" borderId="0" xfId="0" applyNumberFormat="1" applyFont="1"/>
    <xf numFmtId="2" fontId="18" fillId="0" borderId="9" xfId="0" applyNumberFormat="1" applyFont="1" applyBorder="1" applyAlignment="1">
      <alignment horizontal="center"/>
    </xf>
    <xf numFmtId="2" fontId="0" fillId="0" borderId="2" xfId="0" applyNumberFormat="1" applyBorder="1" applyAlignment="1">
      <alignment horizontal="center"/>
    </xf>
    <xf numFmtId="0" fontId="3" fillId="0" borderId="7" xfId="0" applyFont="1" applyBorder="1" applyAlignment="1">
      <alignment vertical="center" wrapText="1"/>
    </xf>
    <xf numFmtId="0" fontId="3" fillId="0" borderId="7" xfId="0" applyFont="1" applyBorder="1" applyAlignment="1">
      <alignment horizontal="center" vertical="center" wrapText="1"/>
    </xf>
    <xf numFmtId="0" fontId="8" fillId="0" borderId="7" xfId="0" applyFont="1" applyBorder="1" applyAlignment="1">
      <alignment vertical="center" wrapText="1"/>
    </xf>
    <xf numFmtId="0" fontId="19" fillId="5" borderId="0" xfId="0" applyFont="1" applyFill="1" applyAlignment="1">
      <alignment vertical="center" wrapText="1"/>
    </xf>
    <xf numFmtId="0" fontId="0" fillId="5" borderId="0" xfId="0" applyFill="1" applyAlignment="1">
      <alignment vertical="center" wrapText="1"/>
    </xf>
    <xf numFmtId="0" fontId="22" fillId="5" borderId="0" xfId="0" applyFont="1" applyFill="1" applyAlignment="1">
      <alignment vertical="center" wrapText="1"/>
    </xf>
    <xf numFmtId="0" fontId="8" fillId="5" borderId="0" xfId="0" applyFont="1" applyFill="1" applyAlignment="1">
      <alignment horizontal="left"/>
    </xf>
    <xf numFmtId="0" fontId="8" fillId="0" borderId="0" xfId="0" applyFont="1" applyAlignment="1">
      <alignment horizontal="center" vertical="center"/>
    </xf>
    <xf numFmtId="43" fontId="8" fillId="0" borderId="0" xfId="1" applyFont="1"/>
    <xf numFmtId="43" fontId="8" fillId="0" borderId="0" xfId="0" applyNumberFormat="1" applyFont="1"/>
    <xf numFmtId="43" fontId="8" fillId="5" borderId="0" xfId="0" applyNumberFormat="1" applyFont="1" applyFill="1" applyAlignment="1">
      <alignment horizontal="center"/>
    </xf>
    <xf numFmtId="0" fontId="8" fillId="5" borderId="0" xfId="0" applyFont="1" applyFill="1"/>
    <xf numFmtId="181" fontId="8" fillId="0" borderId="0" xfId="0" applyNumberFormat="1" applyFont="1"/>
    <xf numFmtId="10" fontId="0" fillId="0" borderId="2" xfId="0" applyNumberFormat="1" applyBorder="1" applyAlignment="1">
      <alignment horizontal="center" vertical="center" wrapText="1"/>
    </xf>
    <xf numFmtId="0" fontId="0" fillId="0" borderId="2" xfId="0" applyBorder="1" applyAlignment="1">
      <alignment horizontal="left" vertical="center" wrapText="1"/>
    </xf>
    <xf numFmtId="0" fontId="0" fillId="0" borderId="0" xfId="0" applyAlignment="1">
      <alignment horizontal="left"/>
    </xf>
    <xf numFmtId="181" fontId="0" fillId="0" borderId="2" xfId="2" applyNumberFormat="1" applyFont="1" applyBorder="1" applyAlignment="1">
      <alignment horizontal="center" vertical="center" wrapText="1"/>
    </xf>
    <xf numFmtId="181" fontId="0" fillId="0" borderId="2" xfId="0" applyNumberFormat="1" applyBorder="1"/>
    <xf numFmtId="181" fontId="3" fillId="0" borderId="2" xfId="0" applyNumberFormat="1" applyFont="1" applyBorder="1"/>
    <xf numFmtId="2" fontId="0" fillId="0" borderId="2" xfId="0" applyNumberFormat="1" applyBorder="1" applyAlignment="1">
      <alignment horizontal="center" vertical="center" wrapText="1"/>
    </xf>
    <xf numFmtId="0" fontId="0" fillId="5" borderId="2" xfId="0" applyFill="1" applyBorder="1" applyAlignment="1">
      <alignment horizontal="left" vertical="center" wrapText="1"/>
    </xf>
    <xf numFmtId="43" fontId="0" fillId="0" borderId="2" xfId="1" applyFont="1" applyBorder="1" applyAlignment="1">
      <alignment horizontal="center"/>
    </xf>
    <xf numFmtId="188" fontId="0" fillId="0" borderId="0" xfId="0" applyNumberFormat="1"/>
    <xf numFmtId="189" fontId="0" fillId="0" borderId="0" xfId="0" applyNumberFormat="1"/>
    <xf numFmtId="3" fontId="0" fillId="0" borderId="0" xfId="0" applyNumberFormat="1"/>
    <xf numFmtId="185" fontId="0" fillId="0" borderId="0" xfId="0" applyNumberFormat="1"/>
    <xf numFmtId="190" fontId="0" fillId="0" borderId="0" xfId="0" applyNumberFormat="1"/>
    <xf numFmtId="185" fontId="3" fillId="0" borderId="0" xfId="0" applyNumberFormat="1" applyFont="1"/>
    <xf numFmtId="190" fontId="3" fillId="0" borderId="0" xfId="0" applyNumberFormat="1" applyFont="1"/>
    <xf numFmtId="180" fontId="0" fillId="0" borderId="0" xfId="0" applyNumberFormat="1"/>
    <xf numFmtId="0" fontId="47" fillId="0" borderId="0" xfId="0" applyFont="1"/>
    <xf numFmtId="164" fontId="0" fillId="0" borderId="0" xfId="0" applyNumberFormat="1"/>
    <xf numFmtId="176" fontId="3" fillId="0" borderId="1" xfId="0" applyNumberFormat="1" applyFont="1" applyBorder="1"/>
    <xf numFmtId="191" fontId="3" fillId="0" borderId="1" xfId="0" applyNumberFormat="1" applyFont="1" applyBorder="1"/>
    <xf numFmtId="0" fontId="3" fillId="0" borderId="0" xfId="0" applyFont="1" applyAlignment="1">
      <alignment horizontal="right"/>
    </xf>
    <xf numFmtId="0" fontId="2" fillId="3" borderId="0" xfId="0" applyFont="1" applyFill="1" applyAlignment="1">
      <alignment horizontal="right"/>
    </xf>
    <xf numFmtId="165" fontId="0" fillId="0" borderId="1" xfId="2" applyNumberFormat="1" applyFont="1" applyBorder="1" applyAlignment="1">
      <alignment horizontal="right"/>
    </xf>
    <xf numFmtId="175" fontId="0" fillId="0" borderId="1" xfId="2" applyNumberFormat="1" applyFont="1" applyBorder="1" applyAlignment="1">
      <alignment horizontal="right"/>
    </xf>
    <xf numFmtId="0" fontId="19" fillId="5" borderId="0" xfId="0" applyFont="1" applyFill="1" applyAlignment="1">
      <alignment horizontal="right"/>
    </xf>
    <xf numFmtId="0" fontId="21" fillId="5" borderId="0" xfId="0" applyFont="1" applyFill="1" applyAlignment="1">
      <alignment horizontal="right"/>
    </xf>
    <xf numFmtId="0" fontId="0" fillId="5" borderId="0" xfId="0" applyFill="1" applyAlignment="1">
      <alignment horizontal="right"/>
    </xf>
    <xf numFmtId="0" fontId="3" fillId="0" borderId="0" xfId="0" applyFont="1" applyAlignment="1">
      <alignment horizontal="center" vertical="center"/>
    </xf>
    <xf numFmtId="192" fontId="0" fillId="0" borderId="0" xfId="1" applyNumberFormat="1" applyFont="1"/>
    <xf numFmtId="37" fontId="0" fillId="0" borderId="0" xfId="0" applyNumberFormat="1"/>
    <xf numFmtId="193" fontId="0" fillId="0" borderId="0" xfId="2" applyNumberFormat="1" applyFont="1"/>
    <xf numFmtId="192" fontId="0" fillId="0" borderId="0" xfId="0" applyNumberFormat="1"/>
    <xf numFmtId="1" fontId="0" fillId="5" borderId="0" xfId="0" applyNumberFormat="1" applyFill="1"/>
    <xf numFmtId="0" fontId="21" fillId="0" borderId="0" xfId="0" applyFont="1"/>
    <xf numFmtId="1" fontId="0" fillId="0" borderId="0" xfId="1" applyNumberFormat="1" applyFont="1"/>
    <xf numFmtId="2" fontId="1" fillId="5" borderId="0" xfId="2" applyNumberFormat="1" applyFont="1" applyFill="1" applyBorder="1"/>
    <xf numFmtId="181" fontId="0" fillId="5" borderId="0" xfId="0" applyNumberFormat="1" applyFill="1" applyAlignment="1">
      <alignment horizontal="right"/>
    </xf>
    <xf numFmtId="43" fontId="3" fillId="5" borderId="1" xfId="0" applyNumberFormat="1" applyFont="1" applyFill="1" applyBorder="1" applyAlignment="1">
      <alignment horizontal="right"/>
    </xf>
    <xf numFmtId="194" fontId="0" fillId="5" borderId="0" xfId="2" applyNumberFormat="1" applyFont="1" applyFill="1" applyAlignment="1">
      <alignment horizontal="right"/>
    </xf>
    <xf numFmtId="43" fontId="3" fillId="5" borderId="0" xfId="0" applyNumberFormat="1" applyFont="1" applyFill="1" applyAlignment="1">
      <alignment horizontal="right"/>
    </xf>
    <xf numFmtId="177" fontId="1" fillId="5" borderId="0" xfId="2" applyNumberFormat="1" applyFont="1" applyFill="1" applyAlignment="1">
      <alignment horizontal="right"/>
    </xf>
    <xf numFmtId="43" fontId="45" fillId="0" borderId="0" xfId="0" applyNumberFormat="1" applyFont="1"/>
    <xf numFmtId="9" fontId="48" fillId="5" borderId="0" xfId="0" applyNumberFormat="1" applyFont="1" applyFill="1" applyAlignment="1">
      <alignment horizontal="center"/>
    </xf>
    <xf numFmtId="9" fontId="48" fillId="5" borderId="0" xfId="0" applyNumberFormat="1" applyFont="1" applyFill="1" applyAlignment="1">
      <alignment horizontal="right"/>
    </xf>
    <xf numFmtId="183" fontId="48" fillId="5" borderId="0" xfId="0" applyNumberFormat="1" applyFont="1" applyFill="1" applyAlignment="1">
      <alignment horizontal="right"/>
    </xf>
    <xf numFmtId="43" fontId="0" fillId="0" borderId="15" xfId="1" applyFont="1" applyBorder="1"/>
    <xf numFmtId="43" fontId="0" fillId="0" borderId="16" xfId="1" applyFont="1" applyBorder="1"/>
    <xf numFmtId="43" fontId="0" fillId="0" borderId="17" xfId="1" applyFont="1" applyBorder="1"/>
    <xf numFmtId="43" fontId="0" fillId="0" borderId="18" xfId="1" applyFont="1" applyBorder="1"/>
    <xf numFmtId="43" fontId="0" fillId="0" borderId="2" xfId="1" applyFont="1" applyBorder="1"/>
    <xf numFmtId="43" fontId="0" fillId="0" borderId="19" xfId="1" applyFont="1" applyBorder="1"/>
    <xf numFmtId="43" fontId="0" fillId="13" borderId="2" xfId="1" applyFont="1" applyFill="1" applyBorder="1"/>
    <xf numFmtId="43" fontId="0" fillId="0" borderId="20" xfId="1" applyFont="1" applyBorder="1"/>
    <xf numFmtId="43" fontId="0" fillId="0" borderId="21" xfId="1" applyFont="1" applyBorder="1"/>
    <xf numFmtId="43" fontId="0" fillId="0" borderId="22" xfId="1" applyFont="1" applyBorder="1"/>
    <xf numFmtId="43" fontId="0" fillId="5" borderId="2" xfId="1" applyFont="1" applyFill="1" applyBorder="1"/>
    <xf numFmtId="180" fontId="0" fillId="0" borderId="0" xfId="1" applyNumberFormat="1" applyFont="1"/>
    <xf numFmtId="0" fontId="2" fillId="3" borderId="0" xfId="0" applyFont="1" applyFill="1" applyAlignment="1">
      <alignment horizontal="left"/>
    </xf>
    <xf numFmtId="0" fontId="0" fillId="6" borderId="0" xfId="0" applyFill="1" applyAlignment="1">
      <alignment horizontal="right"/>
    </xf>
    <xf numFmtId="181" fontId="0" fillId="0" borderId="0" xfId="0" applyNumberFormat="1" applyAlignment="1">
      <alignment horizontal="right"/>
    </xf>
    <xf numFmtId="43" fontId="0" fillId="0" borderId="0" xfId="1" applyFont="1" applyBorder="1" applyAlignment="1">
      <alignment horizontal="right"/>
    </xf>
    <xf numFmtId="170" fontId="18" fillId="0" borderId="9" xfId="2" applyNumberFormat="1" applyFont="1" applyBorder="1" applyAlignment="1">
      <alignment horizontal="center"/>
    </xf>
    <xf numFmtId="170" fontId="0" fillId="0" borderId="2" xfId="2" applyNumberFormat="1" applyFont="1" applyBorder="1" applyAlignment="1">
      <alignment horizontal="center"/>
    </xf>
    <xf numFmtId="9" fontId="18" fillId="0" borderId="9" xfId="0" applyNumberFormat="1" applyFont="1" applyBorder="1" applyAlignment="1">
      <alignment horizontal="center"/>
    </xf>
    <xf numFmtId="0" fontId="25" fillId="3" borderId="0" xfId="0" applyFont="1" applyFill="1"/>
    <xf numFmtId="0" fontId="7" fillId="3" borderId="0" xfId="0" applyFont="1" applyFill="1" applyAlignment="1">
      <alignment horizontal="center" vertical="center"/>
    </xf>
    <xf numFmtId="0" fontId="7" fillId="3" borderId="0" xfId="0" applyFont="1" applyFill="1" applyAlignment="1">
      <alignment horizontal="center" vertical="center" wrapText="1"/>
    </xf>
    <xf numFmtId="0" fontId="10" fillId="0" borderId="0" xfId="0" applyFont="1" applyAlignment="1">
      <alignment horizontal="right"/>
    </xf>
    <xf numFmtId="0" fontId="11" fillId="0" borderId="0" xfId="0" applyFont="1" applyAlignment="1">
      <alignment horizontal="right"/>
    </xf>
    <xf numFmtId="195" fontId="10" fillId="0" borderId="0" xfId="2" applyNumberFormat="1" applyFont="1"/>
    <xf numFmtId="196" fontId="11" fillId="0" borderId="0" xfId="2" applyNumberFormat="1" applyFont="1"/>
    <xf numFmtId="197" fontId="11" fillId="0" borderId="0" xfId="1" applyNumberFormat="1" applyFont="1"/>
    <xf numFmtId="198" fontId="10" fillId="0" borderId="0" xfId="1" applyNumberFormat="1" applyFont="1"/>
    <xf numFmtId="39" fontId="9" fillId="0" borderId="0" xfId="0" applyNumberFormat="1" applyFont="1"/>
    <xf numFmtId="0" fontId="9" fillId="0" borderId="0" xfId="0" applyFont="1" applyAlignment="1">
      <alignment horizontal="center"/>
    </xf>
    <xf numFmtId="177" fontId="0" fillId="0" borderId="0" xfId="1" applyNumberFormat="1" applyFont="1"/>
    <xf numFmtId="191" fontId="0" fillId="0" borderId="0" xfId="0" applyNumberFormat="1"/>
    <xf numFmtId="39" fontId="0" fillId="6" borderId="0" xfId="0" applyNumberFormat="1" applyFill="1" applyAlignment="1">
      <alignment vertical="center" wrapText="1"/>
    </xf>
    <xf numFmtId="187" fontId="3" fillId="6" borderId="0" xfId="0" applyNumberFormat="1" applyFont="1" applyFill="1"/>
    <xf numFmtId="0" fontId="3" fillId="2" borderId="0" xfId="0" applyFont="1" applyFill="1" applyAlignment="1">
      <alignment horizontal="center"/>
    </xf>
    <xf numFmtId="0" fontId="2" fillId="3" borderId="0" xfId="0" applyFont="1" applyFill="1" applyAlignment="1">
      <alignment horizontal="center"/>
    </xf>
    <xf numFmtId="0" fontId="31" fillId="0" borderId="0" xfId="0" applyFont="1"/>
    <xf numFmtId="0" fontId="23" fillId="0" borderId="0" xfId="0" applyFont="1" applyAlignment="1">
      <alignment horizontal="left" wrapText="1"/>
    </xf>
    <xf numFmtId="0" fontId="3" fillId="0" borderId="0" xfId="0" applyFont="1" applyAlignment="1">
      <alignment horizontal="center"/>
    </xf>
    <xf numFmtId="43" fontId="3" fillId="0" borderId="0" xfId="0" applyNumberFormat="1" applyFont="1" applyAlignment="1">
      <alignment horizontal="right" vertical="center" textRotation="90" wrapText="1"/>
    </xf>
    <xf numFmtId="175" fontId="1" fillId="0" borderId="2" xfId="2" applyNumberFormat="1" applyFont="1" applyBorder="1"/>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0000FF"/>
      <color rgb="FF001B94"/>
      <color rgb="FF0033CC"/>
      <color rgb="FF0066FF"/>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Key</a:t>
            </a:r>
            <a:r>
              <a:rPr lang="en-US" baseline="0"/>
              <a:t> Product &amp; Services</a:t>
            </a:r>
            <a:endParaRPr lang="en-US"/>
          </a:p>
        </c:rich>
      </c:tx>
      <c:layout>
        <c:manualLayout>
          <c:xMode val="edge"/>
          <c:yMode val="edge"/>
          <c:x val="0.24583333333333329"/>
          <c:y val="4.51088761218539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1"/>
          <c:order val="1"/>
          <c:dPt>
            <c:idx val="0"/>
            <c:bubble3D val="0"/>
            <c:spPr>
              <a:solidFill>
                <a:srgbClr val="001B94"/>
              </a:solidFill>
              <a:ln w="19050">
                <a:solidFill>
                  <a:schemeClr val="lt1"/>
                </a:solidFill>
              </a:ln>
              <a:effectLst/>
            </c:spPr>
            <c:extLst>
              <c:ext xmlns:c16="http://schemas.microsoft.com/office/drawing/2014/chart" uri="{C3380CC4-5D6E-409C-BE32-E72D297353CC}">
                <c16:uniqueId val="{00000002-D38D-4D34-B2ED-3F180D443EE3}"/>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D38D-4D34-B2ED-3F180D443EE3}"/>
              </c:ext>
            </c:extLst>
          </c:dPt>
          <c:dPt>
            <c:idx val="2"/>
            <c:bubble3D val="0"/>
            <c:spPr>
              <a:solidFill>
                <a:srgbClr val="0000FF"/>
              </a:solidFill>
              <a:ln w="19050">
                <a:solidFill>
                  <a:schemeClr val="lt1"/>
                </a:solidFill>
              </a:ln>
              <a:effectLst/>
            </c:spPr>
            <c:extLst>
              <c:ext xmlns:c16="http://schemas.microsoft.com/office/drawing/2014/chart" uri="{C3380CC4-5D6E-409C-BE32-E72D297353CC}">
                <c16:uniqueId val="{00000004-D38D-4D34-B2ED-3F180D443EE3}"/>
              </c:ext>
            </c:extLst>
          </c:dPt>
          <c:dLbls>
            <c:dLbl>
              <c:idx val="0"/>
              <c:layout>
                <c:manualLayout>
                  <c:x val="0.10277777777777768"/>
                  <c:y val="1.851851851851843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fld id="{27424871-4B2C-4C1F-9E5B-3F9E899AF300}" type="VALUE">
                      <a:rPr lang="en-US">
                        <a:solidFill>
                          <a:schemeClr val="tx1"/>
                        </a:solidFill>
                      </a:rPr>
                      <a:pPr>
                        <a:defRPr>
                          <a:solidFill>
                            <a:schemeClr val="tx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38D-4D34-B2ED-3F180D443EE3}"/>
                </c:ext>
              </c:extLst>
            </c:dLbl>
            <c:dLbl>
              <c:idx val="1"/>
              <c:layout>
                <c:manualLayout>
                  <c:x val="-4.7222222222222221E-2"/>
                  <c:y val="-4.629629629629631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8D-4D34-B2ED-3F180D443EE3}"/>
                </c:ext>
              </c:extLst>
            </c:dLbl>
            <c:dLbl>
              <c:idx val="2"/>
              <c:layout>
                <c:manualLayout>
                  <c:x val="0"/>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38D-4D34-B2ED-3F180D443E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Report!$D$3:$D$5</c:f>
              <c:strCache>
                <c:ptCount val="3"/>
                <c:pt idx="0">
                  <c:v>Passenger Services </c:v>
                </c:pt>
                <c:pt idx="1">
                  <c:v>Cargo Services </c:v>
                </c:pt>
                <c:pt idx="2">
                  <c:v>Other / Ancillary </c:v>
                </c:pt>
              </c:strCache>
            </c:strRef>
          </c:cat>
          <c:val>
            <c:numRef>
              <c:f>Report!$F$3:$F$5</c:f>
              <c:numCache>
                <c:formatCode>0.00%</c:formatCode>
                <c:ptCount val="3"/>
                <c:pt idx="0">
                  <c:v>0.93799999999999994</c:v>
                </c:pt>
                <c:pt idx="1">
                  <c:v>2.5999999999999999E-2</c:v>
                </c:pt>
                <c:pt idx="2">
                  <c:v>3.5999999999999997E-2</c:v>
                </c:pt>
              </c:numCache>
            </c:numRef>
          </c:val>
          <c:extLst>
            <c:ext xmlns:c16="http://schemas.microsoft.com/office/drawing/2014/chart" uri="{C3380CC4-5D6E-409C-BE32-E72D297353CC}">
              <c16:uniqueId val="{00000001-D38D-4D34-B2ED-3F180D443EE3}"/>
            </c:ext>
          </c:extLst>
        </c:ser>
        <c:dLbls>
          <c:showLegendKey val="0"/>
          <c:showVal val="0"/>
          <c:showCatName val="0"/>
          <c:showSerName val="0"/>
          <c:showPercent val="0"/>
          <c:showBubbleSize val="0"/>
          <c:showLeaderLines val="1"/>
        </c:dLbls>
        <c:firstSliceAng val="0"/>
        <c:holeSize val="75"/>
        <c:extLst>
          <c:ext xmlns:c15="http://schemas.microsoft.com/office/drawing/2012/chart" uri="{02D57815-91ED-43cb-92C2-25804820EDAC}">
            <c15:filteredPieSeries>
              <c15: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7-DDEA-4E5E-AE6A-2CD2DDFDB5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9-DDEA-4E5E-AE6A-2CD2DDFDB5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B-DDEA-4E5E-AE6A-2CD2DDFDB5A8}"/>
                    </c:ext>
                  </c:extLst>
                </c:dPt>
                <c:cat>
                  <c:strRef>
                    <c:extLst>
                      <c:ext uri="{02D57815-91ED-43cb-92C2-25804820EDAC}">
                        <c15:formulaRef>
                          <c15:sqref>Report!$D$3:$D$5</c15:sqref>
                        </c15:formulaRef>
                      </c:ext>
                    </c:extLst>
                    <c:strCache>
                      <c:ptCount val="3"/>
                      <c:pt idx="0">
                        <c:v>Passenger Services </c:v>
                      </c:pt>
                      <c:pt idx="1">
                        <c:v>Cargo Services </c:v>
                      </c:pt>
                      <c:pt idx="2">
                        <c:v>Other / Ancillary </c:v>
                      </c:pt>
                    </c:strCache>
                  </c:strRef>
                </c:cat>
                <c:val>
                  <c:numRef>
                    <c:extLst>
                      <c:ext uri="{02D57815-91ED-43cb-92C2-25804820EDAC}">
                        <c15:formulaRef>
                          <c15:sqref>Report!$E$3:$E$5</c15:sqref>
                        </c15:formulaRef>
                      </c:ext>
                    </c:extLst>
                    <c:numCache>
                      <c:formatCode>General</c:formatCode>
                      <c:ptCount val="3"/>
                    </c:numCache>
                  </c:numRef>
                </c:val>
                <c:extLst>
                  <c:ext xmlns:c16="http://schemas.microsoft.com/office/drawing/2014/chart" uri="{C3380CC4-5D6E-409C-BE32-E72D297353CC}">
                    <c16:uniqueId val="{00000000-D38D-4D34-B2ED-3F180D443EE3}"/>
                  </c:ext>
                </c:extLst>
              </c15:ser>
            </c15:filteredPieSeries>
          </c:ext>
        </c:extLst>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Share</a:t>
            </a:r>
            <a:r>
              <a:rPr lang="en-US" baseline="0"/>
              <a:t> Price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Report!$U$2</c:f>
              <c:strCache>
                <c:ptCount val="1"/>
                <c:pt idx="0">
                  <c:v>CLOSE</c:v>
                </c:pt>
              </c:strCache>
            </c:strRef>
          </c:tx>
          <c:spPr>
            <a:ln w="28575" cap="rnd">
              <a:solidFill>
                <a:srgbClr val="001B94"/>
              </a:solidFill>
              <a:round/>
            </a:ln>
            <a:effectLst/>
          </c:spPr>
          <c:marker>
            <c:symbol val="none"/>
          </c:marker>
          <c:cat>
            <c:numRef>
              <c:f>Report!$T$3:$T$249</c:f>
              <c:numCache>
                <c:formatCode>d\-mmm\-yy</c:formatCode>
                <c:ptCount val="247"/>
                <c:pt idx="0">
                  <c:v>46251</c:v>
                </c:pt>
                <c:pt idx="1">
                  <c:v>46248</c:v>
                </c:pt>
                <c:pt idx="2">
                  <c:v>46247</c:v>
                </c:pt>
                <c:pt idx="3">
                  <c:v>46246</c:v>
                </c:pt>
                <c:pt idx="4">
                  <c:v>46245</c:v>
                </c:pt>
                <c:pt idx="5">
                  <c:v>46244</c:v>
                </c:pt>
                <c:pt idx="6">
                  <c:v>46241</c:v>
                </c:pt>
                <c:pt idx="7">
                  <c:v>46240</c:v>
                </c:pt>
                <c:pt idx="8">
                  <c:v>46239</c:v>
                </c:pt>
                <c:pt idx="9">
                  <c:v>46238</c:v>
                </c:pt>
                <c:pt idx="10">
                  <c:v>46237</c:v>
                </c:pt>
                <c:pt idx="11">
                  <c:v>46234</c:v>
                </c:pt>
                <c:pt idx="12">
                  <c:v>46233</c:v>
                </c:pt>
                <c:pt idx="13">
                  <c:v>46232</c:v>
                </c:pt>
                <c:pt idx="14">
                  <c:v>46231</c:v>
                </c:pt>
                <c:pt idx="15">
                  <c:v>46230</c:v>
                </c:pt>
                <c:pt idx="16">
                  <c:v>46227</c:v>
                </c:pt>
                <c:pt idx="17">
                  <c:v>46226</c:v>
                </c:pt>
                <c:pt idx="18">
                  <c:v>46225</c:v>
                </c:pt>
                <c:pt idx="19">
                  <c:v>46224</c:v>
                </c:pt>
                <c:pt idx="20">
                  <c:v>46223</c:v>
                </c:pt>
                <c:pt idx="21">
                  <c:v>46220</c:v>
                </c:pt>
                <c:pt idx="22">
                  <c:v>46219</c:v>
                </c:pt>
                <c:pt idx="23">
                  <c:v>46218</c:v>
                </c:pt>
                <c:pt idx="24">
                  <c:v>46217</c:v>
                </c:pt>
                <c:pt idx="25">
                  <c:v>46216</c:v>
                </c:pt>
                <c:pt idx="26">
                  <c:v>46213</c:v>
                </c:pt>
                <c:pt idx="27">
                  <c:v>46212</c:v>
                </c:pt>
                <c:pt idx="28">
                  <c:v>46211</c:v>
                </c:pt>
                <c:pt idx="29">
                  <c:v>46210</c:v>
                </c:pt>
                <c:pt idx="31">
                  <c:v>46206</c:v>
                </c:pt>
                <c:pt idx="32">
                  <c:v>46205</c:v>
                </c:pt>
                <c:pt idx="33">
                  <c:v>46204</c:v>
                </c:pt>
                <c:pt idx="34">
                  <c:v>46203</c:v>
                </c:pt>
                <c:pt idx="35">
                  <c:v>46202</c:v>
                </c:pt>
                <c:pt idx="36">
                  <c:v>46198</c:v>
                </c:pt>
                <c:pt idx="37">
                  <c:v>46197</c:v>
                </c:pt>
                <c:pt idx="38">
                  <c:v>46196</c:v>
                </c:pt>
                <c:pt idx="39">
                  <c:v>46195</c:v>
                </c:pt>
                <c:pt idx="40">
                  <c:v>46192</c:v>
                </c:pt>
                <c:pt idx="41">
                  <c:v>46191</c:v>
                </c:pt>
                <c:pt idx="42">
                  <c:v>46190</c:v>
                </c:pt>
                <c:pt idx="43">
                  <c:v>46189</c:v>
                </c:pt>
                <c:pt idx="44">
                  <c:v>46188</c:v>
                </c:pt>
                <c:pt idx="45">
                  <c:v>46185</c:v>
                </c:pt>
                <c:pt idx="46">
                  <c:v>46184</c:v>
                </c:pt>
                <c:pt idx="47">
                  <c:v>46183</c:v>
                </c:pt>
                <c:pt idx="48">
                  <c:v>46182</c:v>
                </c:pt>
                <c:pt idx="49">
                  <c:v>46181</c:v>
                </c:pt>
                <c:pt idx="50">
                  <c:v>46178</c:v>
                </c:pt>
                <c:pt idx="51">
                  <c:v>46177</c:v>
                </c:pt>
                <c:pt idx="52">
                  <c:v>46176</c:v>
                </c:pt>
                <c:pt idx="53">
                  <c:v>46175</c:v>
                </c:pt>
                <c:pt idx="54">
                  <c:v>46174</c:v>
                </c:pt>
                <c:pt idx="55">
                  <c:v>46171</c:v>
                </c:pt>
                <c:pt idx="56">
                  <c:v>46169</c:v>
                </c:pt>
                <c:pt idx="57">
                  <c:v>46168</c:v>
                </c:pt>
                <c:pt idx="58">
                  <c:v>46167</c:v>
                </c:pt>
                <c:pt idx="59">
                  <c:v>46164</c:v>
                </c:pt>
                <c:pt idx="60">
                  <c:v>46163</c:v>
                </c:pt>
                <c:pt idx="61">
                  <c:v>46162</c:v>
                </c:pt>
                <c:pt idx="62">
                  <c:v>46161</c:v>
                </c:pt>
                <c:pt idx="63">
                  <c:v>46160</c:v>
                </c:pt>
                <c:pt idx="64">
                  <c:v>46157</c:v>
                </c:pt>
                <c:pt idx="65">
                  <c:v>46156</c:v>
                </c:pt>
                <c:pt idx="66">
                  <c:v>46155</c:v>
                </c:pt>
                <c:pt idx="67">
                  <c:v>46154</c:v>
                </c:pt>
                <c:pt idx="68">
                  <c:v>46153</c:v>
                </c:pt>
                <c:pt idx="69">
                  <c:v>46150</c:v>
                </c:pt>
                <c:pt idx="70">
                  <c:v>46149</c:v>
                </c:pt>
                <c:pt idx="71">
                  <c:v>46148</c:v>
                </c:pt>
                <c:pt idx="72">
                  <c:v>46147</c:v>
                </c:pt>
                <c:pt idx="73">
                  <c:v>46146</c:v>
                </c:pt>
                <c:pt idx="74">
                  <c:v>46142</c:v>
                </c:pt>
                <c:pt idx="75">
                  <c:v>46141</c:v>
                </c:pt>
                <c:pt idx="76">
                  <c:v>46140</c:v>
                </c:pt>
                <c:pt idx="77">
                  <c:v>46139</c:v>
                </c:pt>
                <c:pt idx="78">
                  <c:v>46136</c:v>
                </c:pt>
                <c:pt idx="79">
                  <c:v>46135</c:v>
                </c:pt>
                <c:pt idx="80">
                  <c:v>46134</c:v>
                </c:pt>
                <c:pt idx="81">
                  <c:v>46133</c:v>
                </c:pt>
                <c:pt idx="82">
                  <c:v>46132</c:v>
                </c:pt>
                <c:pt idx="83">
                  <c:v>46129</c:v>
                </c:pt>
                <c:pt idx="84">
                  <c:v>46128</c:v>
                </c:pt>
                <c:pt idx="85">
                  <c:v>46127</c:v>
                </c:pt>
                <c:pt idx="86">
                  <c:v>46125</c:v>
                </c:pt>
                <c:pt idx="87">
                  <c:v>46122</c:v>
                </c:pt>
                <c:pt idx="88">
                  <c:v>46121</c:v>
                </c:pt>
                <c:pt idx="89">
                  <c:v>46120</c:v>
                </c:pt>
                <c:pt idx="90">
                  <c:v>46119</c:v>
                </c:pt>
                <c:pt idx="91">
                  <c:v>46118</c:v>
                </c:pt>
                <c:pt idx="92">
                  <c:v>46114</c:v>
                </c:pt>
                <c:pt idx="93">
                  <c:v>46113</c:v>
                </c:pt>
                <c:pt idx="94">
                  <c:v>46111</c:v>
                </c:pt>
                <c:pt idx="95">
                  <c:v>46108</c:v>
                </c:pt>
                <c:pt idx="96">
                  <c:v>46106</c:v>
                </c:pt>
                <c:pt idx="97">
                  <c:v>46105</c:v>
                </c:pt>
                <c:pt idx="98">
                  <c:v>46104</c:v>
                </c:pt>
                <c:pt idx="99">
                  <c:v>46101</c:v>
                </c:pt>
                <c:pt idx="100">
                  <c:v>46100</c:v>
                </c:pt>
                <c:pt idx="101">
                  <c:v>46099</c:v>
                </c:pt>
                <c:pt idx="102">
                  <c:v>46098</c:v>
                </c:pt>
                <c:pt idx="103">
                  <c:v>46097</c:v>
                </c:pt>
                <c:pt idx="104">
                  <c:v>46094</c:v>
                </c:pt>
                <c:pt idx="105">
                  <c:v>46093</c:v>
                </c:pt>
                <c:pt idx="106">
                  <c:v>46092</c:v>
                </c:pt>
                <c:pt idx="107">
                  <c:v>46091</c:v>
                </c:pt>
                <c:pt idx="108">
                  <c:v>46090</c:v>
                </c:pt>
                <c:pt idx="109">
                  <c:v>46087</c:v>
                </c:pt>
                <c:pt idx="110">
                  <c:v>46086</c:v>
                </c:pt>
                <c:pt idx="111">
                  <c:v>46085</c:v>
                </c:pt>
                <c:pt idx="112">
                  <c:v>46083</c:v>
                </c:pt>
                <c:pt idx="113">
                  <c:v>46080</c:v>
                </c:pt>
                <c:pt idx="114">
                  <c:v>46079</c:v>
                </c:pt>
                <c:pt idx="115">
                  <c:v>46078</c:v>
                </c:pt>
                <c:pt idx="116">
                  <c:v>46077</c:v>
                </c:pt>
                <c:pt idx="117">
                  <c:v>46076</c:v>
                </c:pt>
                <c:pt idx="118">
                  <c:v>46073</c:v>
                </c:pt>
                <c:pt idx="119">
                  <c:v>46072</c:v>
                </c:pt>
                <c:pt idx="120">
                  <c:v>46071</c:v>
                </c:pt>
                <c:pt idx="121">
                  <c:v>46070</c:v>
                </c:pt>
                <c:pt idx="122">
                  <c:v>46069</c:v>
                </c:pt>
                <c:pt idx="123">
                  <c:v>46066</c:v>
                </c:pt>
                <c:pt idx="124">
                  <c:v>46065</c:v>
                </c:pt>
                <c:pt idx="125">
                  <c:v>46064</c:v>
                </c:pt>
                <c:pt idx="126">
                  <c:v>46063</c:v>
                </c:pt>
                <c:pt idx="127">
                  <c:v>46062</c:v>
                </c:pt>
                <c:pt idx="128">
                  <c:v>46059</c:v>
                </c:pt>
                <c:pt idx="129">
                  <c:v>46058</c:v>
                </c:pt>
                <c:pt idx="130">
                  <c:v>46057</c:v>
                </c:pt>
                <c:pt idx="131">
                  <c:v>46056</c:v>
                </c:pt>
                <c:pt idx="132">
                  <c:v>46055</c:v>
                </c:pt>
                <c:pt idx="133">
                  <c:v>46054</c:v>
                </c:pt>
                <c:pt idx="134">
                  <c:v>46052</c:v>
                </c:pt>
                <c:pt idx="135">
                  <c:v>46051</c:v>
                </c:pt>
                <c:pt idx="136">
                  <c:v>46050</c:v>
                </c:pt>
                <c:pt idx="137">
                  <c:v>46049</c:v>
                </c:pt>
                <c:pt idx="138">
                  <c:v>46045</c:v>
                </c:pt>
                <c:pt idx="139">
                  <c:v>46044</c:v>
                </c:pt>
                <c:pt idx="140">
                  <c:v>46043</c:v>
                </c:pt>
                <c:pt idx="141">
                  <c:v>46042</c:v>
                </c:pt>
                <c:pt idx="142">
                  <c:v>46041</c:v>
                </c:pt>
                <c:pt idx="143">
                  <c:v>46038</c:v>
                </c:pt>
                <c:pt idx="144">
                  <c:v>46036</c:v>
                </c:pt>
                <c:pt idx="145">
                  <c:v>46035</c:v>
                </c:pt>
                <c:pt idx="146">
                  <c:v>46034</c:v>
                </c:pt>
                <c:pt idx="147">
                  <c:v>46031</c:v>
                </c:pt>
                <c:pt idx="148">
                  <c:v>46030</c:v>
                </c:pt>
                <c:pt idx="149">
                  <c:v>46029</c:v>
                </c:pt>
                <c:pt idx="150">
                  <c:v>46028</c:v>
                </c:pt>
                <c:pt idx="151">
                  <c:v>46027</c:v>
                </c:pt>
                <c:pt idx="152">
                  <c:v>46024</c:v>
                </c:pt>
                <c:pt idx="153">
                  <c:v>46023</c:v>
                </c:pt>
                <c:pt idx="154">
                  <c:v>46022</c:v>
                </c:pt>
                <c:pt idx="155">
                  <c:v>46021</c:v>
                </c:pt>
                <c:pt idx="156">
                  <c:v>46020</c:v>
                </c:pt>
                <c:pt idx="157">
                  <c:v>46017</c:v>
                </c:pt>
                <c:pt idx="158">
                  <c:v>46015</c:v>
                </c:pt>
                <c:pt idx="159">
                  <c:v>46014</c:v>
                </c:pt>
                <c:pt idx="160">
                  <c:v>46013</c:v>
                </c:pt>
                <c:pt idx="161">
                  <c:v>46010</c:v>
                </c:pt>
                <c:pt idx="162">
                  <c:v>46009</c:v>
                </c:pt>
                <c:pt idx="163">
                  <c:v>46008</c:v>
                </c:pt>
                <c:pt idx="164">
                  <c:v>46007</c:v>
                </c:pt>
                <c:pt idx="165">
                  <c:v>46006</c:v>
                </c:pt>
                <c:pt idx="166">
                  <c:v>46003</c:v>
                </c:pt>
                <c:pt idx="167">
                  <c:v>46002</c:v>
                </c:pt>
                <c:pt idx="168">
                  <c:v>46001</c:v>
                </c:pt>
                <c:pt idx="169">
                  <c:v>46000</c:v>
                </c:pt>
                <c:pt idx="170">
                  <c:v>45999</c:v>
                </c:pt>
                <c:pt idx="171">
                  <c:v>45996</c:v>
                </c:pt>
                <c:pt idx="172">
                  <c:v>45995</c:v>
                </c:pt>
                <c:pt idx="173">
                  <c:v>45994</c:v>
                </c:pt>
                <c:pt idx="174">
                  <c:v>45993</c:v>
                </c:pt>
                <c:pt idx="175">
                  <c:v>45992</c:v>
                </c:pt>
                <c:pt idx="176">
                  <c:v>45989</c:v>
                </c:pt>
                <c:pt idx="177">
                  <c:v>45988</c:v>
                </c:pt>
                <c:pt idx="178">
                  <c:v>45987</c:v>
                </c:pt>
                <c:pt idx="179">
                  <c:v>45986</c:v>
                </c:pt>
                <c:pt idx="180">
                  <c:v>45985</c:v>
                </c:pt>
                <c:pt idx="181">
                  <c:v>45982</c:v>
                </c:pt>
                <c:pt idx="182">
                  <c:v>45981</c:v>
                </c:pt>
                <c:pt idx="183">
                  <c:v>45980</c:v>
                </c:pt>
                <c:pt idx="184">
                  <c:v>45979</c:v>
                </c:pt>
                <c:pt idx="185">
                  <c:v>45978</c:v>
                </c:pt>
                <c:pt idx="186">
                  <c:v>45975</c:v>
                </c:pt>
                <c:pt idx="187">
                  <c:v>45974</c:v>
                </c:pt>
                <c:pt idx="188">
                  <c:v>45973</c:v>
                </c:pt>
                <c:pt idx="189">
                  <c:v>45972</c:v>
                </c:pt>
                <c:pt idx="190">
                  <c:v>45971</c:v>
                </c:pt>
                <c:pt idx="191">
                  <c:v>45968</c:v>
                </c:pt>
                <c:pt idx="192">
                  <c:v>45967</c:v>
                </c:pt>
                <c:pt idx="193">
                  <c:v>45965</c:v>
                </c:pt>
                <c:pt idx="194">
                  <c:v>45964</c:v>
                </c:pt>
                <c:pt idx="195">
                  <c:v>45961</c:v>
                </c:pt>
                <c:pt idx="196">
                  <c:v>45960</c:v>
                </c:pt>
                <c:pt idx="197">
                  <c:v>45959</c:v>
                </c:pt>
                <c:pt idx="198">
                  <c:v>45958</c:v>
                </c:pt>
                <c:pt idx="199">
                  <c:v>45957</c:v>
                </c:pt>
                <c:pt idx="200">
                  <c:v>45954</c:v>
                </c:pt>
                <c:pt idx="201">
                  <c:v>45953</c:v>
                </c:pt>
                <c:pt idx="202">
                  <c:v>45951</c:v>
                </c:pt>
                <c:pt idx="203">
                  <c:v>45950</c:v>
                </c:pt>
                <c:pt idx="204">
                  <c:v>45947</c:v>
                </c:pt>
                <c:pt idx="205">
                  <c:v>45946</c:v>
                </c:pt>
                <c:pt idx="206">
                  <c:v>45945</c:v>
                </c:pt>
                <c:pt idx="207">
                  <c:v>45944</c:v>
                </c:pt>
                <c:pt idx="208">
                  <c:v>45943</c:v>
                </c:pt>
                <c:pt idx="209">
                  <c:v>45940</c:v>
                </c:pt>
                <c:pt idx="210">
                  <c:v>45939</c:v>
                </c:pt>
                <c:pt idx="211">
                  <c:v>45938</c:v>
                </c:pt>
                <c:pt idx="212">
                  <c:v>45937</c:v>
                </c:pt>
                <c:pt idx="213">
                  <c:v>45936</c:v>
                </c:pt>
                <c:pt idx="214">
                  <c:v>45933</c:v>
                </c:pt>
                <c:pt idx="215">
                  <c:v>45931</c:v>
                </c:pt>
                <c:pt idx="216">
                  <c:v>45930</c:v>
                </c:pt>
                <c:pt idx="217">
                  <c:v>45929</c:v>
                </c:pt>
                <c:pt idx="218">
                  <c:v>45926</c:v>
                </c:pt>
                <c:pt idx="219">
                  <c:v>45925</c:v>
                </c:pt>
                <c:pt idx="220">
                  <c:v>45924</c:v>
                </c:pt>
                <c:pt idx="221">
                  <c:v>45923</c:v>
                </c:pt>
                <c:pt idx="222">
                  <c:v>45922</c:v>
                </c:pt>
                <c:pt idx="223">
                  <c:v>45919</c:v>
                </c:pt>
                <c:pt idx="224">
                  <c:v>45918</c:v>
                </c:pt>
                <c:pt idx="225">
                  <c:v>45917</c:v>
                </c:pt>
                <c:pt idx="226">
                  <c:v>45916</c:v>
                </c:pt>
                <c:pt idx="227">
                  <c:v>45915</c:v>
                </c:pt>
                <c:pt idx="228">
                  <c:v>45912</c:v>
                </c:pt>
                <c:pt idx="229">
                  <c:v>45911</c:v>
                </c:pt>
                <c:pt idx="230">
                  <c:v>45910</c:v>
                </c:pt>
                <c:pt idx="231">
                  <c:v>45909</c:v>
                </c:pt>
                <c:pt idx="232">
                  <c:v>45908</c:v>
                </c:pt>
                <c:pt idx="233">
                  <c:v>45905</c:v>
                </c:pt>
                <c:pt idx="234">
                  <c:v>45904</c:v>
                </c:pt>
                <c:pt idx="235">
                  <c:v>45903</c:v>
                </c:pt>
                <c:pt idx="236">
                  <c:v>45902</c:v>
                </c:pt>
                <c:pt idx="237">
                  <c:v>45901</c:v>
                </c:pt>
                <c:pt idx="238">
                  <c:v>45898</c:v>
                </c:pt>
                <c:pt idx="239">
                  <c:v>45897</c:v>
                </c:pt>
                <c:pt idx="240">
                  <c:v>45895</c:v>
                </c:pt>
                <c:pt idx="241">
                  <c:v>45894</c:v>
                </c:pt>
                <c:pt idx="242">
                  <c:v>45891</c:v>
                </c:pt>
                <c:pt idx="243">
                  <c:v>45890</c:v>
                </c:pt>
                <c:pt idx="244">
                  <c:v>45889</c:v>
                </c:pt>
                <c:pt idx="245">
                  <c:v>45888</c:v>
                </c:pt>
                <c:pt idx="246">
                  <c:v>45887</c:v>
                </c:pt>
              </c:numCache>
            </c:numRef>
          </c:cat>
          <c:val>
            <c:numRef>
              <c:f>Report!$U$3:$U$249</c:f>
              <c:numCache>
                <c:formatCode>#,##0</c:formatCode>
                <c:ptCount val="247"/>
                <c:pt idx="0">
                  <c:v>5275.5</c:v>
                </c:pt>
                <c:pt idx="1">
                  <c:v>5310</c:v>
                </c:pt>
                <c:pt idx="2">
                  <c:v>5370</c:v>
                </c:pt>
                <c:pt idx="3">
                  <c:v>5333</c:v>
                </c:pt>
                <c:pt idx="4">
                  <c:v>5284</c:v>
                </c:pt>
                <c:pt idx="5">
                  <c:v>5333.5</c:v>
                </c:pt>
                <c:pt idx="6">
                  <c:v>5333</c:v>
                </c:pt>
                <c:pt idx="7">
                  <c:v>5318.5</c:v>
                </c:pt>
                <c:pt idx="8">
                  <c:v>5400</c:v>
                </c:pt>
                <c:pt idx="9">
                  <c:v>5358</c:v>
                </c:pt>
                <c:pt idx="10">
                  <c:v>5400</c:v>
                </c:pt>
                <c:pt idx="11">
                  <c:v>5171</c:v>
                </c:pt>
                <c:pt idx="12">
                  <c:v>5230.5</c:v>
                </c:pt>
                <c:pt idx="13">
                  <c:v>5276.5</c:v>
                </c:pt>
                <c:pt idx="14">
                  <c:v>5270.5</c:v>
                </c:pt>
                <c:pt idx="15">
                  <c:v>5230</c:v>
                </c:pt>
                <c:pt idx="16">
                  <c:v>4985</c:v>
                </c:pt>
                <c:pt idx="17">
                  <c:v>5023.5</c:v>
                </c:pt>
                <c:pt idx="18">
                  <c:v>5117</c:v>
                </c:pt>
                <c:pt idx="19">
                  <c:v>5305</c:v>
                </c:pt>
                <c:pt idx="20">
                  <c:v>5229</c:v>
                </c:pt>
                <c:pt idx="21">
                  <c:v>5248.5</c:v>
                </c:pt>
                <c:pt idx="22">
                  <c:v>5265.5</c:v>
                </c:pt>
                <c:pt idx="23">
                  <c:v>5171</c:v>
                </c:pt>
                <c:pt idx="24">
                  <c:v>5108</c:v>
                </c:pt>
                <c:pt idx="25">
                  <c:v>5229.5</c:v>
                </c:pt>
                <c:pt idx="26">
                  <c:v>5312</c:v>
                </c:pt>
                <c:pt idx="27">
                  <c:v>5229.5</c:v>
                </c:pt>
                <c:pt idx="28">
                  <c:v>5124</c:v>
                </c:pt>
                <c:pt idx="29">
                  <c:v>5395</c:v>
                </c:pt>
                <c:pt idx="30" formatCode="d\-mmm\-yy">
                  <c:v>46209</c:v>
                </c:pt>
                <c:pt idx="31">
                  <c:v>5426.5</c:v>
                </c:pt>
                <c:pt idx="32">
                  <c:v>5444</c:v>
                </c:pt>
                <c:pt idx="33">
                  <c:v>5399</c:v>
                </c:pt>
                <c:pt idx="34">
                  <c:v>5368.4</c:v>
                </c:pt>
                <c:pt idx="35">
                  <c:v>5315.2</c:v>
                </c:pt>
                <c:pt idx="36">
                  <c:v>5450</c:v>
                </c:pt>
                <c:pt idx="37">
                  <c:v>5207.2</c:v>
                </c:pt>
                <c:pt idx="38">
                  <c:v>4961.3999999999996</c:v>
                </c:pt>
                <c:pt idx="39">
                  <c:v>5021.1000000000004</c:v>
                </c:pt>
                <c:pt idx="40">
                  <c:v>5021.5</c:v>
                </c:pt>
                <c:pt idx="41">
                  <c:v>5011.8</c:v>
                </c:pt>
                <c:pt idx="42">
                  <c:v>4878.3999999999996</c:v>
                </c:pt>
                <c:pt idx="43">
                  <c:v>4840</c:v>
                </c:pt>
                <c:pt idx="44">
                  <c:v>4880.3999999999996</c:v>
                </c:pt>
                <c:pt idx="45">
                  <c:v>4709.7</c:v>
                </c:pt>
                <c:pt idx="46">
                  <c:v>4502.3999999999996</c:v>
                </c:pt>
                <c:pt idx="47">
                  <c:v>4524.8999999999996</c:v>
                </c:pt>
                <c:pt idx="48">
                  <c:v>4537.6000000000004</c:v>
                </c:pt>
                <c:pt idx="49">
                  <c:v>4359.7</c:v>
                </c:pt>
                <c:pt idx="50">
                  <c:v>4481.3</c:v>
                </c:pt>
                <c:pt idx="51">
                  <c:v>4508.8</c:v>
                </c:pt>
                <c:pt idx="52">
                  <c:v>4512.1000000000004</c:v>
                </c:pt>
                <c:pt idx="53">
                  <c:v>4466.1000000000004</c:v>
                </c:pt>
                <c:pt idx="54">
                  <c:v>4453.3</c:v>
                </c:pt>
                <c:pt idx="55">
                  <c:v>4405</c:v>
                </c:pt>
                <c:pt idx="56">
                  <c:v>4570</c:v>
                </c:pt>
                <c:pt idx="57">
                  <c:v>4480.8</c:v>
                </c:pt>
                <c:pt idx="58">
                  <c:v>4501.8999999999996</c:v>
                </c:pt>
                <c:pt idx="59">
                  <c:v>4438.6000000000004</c:v>
                </c:pt>
                <c:pt idx="60">
                  <c:v>4403</c:v>
                </c:pt>
                <c:pt idx="61">
                  <c:v>4264.6000000000004</c:v>
                </c:pt>
                <c:pt idx="62">
                  <c:v>4230.3</c:v>
                </c:pt>
                <c:pt idx="63">
                  <c:v>4275.7</c:v>
                </c:pt>
                <c:pt idx="64">
                  <c:v>4314.8999999999996</c:v>
                </c:pt>
                <c:pt idx="65">
                  <c:v>4280.5</c:v>
                </c:pt>
                <c:pt idx="66">
                  <c:v>4255.8</c:v>
                </c:pt>
                <c:pt idx="67">
                  <c:v>4201.7</c:v>
                </c:pt>
                <c:pt idx="68">
                  <c:v>4299.3999999999996</c:v>
                </c:pt>
                <c:pt idx="69">
                  <c:v>4522.7</c:v>
                </c:pt>
                <c:pt idx="70">
                  <c:v>4506.8999999999996</c:v>
                </c:pt>
                <c:pt idx="71">
                  <c:v>4520.2</c:v>
                </c:pt>
                <c:pt idx="72">
                  <c:v>4238.3999999999996</c:v>
                </c:pt>
                <c:pt idx="73">
                  <c:v>4262.3999999999996</c:v>
                </c:pt>
                <c:pt idx="74">
                  <c:v>4295.3</c:v>
                </c:pt>
                <c:pt idx="75">
                  <c:v>4345.2</c:v>
                </c:pt>
                <c:pt idx="76">
                  <c:v>4442.3999999999996</c:v>
                </c:pt>
                <c:pt idx="77">
                  <c:v>4561.2</c:v>
                </c:pt>
                <c:pt idx="78">
                  <c:v>4523.1000000000004</c:v>
                </c:pt>
                <c:pt idx="79">
                  <c:v>4556</c:v>
                </c:pt>
                <c:pt idx="80">
                  <c:v>4640.8999999999996</c:v>
                </c:pt>
                <c:pt idx="81">
                  <c:v>4693.1000000000004</c:v>
                </c:pt>
                <c:pt idx="82">
                  <c:v>4678.2</c:v>
                </c:pt>
                <c:pt idx="83">
                  <c:v>4638.3999999999996</c:v>
                </c:pt>
                <c:pt idx="84">
                  <c:v>4608.7</c:v>
                </c:pt>
                <c:pt idx="85">
                  <c:v>4638</c:v>
                </c:pt>
                <c:pt idx="86">
                  <c:v>4427.2</c:v>
                </c:pt>
                <c:pt idx="87">
                  <c:v>4554.2</c:v>
                </c:pt>
                <c:pt idx="88">
                  <c:v>4449.1000000000004</c:v>
                </c:pt>
                <c:pt idx="89">
                  <c:v>4615.5</c:v>
                </c:pt>
                <c:pt idx="90">
                  <c:v>4268.8</c:v>
                </c:pt>
                <c:pt idx="91">
                  <c:v>4312.5</c:v>
                </c:pt>
                <c:pt idx="92">
                  <c:v>4193.5</c:v>
                </c:pt>
                <c:pt idx="93">
                  <c:v>4180.8</c:v>
                </c:pt>
                <c:pt idx="94">
                  <c:v>3943.5</c:v>
                </c:pt>
                <c:pt idx="95">
                  <c:v>4099.5</c:v>
                </c:pt>
                <c:pt idx="96">
                  <c:v>4294.7</c:v>
                </c:pt>
                <c:pt idx="97">
                  <c:v>4150.8</c:v>
                </c:pt>
                <c:pt idx="98">
                  <c:v>3945.3</c:v>
                </c:pt>
                <c:pt idx="99">
                  <c:v>4149.1000000000004</c:v>
                </c:pt>
                <c:pt idx="100">
                  <c:v>4154.3</c:v>
                </c:pt>
                <c:pt idx="101">
                  <c:v>4360.6000000000004</c:v>
                </c:pt>
                <c:pt idx="102">
                  <c:v>4287.8999999999996</c:v>
                </c:pt>
                <c:pt idx="103">
                  <c:v>4222.1000000000004</c:v>
                </c:pt>
                <c:pt idx="104">
                  <c:v>4158.2</c:v>
                </c:pt>
                <c:pt idx="105">
                  <c:v>4251.7</c:v>
                </c:pt>
                <c:pt idx="106">
                  <c:v>4350.7</c:v>
                </c:pt>
                <c:pt idx="107">
                  <c:v>4380.3999999999996</c:v>
                </c:pt>
                <c:pt idx="108">
                  <c:v>4236.7</c:v>
                </c:pt>
                <c:pt idx="109">
                  <c:v>4404.1000000000004</c:v>
                </c:pt>
                <c:pt idx="110">
                  <c:v>4512.8</c:v>
                </c:pt>
                <c:pt idx="111">
                  <c:v>4392.8999999999996</c:v>
                </c:pt>
                <c:pt idx="112">
                  <c:v>4520.3999999999996</c:v>
                </c:pt>
                <c:pt idx="113">
                  <c:v>4827.2</c:v>
                </c:pt>
                <c:pt idx="114">
                  <c:v>4933.5</c:v>
                </c:pt>
                <c:pt idx="115">
                  <c:v>4947.3999999999996</c:v>
                </c:pt>
                <c:pt idx="116">
                  <c:v>4850.3</c:v>
                </c:pt>
                <c:pt idx="117">
                  <c:v>4862.2</c:v>
                </c:pt>
                <c:pt idx="118">
                  <c:v>4854.6000000000004</c:v>
                </c:pt>
                <c:pt idx="119">
                  <c:v>4815.1000000000004</c:v>
                </c:pt>
                <c:pt idx="120">
                  <c:v>4980.3999999999996</c:v>
                </c:pt>
                <c:pt idx="121">
                  <c:v>4977</c:v>
                </c:pt>
                <c:pt idx="122">
                  <c:v>4940.8</c:v>
                </c:pt>
                <c:pt idx="123">
                  <c:v>4929.2</c:v>
                </c:pt>
                <c:pt idx="124">
                  <c:v>4982.8</c:v>
                </c:pt>
                <c:pt idx="125">
                  <c:v>5013.8</c:v>
                </c:pt>
                <c:pt idx="126">
                  <c:v>4960.3999999999996</c:v>
                </c:pt>
                <c:pt idx="127">
                  <c:v>4964.1000000000004</c:v>
                </c:pt>
                <c:pt idx="128">
                  <c:v>4909.3999999999996</c:v>
                </c:pt>
                <c:pt idx="129">
                  <c:v>4932.2</c:v>
                </c:pt>
                <c:pt idx="130">
                  <c:v>4960.7</c:v>
                </c:pt>
                <c:pt idx="131">
                  <c:v>4946.2</c:v>
                </c:pt>
                <c:pt idx="132">
                  <c:v>4687</c:v>
                </c:pt>
                <c:pt idx="133">
                  <c:v>4589.5</c:v>
                </c:pt>
                <c:pt idx="134">
                  <c:v>4596.5</c:v>
                </c:pt>
                <c:pt idx="135">
                  <c:v>4621</c:v>
                </c:pt>
                <c:pt idx="136">
                  <c:v>4749</c:v>
                </c:pt>
                <c:pt idx="137">
                  <c:v>4769</c:v>
                </c:pt>
                <c:pt idx="138">
                  <c:v>4704.5</c:v>
                </c:pt>
                <c:pt idx="139">
                  <c:v>4909</c:v>
                </c:pt>
                <c:pt idx="140">
                  <c:v>4857.5</c:v>
                </c:pt>
                <c:pt idx="141">
                  <c:v>4790</c:v>
                </c:pt>
                <c:pt idx="142">
                  <c:v>4941.5</c:v>
                </c:pt>
                <c:pt idx="143">
                  <c:v>4740</c:v>
                </c:pt>
                <c:pt idx="144">
                  <c:v>4733</c:v>
                </c:pt>
                <c:pt idx="145">
                  <c:v>4759.5</c:v>
                </c:pt>
                <c:pt idx="146">
                  <c:v>4850</c:v>
                </c:pt>
                <c:pt idx="147">
                  <c:v>4844</c:v>
                </c:pt>
                <c:pt idx="148">
                  <c:v>4906.5</c:v>
                </c:pt>
                <c:pt idx="149">
                  <c:v>4951</c:v>
                </c:pt>
                <c:pt idx="150">
                  <c:v>5002.5</c:v>
                </c:pt>
                <c:pt idx="151">
                  <c:v>5102.5</c:v>
                </c:pt>
                <c:pt idx="152">
                  <c:v>5106</c:v>
                </c:pt>
                <c:pt idx="153">
                  <c:v>5110.5</c:v>
                </c:pt>
                <c:pt idx="154">
                  <c:v>5059.5</c:v>
                </c:pt>
                <c:pt idx="155">
                  <c:v>5018</c:v>
                </c:pt>
                <c:pt idx="156">
                  <c:v>5085.5</c:v>
                </c:pt>
                <c:pt idx="157">
                  <c:v>5074</c:v>
                </c:pt>
                <c:pt idx="158">
                  <c:v>5081.5</c:v>
                </c:pt>
                <c:pt idx="159">
                  <c:v>5157</c:v>
                </c:pt>
                <c:pt idx="160">
                  <c:v>5145.5</c:v>
                </c:pt>
                <c:pt idx="161">
                  <c:v>5153.5</c:v>
                </c:pt>
                <c:pt idx="162">
                  <c:v>5115.5</c:v>
                </c:pt>
                <c:pt idx="163">
                  <c:v>4980.5</c:v>
                </c:pt>
                <c:pt idx="164">
                  <c:v>4974</c:v>
                </c:pt>
                <c:pt idx="165">
                  <c:v>4965.5</c:v>
                </c:pt>
                <c:pt idx="166">
                  <c:v>4860.5</c:v>
                </c:pt>
                <c:pt idx="167">
                  <c:v>4819</c:v>
                </c:pt>
                <c:pt idx="168">
                  <c:v>4805.5</c:v>
                </c:pt>
                <c:pt idx="169">
                  <c:v>4967.5</c:v>
                </c:pt>
                <c:pt idx="170">
                  <c:v>4923.5</c:v>
                </c:pt>
                <c:pt idx="171">
                  <c:v>5370.5</c:v>
                </c:pt>
                <c:pt idx="172">
                  <c:v>5436.5</c:v>
                </c:pt>
                <c:pt idx="173">
                  <c:v>5595.5</c:v>
                </c:pt>
                <c:pt idx="174">
                  <c:v>5697.5</c:v>
                </c:pt>
                <c:pt idx="175">
                  <c:v>5794</c:v>
                </c:pt>
                <c:pt idx="176">
                  <c:v>5901.5</c:v>
                </c:pt>
                <c:pt idx="177">
                  <c:v>5919</c:v>
                </c:pt>
                <c:pt idx="178">
                  <c:v>5913</c:v>
                </c:pt>
                <c:pt idx="179">
                  <c:v>5775</c:v>
                </c:pt>
                <c:pt idx="180">
                  <c:v>5805.5</c:v>
                </c:pt>
                <c:pt idx="181">
                  <c:v>5843.5</c:v>
                </c:pt>
                <c:pt idx="182">
                  <c:v>5785.5</c:v>
                </c:pt>
                <c:pt idx="183">
                  <c:v>5758.5</c:v>
                </c:pt>
                <c:pt idx="184">
                  <c:v>5739.5</c:v>
                </c:pt>
                <c:pt idx="185">
                  <c:v>5873</c:v>
                </c:pt>
                <c:pt idx="186">
                  <c:v>5908.5</c:v>
                </c:pt>
                <c:pt idx="187">
                  <c:v>5905.5</c:v>
                </c:pt>
                <c:pt idx="188">
                  <c:v>5795.5</c:v>
                </c:pt>
                <c:pt idx="189">
                  <c:v>5782.5</c:v>
                </c:pt>
                <c:pt idx="190">
                  <c:v>5588.5</c:v>
                </c:pt>
                <c:pt idx="191">
                  <c:v>5583.5</c:v>
                </c:pt>
                <c:pt idx="192">
                  <c:v>5693</c:v>
                </c:pt>
                <c:pt idx="193">
                  <c:v>5637</c:v>
                </c:pt>
                <c:pt idx="194">
                  <c:v>5695.5</c:v>
                </c:pt>
                <c:pt idx="195">
                  <c:v>5625</c:v>
                </c:pt>
                <c:pt idx="196">
                  <c:v>5725</c:v>
                </c:pt>
                <c:pt idx="197">
                  <c:v>5813</c:v>
                </c:pt>
                <c:pt idx="198">
                  <c:v>5809</c:v>
                </c:pt>
                <c:pt idx="199">
                  <c:v>5835</c:v>
                </c:pt>
                <c:pt idx="200">
                  <c:v>5779</c:v>
                </c:pt>
                <c:pt idx="201">
                  <c:v>5789</c:v>
                </c:pt>
                <c:pt idx="202">
                  <c:v>5913</c:v>
                </c:pt>
                <c:pt idx="203">
                  <c:v>5934</c:v>
                </c:pt>
                <c:pt idx="204">
                  <c:v>5848</c:v>
                </c:pt>
                <c:pt idx="205">
                  <c:v>5881</c:v>
                </c:pt>
                <c:pt idx="206">
                  <c:v>5860.5</c:v>
                </c:pt>
                <c:pt idx="207">
                  <c:v>5759</c:v>
                </c:pt>
                <c:pt idx="208">
                  <c:v>5787.5</c:v>
                </c:pt>
                <c:pt idx="209">
                  <c:v>5735</c:v>
                </c:pt>
                <c:pt idx="210">
                  <c:v>5724.5</c:v>
                </c:pt>
                <c:pt idx="211">
                  <c:v>5635</c:v>
                </c:pt>
                <c:pt idx="212">
                  <c:v>5664</c:v>
                </c:pt>
                <c:pt idx="213">
                  <c:v>5694.5</c:v>
                </c:pt>
                <c:pt idx="214">
                  <c:v>5657</c:v>
                </c:pt>
                <c:pt idx="215">
                  <c:v>5606</c:v>
                </c:pt>
                <c:pt idx="216">
                  <c:v>5594.5</c:v>
                </c:pt>
                <c:pt idx="217">
                  <c:v>5707</c:v>
                </c:pt>
                <c:pt idx="218">
                  <c:v>5561</c:v>
                </c:pt>
                <c:pt idx="219">
                  <c:v>5674.5</c:v>
                </c:pt>
                <c:pt idx="220">
                  <c:v>5686</c:v>
                </c:pt>
                <c:pt idx="221">
                  <c:v>5732</c:v>
                </c:pt>
                <c:pt idx="222">
                  <c:v>5747.5</c:v>
                </c:pt>
                <c:pt idx="223">
                  <c:v>5679</c:v>
                </c:pt>
                <c:pt idx="224">
                  <c:v>5715.5</c:v>
                </c:pt>
                <c:pt idx="225">
                  <c:v>5746.5</c:v>
                </c:pt>
                <c:pt idx="226">
                  <c:v>5727.5</c:v>
                </c:pt>
                <c:pt idx="227">
                  <c:v>5728.5</c:v>
                </c:pt>
                <c:pt idx="228">
                  <c:v>5727.5</c:v>
                </c:pt>
                <c:pt idx="229">
                  <c:v>5667</c:v>
                </c:pt>
                <c:pt idx="230">
                  <c:v>5619</c:v>
                </c:pt>
                <c:pt idx="231">
                  <c:v>5637.5</c:v>
                </c:pt>
                <c:pt idx="232">
                  <c:v>5696.5</c:v>
                </c:pt>
                <c:pt idx="233">
                  <c:v>5670</c:v>
                </c:pt>
                <c:pt idx="234">
                  <c:v>5695</c:v>
                </c:pt>
                <c:pt idx="235">
                  <c:v>5740</c:v>
                </c:pt>
                <c:pt idx="236">
                  <c:v>5665.5</c:v>
                </c:pt>
                <c:pt idx="237">
                  <c:v>5670</c:v>
                </c:pt>
                <c:pt idx="238">
                  <c:v>5646</c:v>
                </c:pt>
                <c:pt idx="239">
                  <c:v>5727</c:v>
                </c:pt>
                <c:pt idx="240">
                  <c:v>6050</c:v>
                </c:pt>
                <c:pt idx="241">
                  <c:v>6116</c:v>
                </c:pt>
                <c:pt idx="242">
                  <c:v>6086.5</c:v>
                </c:pt>
                <c:pt idx="243">
                  <c:v>6099</c:v>
                </c:pt>
                <c:pt idx="244">
                  <c:v>6155.5</c:v>
                </c:pt>
                <c:pt idx="245">
                  <c:v>6055.5</c:v>
                </c:pt>
                <c:pt idx="246">
                  <c:v>6096.5</c:v>
                </c:pt>
              </c:numCache>
            </c:numRef>
          </c:val>
          <c:smooth val="0"/>
          <c:extLst>
            <c:ext xmlns:c16="http://schemas.microsoft.com/office/drawing/2014/chart" uri="{C3380CC4-5D6E-409C-BE32-E72D297353CC}">
              <c16:uniqueId val="{00000000-DF59-45D0-AA1B-638A47715DC0}"/>
            </c:ext>
          </c:extLst>
        </c:ser>
        <c:dLbls>
          <c:showLegendKey val="0"/>
          <c:showVal val="0"/>
          <c:showCatName val="0"/>
          <c:showSerName val="0"/>
          <c:showPercent val="0"/>
          <c:showBubbleSize val="0"/>
        </c:dLbls>
        <c:smooth val="0"/>
        <c:axId val="741109424"/>
        <c:axId val="920615760"/>
      </c:lineChart>
      <c:catAx>
        <c:axId val="741109424"/>
        <c:scaling>
          <c:orientation val="minMax"/>
        </c:scaling>
        <c:delete val="0"/>
        <c:axPos val="b"/>
        <c:numFmt formatCode="mmm\-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615760"/>
        <c:crosses val="autoZero"/>
        <c:auto val="0"/>
        <c:lblAlgn val="ctr"/>
        <c:lblOffset val="100"/>
        <c:noMultiLvlLbl val="0"/>
      </c:catAx>
      <c:valAx>
        <c:axId val="920615760"/>
        <c:scaling>
          <c:orientation val="minMax"/>
          <c:max val="6000"/>
          <c:min val="100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109424"/>
        <c:crosses val="autoZero"/>
        <c:crossBetween val="between"/>
        <c:majorUnit val="1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Global Outlook</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Report!$F$22</c:f>
              <c:strCache>
                <c:ptCount val="1"/>
                <c:pt idx="0">
                  <c:v>2025A</c:v>
                </c:pt>
              </c:strCache>
            </c:strRef>
          </c:tx>
          <c:spPr>
            <a:solidFill>
              <a:srgbClr val="001B94"/>
            </a:solidFill>
            <a:ln>
              <a:noFill/>
            </a:ln>
            <a:effectLst/>
          </c:spPr>
          <c:invertIfNegative val="0"/>
          <c:cat>
            <c:strRef>
              <c:f>Report!$E$23:$E$30</c:f>
              <c:strCache>
                <c:ptCount val="8"/>
                <c:pt idx="0">
                  <c:v>World </c:v>
                </c:pt>
                <c:pt idx="1">
                  <c:v>Advanced Economy</c:v>
                </c:pt>
                <c:pt idx="2">
                  <c:v>United States</c:v>
                </c:pt>
                <c:pt idx="3">
                  <c:v>Euro Areas</c:v>
                </c:pt>
                <c:pt idx="4">
                  <c:v>Japan </c:v>
                </c:pt>
                <c:pt idx="5">
                  <c:v>United Kindom</c:v>
                </c:pt>
                <c:pt idx="6">
                  <c:v>China</c:v>
                </c:pt>
                <c:pt idx="7">
                  <c:v>India</c:v>
                </c:pt>
              </c:strCache>
            </c:strRef>
          </c:cat>
          <c:val>
            <c:numRef>
              <c:f>Report!$F$23:$F$30</c:f>
              <c:numCache>
                <c:formatCode>0.0%</c:formatCode>
                <c:ptCount val="8"/>
                <c:pt idx="0">
                  <c:v>3.5000000000000003E-2</c:v>
                </c:pt>
                <c:pt idx="1">
                  <c:v>1.9E-2</c:v>
                </c:pt>
                <c:pt idx="2">
                  <c:v>2.1000000000000001E-2</c:v>
                </c:pt>
                <c:pt idx="3">
                  <c:v>1.4E-2</c:v>
                </c:pt>
                <c:pt idx="4">
                  <c:v>1.0999999999999999E-2</c:v>
                </c:pt>
                <c:pt idx="5">
                  <c:v>1.4E-2</c:v>
                </c:pt>
                <c:pt idx="6">
                  <c:v>0.05</c:v>
                </c:pt>
                <c:pt idx="7">
                  <c:v>7.6999999999999999E-2</c:v>
                </c:pt>
              </c:numCache>
            </c:numRef>
          </c:val>
          <c:extLst>
            <c:ext xmlns:c16="http://schemas.microsoft.com/office/drawing/2014/chart" uri="{C3380CC4-5D6E-409C-BE32-E72D297353CC}">
              <c16:uniqueId val="{00000000-5197-433C-8655-858F6B660613}"/>
            </c:ext>
          </c:extLst>
        </c:ser>
        <c:ser>
          <c:idx val="1"/>
          <c:order val="1"/>
          <c:tx>
            <c:strRef>
              <c:f>Report!$G$22</c:f>
              <c:strCache>
                <c:ptCount val="1"/>
                <c:pt idx="0">
                  <c:v>2026P</c:v>
                </c:pt>
              </c:strCache>
            </c:strRef>
          </c:tx>
          <c:spPr>
            <a:solidFill>
              <a:srgbClr val="0000FF"/>
            </a:solidFill>
            <a:ln>
              <a:noFill/>
            </a:ln>
            <a:effectLst/>
          </c:spPr>
          <c:invertIfNegative val="0"/>
          <c:cat>
            <c:strRef>
              <c:f>Report!$E$23:$E$30</c:f>
              <c:strCache>
                <c:ptCount val="8"/>
                <c:pt idx="0">
                  <c:v>World </c:v>
                </c:pt>
                <c:pt idx="1">
                  <c:v>Advanced Economy</c:v>
                </c:pt>
                <c:pt idx="2">
                  <c:v>United States</c:v>
                </c:pt>
                <c:pt idx="3">
                  <c:v>Euro Areas</c:v>
                </c:pt>
                <c:pt idx="4">
                  <c:v>Japan </c:v>
                </c:pt>
                <c:pt idx="5">
                  <c:v>United Kindom</c:v>
                </c:pt>
                <c:pt idx="6">
                  <c:v>China</c:v>
                </c:pt>
                <c:pt idx="7">
                  <c:v>India</c:v>
                </c:pt>
              </c:strCache>
            </c:strRef>
          </c:cat>
          <c:val>
            <c:numRef>
              <c:f>Report!$G$23:$G$30</c:f>
              <c:numCache>
                <c:formatCode>0.0%</c:formatCode>
                <c:ptCount val="8"/>
                <c:pt idx="0">
                  <c:v>0.03</c:v>
                </c:pt>
                <c:pt idx="1">
                  <c:v>1.7000000000000001E-2</c:v>
                </c:pt>
                <c:pt idx="2">
                  <c:v>2.3E-2</c:v>
                </c:pt>
                <c:pt idx="3">
                  <c:v>8.9999999999999993E-3</c:v>
                </c:pt>
                <c:pt idx="4">
                  <c:v>6.0000000000000001E-3</c:v>
                </c:pt>
                <c:pt idx="5">
                  <c:v>0.01</c:v>
                </c:pt>
                <c:pt idx="6">
                  <c:v>4.5999999999999999E-2</c:v>
                </c:pt>
                <c:pt idx="7">
                  <c:v>6.4000000000000001E-2</c:v>
                </c:pt>
              </c:numCache>
            </c:numRef>
          </c:val>
          <c:extLst>
            <c:ext xmlns:c16="http://schemas.microsoft.com/office/drawing/2014/chart" uri="{C3380CC4-5D6E-409C-BE32-E72D297353CC}">
              <c16:uniqueId val="{00000001-5197-433C-8655-858F6B660613}"/>
            </c:ext>
          </c:extLst>
        </c:ser>
        <c:ser>
          <c:idx val="2"/>
          <c:order val="2"/>
          <c:tx>
            <c:strRef>
              <c:f>Report!$H$22</c:f>
              <c:strCache>
                <c:ptCount val="1"/>
                <c:pt idx="0">
                  <c:v>2027P</c:v>
                </c:pt>
              </c:strCache>
            </c:strRef>
          </c:tx>
          <c:spPr>
            <a:solidFill>
              <a:srgbClr val="00B0F0"/>
            </a:solidFill>
            <a:ln>
              <a:noFill/>
            </a:ln>
            <a:effectLst/>
          </c:spPr>
          <c:invertIfNegative val="0"/>
          <c:cat>
            <c:strRef>
              <c:f>Report!$E$23:$E$30</c:f>
              <c:strCache>
                <c:ptCount val="8"/>
                <c:pt idx="0">
                  <c:v>World </c:v>
                </c:pt>
                <c:pt idx="1">
                  <c:v>Advanced Economy</c:v>
                </c:pt>
                <c:pt idx="2">
                  <c:v>United States</c:v>
                </c:pt>
                <c:pt idx="3">
                  <c:v>Euro Areas</c:v>
                </c:pt>
                <c:pt idx="4">
                  <c:v>Japan </c:v>
                </c:pt>
                <c:pt idx="5">
                  <c:v>United Kindom</c:v>
                </c:pt>
                <c:pt idx="6">
                  <c:v>China</c:v>
                </c:pt>
                <c:pt idx="7">
                  <c:v>India</c:v>
                </c:pt>
              </c:strCache>
            </c:strRef>
          </c:cat>
          <c:val>
            <c:numRef>
              <c:f>Report!$H$23:$H$30</c:f>
              <c:numCache>
                <c:formatCode>0.0%</c:formatCode>
                <c:ptCount val="8"/>
                <c:pt idx="0">
                  <c:v>3.4000000000000002E-2</c:v>
                </c:pt>
                <c:pt idx="1">
                  <c:v>1.7999999999999999E-2</c:v>
                </c:pt>
                <c:pt idx="2">
                  <c:v>2.1999999999999999E-2</c:v>
                </c:pt>
                <c:pt idx="3">
                  <c:v>1.2E-2</c:v>
                </c:pt>
                <c:pt idx="4">
                  <c:v>7.0000000000000001E-3</c:v>
                </c:pt>
                <c:pt idx="5">
                  <c:v>1.2999999999999999E-2</c:v>
                </c:pt>
                <c:pt idx="6">
                  <c:v>4.1000000000000002E-2</c:v>
                </c:pt>
                <c:pt idx="7">
                  <c:v>6.7000000000000004E-2</c:v>
                </c:pt>
              </c:numCache>
            </c:numRef>
          </c:val>
          <c:extLst>
            <c:ext xmlns:c16="http://schemas.microsoft.com/office/drawing/2014/chart" uri="{C3380CC4-5D6E-409C-BE32-E72D297353CC}">
              <c16:uniqueId val="{00000002-5197-433C-8655-858F6B660613}"/>
            </c:ext>
          </c:extLst>
        </c:ser>
        <c:dLbls>
          <c:showLegendKey val="0"/>
          <c:showVal val="0"/>
          <c:showCatName val="0"/>
          <c:showSerName val="0"/>
          <c:showPercent val="0"/>
          <c:showBubbleSize val="0"/>
        </c:dLbls>
        <c:gapWidth val="182"/>
        <c:axId val="1735412352"/>
        <c:axId val="1727204848"/>
      </c:barChart>
      <c:catAx>
        <c:axId val="173541235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204848"/>
        <c:crosses val="autoZero"/>
        <c:auto val="1"/>
        <c:lblAlgn val="ctr"/>
        <c:lblOffset val="100"/>
        <c:noMultiLvlLbl val="0"/>
      </c:catAx>
      <c:valAx>
        <c:axId val="1727204848"/>
        <c:scaling>
          <c:orientation val="minMax"/>
          <c:max val="9.0000000000000024E-2"/>
          <c:min val="5.000000000000001E-3"/>
        </c:scaling>
        <c:delete val="0"/>
        <c:axPos val="t"/>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412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Report!$F$34</c:f>
              <c:strCache>
                <c:ptCount val="1"/>
                <c:pt idx="0">
                  <c:v>India</c:v>
                </c:pt>
              </c:strCache>
            </c:strRef>
          </c:tx>
          <c:spPr>
            <a:solidFill>
              <a:srgbClr val="001B9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Report!$E$35:$E$41</c:f>
              <c:numCache>
                <c:formatCode>0"A"</c:formatCode>
                <c:ptCount val="7"/>
                <c:pt idx="0">
                  <c:v>2021</c:v>
                </c:pt>
                <c:pt idx="1">
                  <c:v>2022</c:v>
                </c:pt>
                <c:pt idx="2">
                  <c:v>2023</c:v>
                </c:pt>
                <c:pt idx="3">
                  <c:v>2024</c:v>
                </c:pt>
                <c:pt idx="4">
                  <c:v>2025</c:v>
                </c:pt>
                <c:pt idx="5" formatCode="0&quot;P&quot;">
                  <c:v>2026</c:v>
                </c:pt>
                <c:pt idx="6" formatCode="0&quot;P&quot;">
                  <c:v>2027</c:v>
                </c:pt>
              </c:numCache>
            </c:numRef>
          </c:cat>
          <c:val>
            <c:numRef>
              <c:f>Report!$F$35:$F$41</c:f>
              <c:numCache>
                <c:formatCode>0.0%</c:formatCode>
                <c:ptCount val="7"/>
                <c:pt idx="0">
                  <c:v>9.7000000000000003E-2</c:v>
                </c:pt>
                <c:pt idx="1">
                  <c:v>7.5999999999999998E-2</c:v>
                </c:pt>
                <c:pt idx="2">
                  <c:v>7.1999999999999995E-2</c:v>
                </c:pt>
                <c:pt idx="3">
                  <c:v>7.0999999999999994E-2</c:v>
                </c:pt>
                <c:pt idx="4">
                  <c:v>7.5999999999999998E-2</c:v>
                </c:pt>
                <c:pt idx="5">
                  <c:v>7.8E-2</c:v>
                </c:pt>
                <c:pt idx="6">
                  <c:v>6.8000000000000005E-2</c:v>
                </c:pt>
              </c:numCache>
            </c:numRef>
          </c:val>
          <c:extLst>
            <c:ext xmlns:c16="http://schemas.microsoft.com/office/drawing/2014/chart" uri="{C3380CC4-5D6E-409C-BE32-E72D297353CC}">
              <c16:uniqueId val="{00000000-0D52-4BE8-91FF-CAA92A717925}"/>
            </c:ext>
          </c:extLst>
        </c:ser>
        <c:dLbls>
          <c:showLegendKey val="0"/>
          <c:showVal val="0"/>
          <c:showCatName val="0"/>
          <c:showSerName val="0"/>
          <c:showPercent val="0"/>
          <c:showBubbleSize val="0"/>
        </c:dLbls>
        <c:gapWidth val="219"/>
        <c:axId val="1878364400"/>
        <c:axId val="1647161680"/>
      </c:barChart>
      <c:lineChart>
        <c:grouping val="standard"/>
        <c:varyColors val="0"/>
        <c:ser>
          <c:idx val="1"/>
          <c:order val="1"/>
          <c:tx>
            <c:strRef>
              <c:f>Report!$G$34</c:f>
              <c:strCache>
                <c:ptCount val="1"/>
                <c:pt idx="0">
                  <c:v>World</c:v>
                </c:pt>
              </c:strCache>
            </c:strRef>
          </c:tx>
          <c:spPr>
            <a:ln w="28575" cap="rnd" cmpd="sng">
              <a:solidFill>
                <a:schemeClr val="bg1">
                  <a:lumMod val="6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Report!$E$35:$E$41</c:f>
              <c:numCache>
                <c:formatCode>0"A"</c:formatCode>
                <c:ptCount val="7"/>
                <c:pt idx="0">
                  <c:v>2021</c:v>
                </c:pt>
                <c:pt idx="1">
                  <c:v>2022</c:v>
                </c:pt>
                <c:pt idx="2">
                  <c:v>2023</c:v>
                </c:pt>
                <c:pt idx="3">
                  <c:v>2024</c:v>
                </c:pt>
                <c:pt idx="4">
                  <c:v>2025</c:v>
                </c:pt>
                <c:pt idx="5" formatCode="0&quot;P&quot;">
                  <c:v>2026</c:v>
                </c:pt>
                <c:pt idx="6" formatCode="0&quot;P&quot;">
                  <c:v>2027</c:v>
                </c:pt>
              </c:numCache>
            </c:numRef>
          </c:cat>
          <c:val>
            <c:numRef>
              <c:f>Report!$G$35:$G$41</c:f>
              <c:numCache>
                <c:formatCode>0.0%</c:formatCode>
                <c:ptCount val="7"/>
                <c:pt idx="0">
                  <c:v>6.5000000000000002E-2</c:v>
                </c:pt>
                <c:pt idx="1">
                  <c:v>3.4000000000000002E-2</c:v>
                </c:pt>
                <c:pt idx="2">
                  <c:v>2.9000000000000001E-2</c:v>
                </c:pt>
                <c:pt idx="3">
                  <c:v>2.9000000000000001E-2</c:v>
                </c:pt>
                <c:pt idx="4">
                  <c:v>2.9000000000000001E-2</c:v>
                </c:pt>
                <c:pt idx="5">
                  <c:v>3.3000000000000002E-2</c:v>
                </c:pt>
                <c:pt idx="6">
                  <c:v>3.2000000000000001E-2</c:v>
                </c:pt>
              </c:numCache>
            </c:numRef>
          </c:val>
          <c:smooth val="0"/>
          <c:extLst>
            <c:ext xmlns:c16="http://schemas.microsoft.com/office/drawing/2014/chart" uri="{C3380CC4-5D6E-409C-BE32-E72D297353CC}">
              <c16:uniqueId val="{00000001-0D52-4BE8-91FF-CAA92A717925}"/>
            </c:ext>
          </c:extLst>
        </c:ser>
        <c:dLbls>
          <c:showLegendKey val="0"/>
          <c:showVal val="0"/>
          <c:showCatName val="0"/>
          <c:showSerName val="0"/>
          <c:showPercent val="0"/>
          <c:showBubbleSize val="0"/>
        </c:dLbls>
        <c:marker val="1"/>
        <c:smooth val="0"/>
        <c:axId val="1834794432"/>
        <c:axId val="1727269168"/>
      </c:lineChart>
      <c:catAx>
        <c:axId val="1878364400"/>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161680"/>
        <c:crosses val="autoZero"/>
        <c:auto val="1"/>
        <c:lblAlgn val="ctr"/>
        <c:lblOffset val="100"/>
        <c:noMultiLvlLbl val="0"/>
      </c:catAx>
      <c:valAx>
        <c:axId val="1647161680"/>
        <c:scaling>
          <c:orientation val="minMax"/>
        </c:scaling>
        <c:delete val="1"/>
        <c:axPos val="l"/>
        <c:numFmt formatCode="0.0%" sourceLinked="1"/>
        <c:majorTickMark val="none"/>
        <c:minorTickMark val="none"/>
        <c:tickLblPos val="nextTo"/>
        <c:crossAx val="1878364400"/>
        <c:crosses val="autoZero"/>
        <c:crossBetween val="between"/>
      </c:valAx>
      <c:valAx>
        <c:axId val="1727269168"/>
        <c:scaling>
          <c:orientation val="minMax"/>
        </c:scaling>
        <c:delete val="1"/>
        <c:axPos val="r"/>
        <c:numFmt formatCode="0.0%" sourceLinked="1"/>
        <c:majorTickMark val="out"/>
        <c:minorTickMark val="none"/>
        <c:tickLblPos val="nextTo"/>
        <c:crossAx val="1834794432"/>
        <c:crosses val="max"/>
        <c:crossBetween val="between"/>
      </c:valAx>
      <c:catAx>
        <c:axId val="1834794432"/>
        <c:scaling>
          <c:orientation val="minMax"/>
        </c:scaling>
        <c:delete val="1"/>
        <c:axPos val="b"/>
        <c:numFmt formatCode="0&quot;A&quot;" sourceLinked="1"/>
        <c:majorTickMark val="out"/>
        <c:minorTickMark val="none"/>
        <c:tickLblPos val="nextTo"/>
        <c:crossAx val="172726916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Passenger</a:t>
            </a:r>
            <a:r>
              <a:rPr lang="en-US" baseline="0"/>
              <a:t> Traffic and Cargo Metrics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Report!$F$49</c:f>
              <c:strCache>
                <c:ptCount val="1"/>
                <c:pt idx="0">
                  <c:v>RPK</c:v>
                </c:pt>
              </c:strCache>
            </c:strRef>
          </c:tx>
          <c:spPr>
            <a:solidFill>
              <a:srgbClr val="001B94"/>
            </a:solidFill>
            <a:ln>
              <a:noFill/>
            </a:ln>
            <a:effectLst/>
          </c:spPr>
          <c:invertIfNegative val="0"/>
          <c:cat>
            <c:numRef>
              <c:f>Report!$E$50:$E$55</c:f>
              <c:numCache>
                <c:formatCode>0"A"</c:formatCode>
                <c:ptCount val="6"/>
                <c:pt idx="0">
                  <c:v>2021</c:v>
                </c:pt>
                <c:pt idx="1">
                  <c:v>2022</c:v>
                </c:pt>
                <c:pt idx="2">
                  <c:v>2023</c:v>
                </c:pt>
                <c:pt idx="3">
                  <c:v>2024</c:v>
                </c:pt>
                <c:pt idx="4">
                  <c:v>2025</c:v>
                </c:pt>
                <c:pt idx="5" formatCode="0&quot;P&quot;">
                  <c:v>2026</c:v>
                </c:pt>
              </c:numCache>
            </c:numRef>
          </c:cat>
          <c:val>
            <c:numRef>
              <c:f>Report!$F$50:$F$55</c:f>
              <c:numCache>
                <c:formatCode>General</c:formatCode>
                <c:ptCount val="6"/>
                <c:pt idx="0">
                  <c:v>3623</c:v>
                </c:pt>
                <c:pt idx="1">
                  <c:v>5973</c:v>
                </c:pt>
                <c:pt idx="2">
                  <c:v>8171</c:v>
                </c:pt>
                <c:pt idx="3">
                  <c:v>9038</c:v>
                </c:pt>
                <c:pt idx="4">
                  <c:v>9520</c:v>
                </c:pt>
                <c:pt idx="5">
                  <c:v>9719</c:v>
                </c:pt>
              </c:numCache>
            </c:numRef>
          </c:val>
          <c:extLst>
            <c:ext xmlns:c16="http://schemas.microsoft.com/office/drawing/2014/chart" uri="{C3380CC4-5D6E-409C-BE32-E72D297353CC}">
              <c16:uniqueId val="{00000000-39B0-4DBD-B876-0F8E8A844624}"/>
            </c:ext>
          </c:extLst>
        </c:ser>
        <c:dLbls>
          <c:showLegendKey val="0"/>
          <c:showVal val="0"/>
          <c:showCatName val="0"/>
          <c:showSerName val="0"/>
          <c:showPercent val="0"/>
          <c:showBubbleSize val="0"/>
        </c:dLbls>
        <c:gapWidth val="219"/>
        <c:axId val="1878494320"/>
        <c:axId val="1727114128"/>
      </c:barChart>
      <c:lineChart>
        <c:grouping val="standard"/>
        <c:varyColors val="0"/>
        <c:ser>
          <c:idx val="1"/>
          <c:order val="1"/>
          <c:tx>
            <c:strRef>
              <c:f>Report!$G$49</c:f>
              <c:strCache>
                <c:ptCount val="1"/>
                <c:pt idx="0">
                  <c:v>CTK</c:v>
                </c:pt>
              </c:strCache>
            </c:strRef>
          </c:tx>
          <c:spPr>
            <a:ln w="28575" cap="rnd">
              <a:solidFill>
                <a:schemeClr val="bg1">
                  <a:lumMod val="65000"/>
                </a:schemeClr>
              </a:solidFill>
              <a:round/>
            </a:ln>
            <a:effectLst/>
          </c:spPr>
          <c:marker>
            <c:symbol val="none"/>
          </c:marker>
          <c:cat>
            <c:numRef>
              <c:f>Report!$E$50:$E$55</c:f>
              <c:numCache>
                <c:formatCode>0"A"</c:formatCode>
                <c:ptCount val="6"/>
                <c:pt idx="0">
                  <c:v>2021</c:v>
                </c:pt>
                <c:pt idx="1">
                  <c:v>2022</c:v>
                </c:pt>
                <c:pt idx="2">
                  <c:v>2023</c:v>
                </c:pt>
                <c:pt idx="3">
                  <c:v>2024</c:v>
                </c:pt>
                <c:pt idx="4">
                  <c:v>2025</c:v>
                </c:pt>
                <c:pt idx="5" formatCode="0&quot;P&quot;">
                  <c:v>2026</c:v>
                </c:pt>
              </c:numCache>
            </c:numRef>
          </c:cat>
          <c:val>
            <c:numRef>
              <c:f>Report!$G$50:$G$55</c:f>
              <c:numCache>
                <c:formatCode>General</c:formatCode>
                <c:ptCount val="6"/>
                <c:pt idx="0">
                  <c:v>272.10000000000002</c:v>
                </c:pt>
                <c:pt idx="1">
                  <c:v>250.1</c:v>
                </c:pt>
                <c:pt idx="2">
                  <c:v>245.8</c:v>
                </c:pt>
                <c:pt idx="3">
                  <c:v>273.7</c:v>
                </c:pt>
                <c:pt idx="4" formatCode="0.0">
                  <c:v>283</c:v>
                </c:pt>
                <c:pt idx="5">
                  <c:v>285.10000000000002</c:v>
                </c:pt>
              </c:numCache>
            </c:numRef>
          </c:val>
          <c:smooth val="0"/>
          <c:extLst>
            <c:ext xmlns:c16="http://schemas.microsoft.com/office/drawing/2014/chart" uri="{C3380CC4-5D6E-409C-BE32-E72D297353CC}">
              <c16:uniqueId val="{00000001-39B0-4DBD-B876-0F8E8A844624}"/>
            </c:ext>
          </c:extLst>
        </c:ser>
        <c:dLbls>
          <c:showLegendKey val="0"/>
          <c:showVal val="0"/>
          <c:showCatName val="0"/>
          <c:showSerName val="0"/>
          <c:showPercent val="0"/>
          <c:showBubbleSize val="0"/>
        </c:dLbls>
        <c:marker val="1"/>
        <c:smooth val="0"/>
        <c:axId val="1878400128"/>
        <c:axId val="1727192368"/>
      </c:lineChart>
      <c:catAx>
        <c:axId val="1878494320"/>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114128"/>
        <c:crosses val="autoZero"/>
        <c:auto val="1"/>
        <c:lblAlgn val="ctr"/>
        <c:lblOffset val="100"/>
        <c:noMultiLvlLbl val="0"/>
      </c:catAx>
      <c:valAx>
        <c:axId val="1727114128"/>
        <c:scaling>
          <c:orientation val="minMax"/>
          <c:max val="11000"/>
          <c:min val="10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494320"/>
        <c:crosses val="autoZero"/>
        <c:crossBetween val="between"/>
        <c:majorUnit val="2000"/>
      </c:valAx>
      <c:valAx>
        <c:axId val="1727192368"/>
        <c:scaling>
          <c:orientation val="minMax"/>
          <c:min val="220"/>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400128"/>
        <c:crosses val="max"/>
        <c:crossBetween val="between"/>
      </c:valAx>
      <c:catAx>
        <c:axId val="1878400128"/>
        <c:scaling>
          <c:orientation val="minMax"/>
        </c:scaling>
        <c:delete val="1"/>
        <c:axPos val="b"/>
        <c:numFmt formatCode="0&quot;A&quot;" sourceLinked="1"/>
        <c:majorTickMark val="out"/>
        <c:minorTickMark val="none"/>
        <c:tickLblPos val="nextTo"/>
        <c:crossAx val="1727192368"/>
        <c:crosses val="autoZero"/>
        <c:auto val="1"/>
        <c:lblAlgn val="ctr"/>
        <c:lblOffset val="100"/>
        <c:noMultiLvlLbl val="0"/>
      </c:cat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Airline financial performance</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Report!$F$57</c:f>
              <c:strCache>
                <c:ptCount val="1"/>
                <c:pt idx="0">
                  <c:v>Passenger Revenue</c:v>
                </c:pt>
              </c:strCache>
            </c:strRef>
          </c:tx>
          <c:spPr>
            <a:solidFill>
              <a:srgbClr val="001B94"/>
            </a:solidFill>
            <a:ln>
              <a:noFill/>
            </a:ln>
            <a:effectLst/>
          </c:spPr>
          <c:invertIfNegative val="0"/>
          <c:cat>
            <c:numRef>
              <c:f>Report!$E$58:$E$63</c:f>
              <c:numCache>
                <c:formatCode>0"A"</c:formatCode>
                <c:ptCount val="6"/>
                <c:pt idx="0">
                  <c:v>2021</c:v>
                </c:pt>
                <c:pt idx="1">
                  <c:v>2022</c:v>
                </c:pt>
                <c:pt idx="2">
                  <c:v>2023</c:v>
                </c:pt>
                <c:pt idx="3">
                  <c:v>2024</c:v>
                </c:pt>
                <c:pt idx="4">
                  <c:v>2025</c:v>
                </c:pt>
                <c:pt idx="5" formatCode="0&quot;P&quot;">
                  <c:v>2026</c:v>
                </c:pt>
              </c:numCache>
            </c:numRef>
          </c:cat>
          <c:val>
            <c:numRef>
              <c:f>Report!$F$58:$F$63</c:f>
              <c:numCache>
                <c:formatCode>General</c:formatCode>
                <c:ptCount val="6"/>
                <c:pt idx="0">
                  <c:v>242</c:v>
                </c:pt>
                <c:pt idx="1">
                  <c:v>437</c:v>
                </c:pt>
                <c:pt idx="2">
                  <c:v>669</c:v>
                </c:pt>
                <c:pt idx="3">
                  <c:v>726</c:v>
                </c:pt>
                <c:pt idx="4">
                  <c:v>768</c:v>
                </c:pt>
                <c:pt idx="5">
                  <c:v>839</c:v>
                </c:pt>
              </c:numCache>
            </c:numRef>
          </c:val>
          <c:extLst>
            <c:ext xmlns:c16="http://schemas.microsoft.com/office/drawing/2014/chart" uri="{C3380CC4-5D6E-409C-BE32-E72D297353CC}">
              <c16:uniqueId val="{00000000-7567-4EF4-AC85-95C31B4E8E91}"/>
            </c:ext>
          </c:extLst>
        </c:ser>
        <c:ser>
          <c:idx val="1"/>
          <c:order val="1"/>
          <c:tx>
            <c:strRef>
              <c:f>Report!$G$57</c:f>
              <c:strCache>
                <c:ptCount val="1"/>
                <c:pt idx="0">
                  <c:v>Cargo Revenue</c:v>
                </c:pt>
              </c:strCache>
            </c:strRef>
          </c:tx>
          <c:spPr>
            <a:solidFill>
              <a:srgbClr val="0033CC"/>
            </a:solidFill>
            <a:ln>
              <a:noFill/>
            </a:ln>
            <a:effectLst/>
          </c:spPr>
          <c:invertIfNegative val="0"/>
          <c:cat>
            <c:numRef>
              <c:f>Report!$E$58:$E$63</c:f>
              <c:numCache>
                <c:formatCode>0"A"</c:formatCode>
                <c:ptCount val="6"/>
                <c:pt idx="0">
                  <c:v>2021</c:v>
                </c:pt>
                <c:pt idx="1">
                  <c:v>2022</c:v>
                </c:pt>
                <c:pt idx="2">
                  <c:v>2023</c:v>
                </c:pt>
                <c:pt idx="3">
                  <c:v>2024</c:v>
                </c:pt>
                <c:pt idx="4">
                  <c:v>2025</c:v>
                </c:pt>
                <c:pt idx="5" formatCode="0&quot;P&quot;">
                  <c:v>2026</c:v>
                </c:pt>
              </c:numCache>
            </c:numRef>
          </c:cat>
          <c:val>
            <c:numRef>
              <c:f>Report!$G$58:$G$63</c:f>
              <c:numCache>
                <c:formatCode>General</c:formatCode>
                <c:ptCount val="6"/>
                <c:pt idx="0">
                  <c:v>210</c:v>
                </c:pt>
                <c:pt idx="1">
                  <c:v>206</c:v>
                </c:pt>
                <c:pt idx="2">
                  <c:v>139</c:v>
                </c:pt>
                <c:pt idx="3">
                  <c:v>147</c:v>
                </c:pt>
                <c:pt idx="4">
                  <c:v>151</c:v>
                </c:pt>
                <c:pt idx="5">
                  <c:v>162</c:v>
                </c:pt>
              </c:numCache>
            </c:numRef>
          </c:val>
          <c:extLst>
            <c:ext xmlns:c16="http://schemas.microsoft.com/office/drawing/2014/chart" uri="{C3380CC4-5D6E-409C-BE32-E72D297353CC}">
              <c16:uniqueId val="{00000001-7567-4EF4-AC85-95C31B4E8E91}"/>
            </c:ext>
          </c:extLst>
        </c:ser>
        <c:ser>
          <c:idx val="2"/>
          <c:order val="2"/>
          <c:tx>
            <c:strRef>
              <c:f>Report!$H$57</c:f>
              <c:strCache>
                <c:ptCount val="1"/>
                <c:pt idx="0">
                  <c:v>Ancillary and Other Revenue</c:v>
                </c:pt>
              </c:strCache>
            </c:strRef>
          </c:tx>
          <c:spPr>
            <a:solidFill>
              <a:srgbClr val="0066FF"/>
            </a:solidFill>
            <a:ln>
              <a:noFill/>
            </a:ln>
            <a:effectLst/>
          </c:spPr>
          <c:invertIfNegative val="0"/>
          <c:cat>
            <c:numRef>
              <c:f>Report!$E$58:$E$63</c:f>
              <c:numCache>
                <c:formatCode>0"A"</c:formatCode>
                <c:ptCount val="6"/>
                <c:pt idx="0">
                  <c:v>2021</c:v>
                </c:pt>
                <c:pt idx="1">
                  <c:v>2022</c:v>
                </c:pt>
                <c:pt idx="2">
                  <c:v>2023</c:v>
                </c:pt>
                <c:pt idx="3">
                  <c:v>2024</c:v>
                </c:pt>
                <c:pt idx="4">
                  <c:v>2025</c:v>
                </c:pt>
                <c:pt idx="5" formatCode="0&quot;P&quot;">
                  <c:v>2026</c:v>
                </c:pt>
              </c:numCache>
            </c:numRef>
          </c:cat>
          <c:val>
            <c:numRef>
              <c:f>Report!$H$58:$H$63</c:f>
              <c:numCache>
                <c:formatCode>General</c:formatCode>
                <c:ptCount val="6"/>
                <c:pt idx="0">
                  <c:v>61</c:v>
                </c:pt>
                <c:pt idx="1">
                  <c:v>95</c:v>
                </c:pt>
                <c:pt idx="2">
                  <c:v>122</c:v>
                </c:pt>
                <c:pt idx="3">
                  <c:v>137</c:v>
                </c:pt>
                <c:pt idx="4">
                  <c:v>146</c:v>
                </c:pt>
                <c:pt idx="5">
                  <c:v>165</c:v>
                </c:pt>
              </c:numCache>
            </c:numRef>
          </c:val>
          <c:extLst>
            <c:ext xmlns:c16="http://schemas.microsoft.com/office/drawing/2014/chart" uri="{C3380CC4-5D6E-409C-BE32-E72D297353CC}">
              <c16:uniqueId val="{00000002-7567-4EF4-AC85-95C31B4E8E91}"/>
            </c:ext>
          </c:extLst>
        </c:ser>
        <c:ser>
          <c:idx val="3"/>
          <c:order val="3"/>
          <c:tx>
            <c:strRef>
              <c:f>Report!$I$57</c:f>
              <c:strCache>
                <c:ptCount val="1"/>
                <c:pt idx="0">
                  <c:v>EBIT</c:v>
                </c:pt>
              </c:strCache>
            </c:strRef>
          </c:tx>
          <c:spPr>
            <a:solidFill>
              <a:srgbClr val="3333FF"/>
            </a:solidFill>
            <a:ln>
              <a:noFill/>
            </a:ln>
            <a:effectLst/>
          </c:spPr>
          <c:invertIfNegative val="0"/>
          <c:cat>
            <c:numRef>
              <c:f>Report!$E$58:$E$63</c:f>
              <c:numCache>
                <c:formatCode>0"A"</c:formatCode>
                <c:ptCount val="6"/>
                <c:pt idx="0">
                  <c:v>2021</c:v>
                </c:pt>
                <c:pt idx="1">
                  <c:v>2022</c:v>
                </c:pt>
                <c:pt idx="2">
                  <c:v>2023</c:v>
                </c:pt>
                <c:pt idx="3">
                  <c:v>2024</c:v>
                </c:pt>
                <c:pt idx="4">
                  <c:v>2025</c:v>
                </c:pt>
                <c:pt idx="5" formatCode="0&quot;P&quot;">
                  <c:v>2026</c:v>
                </c:pt>
              </c:numCache>
            </c:numRef>
          </c:cat>
          <c:val>
            <c:numRef>
              <c:f>Report!$I$58:$I$63</c:f>
              <c:numCache>
                <c:formatCode>0</c:formatCode>
                <c:ptCount val="6"/>
                <c:pt idx="0">
                  <c:v>-43.5</c:v>
                </c:pt>
                <c:pt idx="1">
                  <c:v>11.3</c:v>
                </c:pt>
                <c:pt idx="2">
                  <c:v>66.099999999999994</c:v>
                </c:pt>
                <c:pt idx="3">
                  <c:v>70.7</c:v>
                </c:pt>
                <c:pt idx="4">
                  <c:v>76.400000000000006</c:v>
                </c:pt>
                <c:pt idx="5">
                  <c:v>48</c:v>
                </c:pt>
              </c:numCache>
            </c:numRef>
          </c:val>
          <c:extLst>
            <c:ext xmlns:c16="http://schemas.microsoft.com/office/drawing/2014/chart" uri="{C3380CC4-5D6E-409C-BE32-E72D297353CC}">
              <c16:uniqueId val="{00000003-7567-4EF4-AC85-95C31B4E8E91}"/>
            </c:ext>
          </c:extLst>
        </c:ser>
        <c:dLbls>
          <c:showLegendKey val="0"/>
          <c:showVal val="0"/>
          <c:showCatName val="0"/>
          <c:showSerName val="0"/>
          <c:showPercent val="0"/>
          <c:showBubbleSize val="0"/>
        </c:dLbls>
        <c:gapWidth val="219"/>
        <c:overlap val="-27"/>
        <c:axId val="1834630640"/>
        <c:axId val="1727237488"/>
      </c:barChart>
      <c:lineChart>
        <c:grouping val="standard"/>
        <c:varyColors val="0"/>
        <c:ser>
          <c:idx val="4"/>
          <c:order val="4"/>
          <c:tx>
            <c:strRef>
              <c:f>Report!$J$57</c:f>
              <c:strCache>
                <c:ptCount val="1"/>
                <c:pt idx="0">
                  <c:v>Net Profit</c:v>
                </c:pt>
              </c:strCache>
            </c:strRef>
          </c:tx>
          <c:spPr>
            <a:ln w="28575" cap="rnd">
              <a:solidFill>
                <a:schemeClr val="accent4">
                  <a:lumMod val="60000"/>
                  <a:lumOff val="40000"/>
                </a:schemeClr>
              </a:solidFill>
              <a:round/>
            </a:ln>
            <a:effectLst/>
          </c:spPr>
          <c:marker>
            <c:symbol val="none"/>
          </c:marker>
          <c:cat>
            <c:numRef>
              <c:f>Report!$E$58:$E$63</c:f>
              <c:numCache>
                <c:formatCode>0"A"</c:formatCode>
                <c:ptCount val="6"/>
                <c:pt idx="0">
                  <c:v>2021</c:v>
                </c:pt>
                <c:pt idx="1">
                  <c:v>2022</c:v>
                </c:pt>
                <c:pt idx="2">
                  <c:v>2023</c:v>
                </c:pt>
                <c:pt idx="3">
                  <c:v>2024</c:v>
                </c:pt>
                <c:pt idx="4">
                  <c:v>2025</c:v>
                </c:pt>
                <c:pt idx="5" formatCode="0&quot;P&quot;">
                  <c:v>2026</c:v>
                </c:pt>
              </c:numCache>
            </c:numRef>
          </c:cat>
          <c:val>
            <c:numRef>
              <c:f>Report!$J$58:$J$63</c:f>
              <c:numCache>
                <c:formatCode>0</c:formatCode>
                <c:ptCount val="6"/>
                <c:pt idx="0">
                  <c:v>-40.4</c:v>
                </c:pt>
                <c:pt idx="1">
                  <c:v>-3.5</c:v>
                </c:pt>
                <c:pt idx="2">
                  <c:v>40.5</c:v>
                </c:pt>
                <c:pt idx="3">
                  <c:v>37.700000000000003</c:v>
                </c:pt>
                <c:pt idx="4">
                  <c:v>45</c:v>
                </c:pt>
                <c:pt idx="5">
                  <c:v>23</c:v>
                </c:pt>
              </c:numCache>
            </c:numRef>
          </c:val>
          <c:smooth val="0"/>
          <c:extLst>
            <c:ext xmlns:c16="http://schemas.microsoft.com/office/drawing/2014/chart" uri="{C3380CC4-5D6E-409C-BE32-E72D297353CC}">
              <c16:uniqueId val="{00000004-7567-4EF4-AC85-95C31B4E8E91}"/>
            </c:ext>
          </c:extLst>
        </c:ser>
        <c:dLbls>
          <c:showLegendKey val="0"/>
          <c:showVal val="0"/>
          <c:showCatName val="0"/>
          <c:showSerName val="0"/>
          <c:showPercent val="0"/>
          <c:showBubbleSize val="0"/>
        </c:dLbls>
        <c:marker val="1"/>
        <c:smooth val="0"/>
        <c:axId val="1878282736"/>
        <c:axId val="1727289328"/>
      </c:lineChart>
      <c:catAx>
        <c:axId val="1834630640"/>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237488"/>
        <c:crosses val="autoZero"/>
        <c:auto val="1"/>
        <c:lblAlgn val="ctr"/>
        <c:lblOffset val="100"/>
        <c:noMultiLvlLbl val="0"/>
      </c:catAx>
      <c:valAx>
        <c:axId val="1727237488"/>
        <c:scaling>
          <c:orientation val="minMax"/>
          <c:min val="-5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630640"/>
        <c:crosses val="autoZero"/>
        <c:crossBetween val="between"/>
      </c:valAx>
      <c:valAx>
        <c:axId val="1727289328"/>
        <c:scaling>
          <c:orientation val="minMax"/>
          <c:min val="-4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8282736"/>
        <c:crosses val="max"/>
        <c:crossBetween val="between"/>
      </c:valAx>
      <c:catAx>
        <c:axId val="1878282736"/>
        <c:scaling>
          <c:orientation val="minMax"/>
        </c:scaling>
        <c:delete val="1"/>
        <c:axPos val="b"/>
        <c:numFmt formatCode="0&quot;A&quot;" sourceLinked="1"/>
        <c:majorTickMark val="out"/>
        <c:minorTickMark val="none"/>
        <c:tickLblPos val="nextTo"/>
        <c:crossAx val="17272893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International and Domestic Traffic</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Report!$F$65</c:f>
              <c:strCache>
                <c:ptCount val="1"/>
                <c:pt idx="0">
                  <c:v>Domestic</c:v>
                </c:pt>
              </c:strCache>
            </c:strRef>
          </c:tx>
          <c:spPr>
            <a:solidFill>
              <a:srgbClr val="001B9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Report!$E$66:$E$71</c:f>
              <c:numCache>
                <c:formatCode>0"A"</c:formatCode>
                <c:ptCount val="6"/>
                <c:pt idx="0">
                  <c:v>2021</c:v>
                </c:pt>
                <c:pt idx="1">
                  <c:v>2022</c:v>
                </c:pt>
                <c:pt idx="2">
                  <c:v>2023</c:v>
                </c:pt>
                <c:pt idx="3">
                  <c:v>2024</c:v>
                </c:pt>
                <c:pt idx="4">
                  <c:v>2025</c:v>
                </c:pt>
                <c:pt idx="5" formatCode="0&quot;P&quot;">
                  <c:v>2026</c:v>
                </c:pt>
              </c:numCache>
            </c:numRef>
          </c:cat>
          <c:val>
            <c:numRef>
              <c:f>Report!$F$66:$F$71</c:f>
              <c:numCache>
                <c:formatCode>General</c:formatCode>
                <c:ptCount val="6"/>
                <c:pt idx="0">
                  <c:v>105.2</c:v>
                </c:pt>
                <c:pt idx="1">
                  <c:v>166.8</c:v>
                </c:pt>
                <c:pt idx="2">
                  <c:v>270.33999999999997</c:v>
                </c:pt>
                <c:pt idx="3">
                  <c:v>306.79000000000002</c:v>
                </c:pt>
                <c:pt idx="4">
                  <c:v>334.7</c:v>
                </c:pt>
                <c:pt idx="5">
                  <c:v>281.77999999999997</c:v>
                </c:pt>
              </c:numCache>
            </c:numRef>
          </c:val>
          <c:extLst>
            <c:ext xmlns:c16="http://schemas.microsoft.com/office/drawing/2014/chart" uri="{C3380CC4-5D6E-409C-BE32-E72D297353CC}">
              <c16:uniqueId val="{00000000-5ECE-4213-8E17-F7DFAF4DAEAA}"/>
            </c:ext>
          </c:extLst>
        </c:ser>
        <c:ser>
          <c:idx val="1"/>
          <c:order val="1"/>
          <c:tx>
            <c:strRef>
              <c:f>Report!$H$65</c:f>
              <c:strCache>
                <c:ptCount val="1"/>
                <c:pt idx="0">
                  <c:v>International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Report!$E$66:$E$71</c:f>
              <c:numCache>
                <c:formatCode>0"A"</c:formatCode>
                <c:ptCount val="6"/>
                <c:pt idx="0">
                  <c:v>2021</c:v>
                </c:pt>
                <c:pt idx="1">
                  <c:v>2022</c:v>
                </c:pt>
                <c:pt idx="2">
                  <c:v>2023</c:v>
                </c:pt>
                <c:pt idx="3">
                  <c:v>2024</c:v>
                </c:pt>
                <c:pt idx="4">
                  <c:v>2025</c:v>
                </c:pt>
                <c:pt idx="5" formatCode="0&quot;P&quot;">
                  <c:v>2026</c:v>
                </c:pt>
              </c:numCache>
            </c:numRef>
          </c:cat>
          <c:val>
            <c:numRef>
              <c:f>Report!$H$66:$H$71</c:f>
              <c:numCache>
                <c:formatCode>General</c:formatCode>
                <c:ptCount val="6"/>
                <c:pt idx="0">
                  <c:v>10.1</c:v>
                </c:pt>
                <c:pt idx="1">
                  <c:v>22.08</c:v>
                </c:pt>
                <c:pt idx="2">
                  <c:v>56.94</c:v>
                </c:pt>
                <c:pt idx="3">
                  <c:v>69.64</c:v>
                </c:pt>
                <c:pt idx="4">
                  <c:v>77.06</c:v>
                </c:pt>
                <c:pt idx="5">
                  <c:v>68.709999999999994</c:v>
                </c:pt>
              </c:numCache>
            </c:numRef>
          </c:val>
          <c:extLst>
            <c:ext xmlns:c16="http://schemas.microsoft.com/office/drawing/2014/chart" uri="{C3380CC4-5D6E-409C-BE32-E72D297353CC}">
              <c16:uniqueId val="{00000001-5ECE-4213-8E17-F7DFAF4DAEAA}"/>
            </c:ext>
          </c:extLst>
        </c:ser>
        <c:dLbls>
          <c:showLegendKey val="0"/>
          <c:showVal val="0"/>
          <c:showCatName val="0"/>
          <c:showSerName val="0"/>
          <c:showPercent val="0"/>
          <c:showBubbleSize val="0"/>
        </c:dLbls>
        <c:gapWidth val="150"/>
        <c:overlap val="100"/>
        <c:axId val="1735462928"/>
        <c:axId val="1647110320"/>
      </c:barChart>
      <c:catAx>
        <c:axId val="173546292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110320"/>
        <c:crosses val="autoZero"/>
        <c:auto val="1"/>
        <c:lblAlgn val="ctr"/>
        <c:lblOffset val="100"/>
        <c:noMultiLvlLbl val="0"/>
      </c:catAx>
      <c:valAx>
        <c:axId val="1647110320"/>
        <c:scaling>
          <c:orientation val="minMax"/>
        </c:scaling>
        <c:delete val="1"/>
        <c:axPos val="l"/>
        <c:numFmt formatCode="General" sourceLinked="1"/>
        <c:majorTickMark val="none"/>
        <c:minorTickMark val="none"/>
        <c:tickLblPos val="nextTo"/>
        <c:crossAx val="1735462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International &amp; Domestic freight traffic (MT )</a:t>
            </a:r>
            <a:r>
              <a:rPr lang="en-US" sz="1400" b="0" i="0" u="none" strike="noStrike" baseline="0">
                <a:effectLst/>
              </a:rPr>
              <a:t> </a:t>
            </a:r>
            <a:endParaRPr lang="en-US"/>
          </a:p>
        </c:rich>
      </c:tx>
      <c:layout>
        <c:manualLayout>
          <c:xMode val="edge"/>
          <c:yMode val="edge"/>
          <c:x val="0.1636111111111111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Report!$F$75</c:f>
              <c:strCache>
                <c:ptCount val="1"/>
                <c:pt idx="0">
                  <c:v>Domestic </c:v>
                </c:pt>
              </c:strCache>
            </c:strRef>
          </c:tx>
          <c:spPr>
            <a:solidFill>
              <a:srgbClr val="001B9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Report!$E$76:$E$81</c:f>
              <c:numCache>
                <c:formatCode>0"A"</c:formatCode>
                <c:ptCount val="6"/>
                <c:pt idx="0">
                  <c:v>2021</c:v>
                </c:pt>
                <c:pt idx="1">
                  <c:v>2022</c:v>
                </c:pt>
                <c:pt idx="2">
                  <c:v>2023</c:v>
                </c:pt>
                <c:pt idx="3">
                  <c:v>2024</c:v>
                </c:pt>
                <c:pt idx="4">
                  <c:v>2025</c:v>
                </c:pt>
                <c:pt idx="5" formatCode="0&quot;P&quot;">
                  <c:v>2026</c:v>
                </c:pt>
              </c:numCache>
            </c:numRef>
          </c:cat>
          <c:val>
            <c:numRef>
              <c:f>Report!$F$76:$F$81</c:f>
              <c:numCache>
                <c:formatCode>General</c:formatCode>
                <c:ptCount val="6"/>
                <c:pt idx="0">
                  <c:v>1521</c:v>
                </c:pt>
                <c:pt idx="1">
                  <c:v>1961</c:v>
                </c:pt>
                <c:pt idx="2">
                  <c:v>1864</c:v>
                </c:pt>
                <c:pt idx="3">
                  <c:v>2046</c:v>
                </c:pt>
                <c:pt idx="4">
                  <c:v>2325</c:v>
                </c:pt>
                <c:pt idx="5">
                  <c:v>2038</c:v>
                </c:pt>
              </c:numCache>
            </c:numRef>
          </c:val>
          <c:extLst>
            <c:ext xmlns:c16="http://schemas.microsoft.com/office/drawing/2014/chart" uri="{C3380CC4-5D6E-409C-BE32-E72D297353CC}">
              <c16:uniqueId val="{00000000-17ED-415D-9DA6-3ED286152525}"/>
            </c:ext>
          </c:extLst>
        </c:ser>
        <c:ser>
          <c:idx val="1"/>
          <c:order val="1"/>
          <c:tx>
            <c:strRef>
              <c:f>Report!$H$75</c:f>
              <c:strCache>
                <c:ptCount val="1"/>
                <c:pt idx="0">
                  <c:v>International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Report!$E$76:$E$81</c:f>
              <c:numCache>
                <c:formatCode>0"A"</c:formatCode>
                <c:ptCount val="6"/>
                <c:pt idx="0">
                  <c:v>2021</c:v>
                </c:pt>
                <c:pt idx="1">
                  <c:v>2022</c:v>
                </c:pt>
                <c:pt idx="2">
                  <c:v>2023</c:v>
                </c:pt>
                <c:pt idx="3">
                  <c:v>2024</c:v>
                </c:pt>
                <c:pt idx="4">
                  <c:v>2025</c:v>
                </c:pt>
                <c:pt idx="5" formatCode="0&quot;P&quot;">
                  <c:v>2026</c:v>
                </c:pt>
              </c:numCache>
            </c:numRef>
          </c:cat>
          <c:val>
            <c:numRef>
              <c:f>Report!$H$76:$H$81</c:f>
              <c:numCache>
                <c:formatCode>General</c:formatCode>
                <c:ptCount val="6"/>
                <c:pt idx="0">
                  <c:v>952</c:v>
                </c:pt>
                <c:pt idx="1">
                  <c:v>1179</c:v>
                </c:pt>
                <c:pt idx="2">
                  <c:v>1282</c:v>
                </c:pt>
                <c:pt idx="3">
                  <c:v>1320</c:v>
                </c:pt>
                <c:pt idx="4">
                  <c:v>1394</c:v>
                </c:pt>
                <c:pt idx="5">
                  <c:v>1253</c:v>
                </c:pt>
              </c:numCache>
            </c:numRef>
          </c:val>
          <c:extLst>
            <c:ext xmlns:c16="http://schemas.microsoft.com/office/drawing/2014/chart" uri="{C3380CC4-5D6E-409C-BE32-E72D297353CC}">
              <c16:uniqueId val="{00000001-17ED-415D-9DA6-3ED286152525}"/>
            </c:ext>
          </c:extLst>
        </c:ser>
        <c:dLbls>
          <c:showLegendKey val="0"/>
          <c:showVal val="0"/>
          <c:showCatName val="0"/>
          <c:showSerName val="0"/>
          <c:showPercent val="0"/>
          <c:showBubbleSize val="0"/>
        </c:dLbls>
        <c:gapWidth val="219"/>
        <c:overlap val="100"/>
        <c:axId val="1735419312"/>
        <c:axId val="1647117040"/>
      </c:barChart>
      <c:catAx>
        <c:axId val="1735419312"/>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117040"/>
        <c:crosses val="autoZero"/>
        <c:auto val="1"/>
        <c:lblAlgn val="ctr"/>
        <c:lblOffset val="100"/>
        <c:noMultiLvlLbl val="0"/>
      </c:catAx>
      <c:valAx>
        <c:axId val="1647117040"/>
        <c:scaling>
          <c:orientation val="minMax"/>
        </c:scaling>
        <c:delete val="1"/>
        <c:axPos val="l"/>
        <c:numFmt formatCode="General" sourceLinked="1"/>
        <c:majorTickMark val="none"/>
        <c:minorTickMark val="none"/>
        <c:tickLblPos val="nextTo"/>
        <c:crossAx val="1735419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International and Domestic Traffic (million)</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Report!$F$65</c:f>
              <c:strCache>
                <c:ptCount val="1"/>
                <c:pt idx="0">
                  <c:v>Domestic</c:v>
                </c:pt>
              </c:strCache>
            </c:strRef>
          </c:tx>
          <c:spPr>
            <a:solidFill>
              <a:srgbClr val="001B94"/>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Report!$E$66:$E$71</c:f>
              <c:numCache>
                <c:formatCode>0"A"</c:formatCode>
                <c:ptCount val="6"/>
                <c:pt idx="0">
                  <c:v>2021</c:v>
                </c:pt>
                <c:pt idx="1">
                  <c:v>2022</c:v>
                </c:pt>
                <c:pt idx="2">
                  <c:v>2023</c:v>
                </c:pt>
                <c:pt idx="3">
                  <c:v>2024</c:v>
                </c:pt>
                <c:pt idx="4">
                  <c:v>2025</c:v>
                </c:pt>
                <c:pt idx="5" formatCode="0&quot;P&quot;">
                  <c:v>2026</c:v>
                </c:pt>
              </c:numCache>
            </c:numRef>
          </c:cat>
          <c:val>
            <c:numRef>
              <c:f>Report!$F$66:$F$71</c:f>
              <c:numCache>
                <c:formatCode>General</c:formatCode>
                <c:ptCount val="6"/>
                <c:pt idx="0">
                  <c:v>105.2</c:v>
                </c:pt>
                <c:pt idx="1">
                  <c:v>166.8</c:v>
                </c:pt>
                <c:pt idx="2">
                  <c:v>270.33999999999997</c:v>
                </c:pt>
                <c:pt idx="3">
                  <c:v>306.79000000000002</c:v>
                </c:pt>
                <c:pt idx="4">
                  <c:v>334.7</c:v>
                </c:pt>
                <c:pt idx="5">
                  <c:v>281.77999999999997</c:v>
                </c:pt>
              </c:numCache>
            </c:numRef>
          </c:val>
          <c:extLst>
            <c:ext xmlns:c16="http://schemas.microsoft.com/office/drawing/2014/chart" uri="{C3380CC4-5D6E-409C-BE32-E72D297353CC}">
              <c16:uniqueId val="{00000000-96D3-4047-A766-15BDA5F11771}"/>
            </c:ext>
          </c:extLst>
        </c:ser>
        <c:ser>
          <c:idx val="2"/>
          <c:order val="2"/>
          <c:tx>
            <c:strRef>
              <c:f>Report!$H$65</c:f>
              <c:strCache>
                <c:ptCount val="1"/>
                <c:pt idx="0">
                  <c:v>International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Report!$E$66:$E$71</c:f>
              <c:numCache>
                <c:formatCode>0"A"</c:formatCode>
                <c:ptCount val="6"/>
                <c:pt idx="0">
                  <c:v>2021</c:v>
                </c:pt>
                <c:pt idx="1">
                  <c:v>2022</c:v>
                </c:pt>
                <c:pt idx="2">
                  <c:v>2023</c:v>
                </c:pt>
                <c:pt idx="3">
                  <c:v>2024</c:v>
                </c:pt>
                <c:pt idx="4">
                  <c:v>2025</c:v>
                </c:pt>
                <c:pt idx="5" formatCode="0&quot;P&quot;">
                  <c:v>2026</c:v>
                </c:pt>
              </c:numCache>
            </c:numRef>
          </c:cat>
          <c:val>
            <c:numRef>
              <c:f>Report!$H$66:$H$71</c:f>
              <c:numCache>
                <c:formatCode>General</c:formatCode>
                <c:ptCount val="6"/>
                <c:pt idx="0">
                  <c:v>10.1</c:v>
                </c:pt>
                <c:pt idx="1">
                  <c:v>22.08</c:v>
                </c:pt>
                <c:pt idx="2">
                  <c:v>56.94</c:v>
                </c:pt>
                <c:pt idx="3">
                  <c:v>69.64</c:v>
                </c:pt>
                <c:pt idx="4">
                  <c:v>77.06</c:v>
                </c:pt>
                <c:pt idx="5">
                  <c:v>68.709999999999994</c:v>
                </c:pt>
              </c:numCache>
            </c:numRef>
          </c:val>
          <c:extLst>
            <c:ext xmlns:c16="http://schemas.microsoft.com/office/drawing/2014/chart" uri="{C3380CC4-5D6E-409C-BE32-E72D297353CC}">
              <c16:uniqueId val="{00000002-96D3-4047-A766-15BDA5F11771}"/>
            </c:ext>
          </c:extLst>
        </c:ser>
        <c:dLbls>
          <c:showLegendKey val="0"/>
          <c:showVal val="0"/>
          <c:showCatName val="0"/>
          <c:showSerName val="0"/>
          <c:showPercent val="0"/>
          <c:showBubbleSize val="0"/>
        </c:dLbls>
        <c:gapWidth val="219"/>
        <c:overlap val="100"/>
        <c:axId val="1750213648"/>
        <c:axId val="1727240368"/>
      </c:barChart>
      <c:lineChart>
        <c:grouping val="standard"/>
        <c:varyColors val="0"/>
        <c:ser>
          <c:idx val="1"/>
          <c:order val="1"/>
          <c:tx>
            <c:strRef>
              <c:f>Report!$G$65</c:f>
              <c:strCache>
                <c:ptCount val="1"/>
                <c:pt idx="0">
                  <c:v>Growth YoY %</c:v>
                </c:pt>
              </c:strCache>
            </c:strRef>
          </c:tx>
          <c:spPr>
            <a:ln w="28575" cap="rnd">
              <a:solidFill>
                <a:schemeClr val="bg1">
                  <a:lumMod val="50000"/>
                </a:schemeClr>
              </a:solidFill>
              <a:round/>
            </a:ln>
            <a:effectLst/>
          </c:spPr>
          <c:marker>
            <c:symbol val="none"/>
          </c:marker>
          <c:cat>
            <c:numRef>
              <c:f>Report!$E$66:$E$71</c:f>
              <c:numCache>
                <c:formatCode>0"A"</c:formatCode>
                <c:ptCount val="6"/>
                <c:pt idx="0">
                  <c:v>2021</c:v>
                </c:pt>
                <c:pt idx="1">
                  <c:v>2022</c:v>
                </c:pt>
                <c:pt idx="2">
                  <c:v>2023</c:v>
                </c:pt>
                <c:pt idx="3">
                  <c:v>2024</c:v>
                </c:pt>
                <c:pt idx="4">
                  <c:v>2025</c:v>
                </c:pt>
                <c:pt idx="5" formatCode="0&quot;P&quot;">
                  <c:v>2026</c:v>
                </c:pt>
              </c:numCache>
            </c:numRef>
          </c:cat>
          <c:val>
            <c:numRef>
              <c:f>Report!$G$66:$G$71</c:f>
              <c:numCache>
                <c:formatCode>0%</c:formatCode>
                <c:ptCount val="6"/>
                <c:pt idx="0">
                  <c:v>-0.61675774134790529</c:v>
                </c:pt>
                <c:pt idx="1">
                  <c:v>0.58555133079847921</c:v>
                </c:pt>
                <c:pt idx="2">
                  <c:v>0.6207434052757792</c:v>
                </c:pt>
                <c:pt idx="3">
                  <c:v>0.13483021380483851</c:v>
                </c:pt>
                <c:pt idx="4">
                  <c:v>9.0974282082205926E-2</c:v>
                </c:pt>
                <c:pt idx="5">
                  <c:v>-0.15811174185838073</c:v>
                </c:pt>
              </c:numCache>
            </c:numRef>
          </c:val>
          <c:smooth val="0"/>
          <c:extLst>
            <c:ext xmlns:c16="http://schemas.microsoft.com/office/drawing/2014/chart" uri="{C3380CC4-5D6E-409C-BE32-E72D297353CC}">
              <c16:uniqueId val="{00000001-96D3-4047-A766-15BDA5F11771}"/>
            </c:ext>
          </c:extLst>
        </c:ser>
        <c:ser>
          <c:idx val="3"/>
          <c:order val="3"/>
          <c:tx>
            <c:strRef>
              <c:f>Report!$I$65</c:f>
              <c:strCache>
                <c:ptCount val="1"/>
                <c:pt idx="0">
                  <c:v>Growth YoY %</c:v>
                </c:pt>
              </c:strCache>
            </c:strRef>
          </c:tx>
          <c:spPr>
            <a:ln w="28575" cap="rnd">
              <a:solidFill>
                <a:schemeClr val="bg1">
                  <a:lumMod val="85000"/>
                </a:schemeClr>
              </a:solidFill>
              <a:round/>
            </a:ln>
            <a:effectLst/>
          </c:spPr>
          <c:marker>
            <c:symbol val="none"/>
          </c:marker>
          <c:cat>
            <c:numRef>
              <c:f>Report!$E$66:$E$71</c:f>
              <c:numCache>
                <c:formatCode>0"A"</c:formatCode>
                <c:ptCount val="6"/>
                <c:pt idx="0">
                  <c:v>2021</c:v>
                </c:pt>
                <c:pt idx="1">
                  <c:v>2022</c:v>
                </c:pt>
                <c:pt idx="2">
                  <c:v>2023</c:v>
                </c:pt>
                <c:pt idx="3">
                  <c:v>2024</c:v>
                </c:pt>
                <c:pt idx="4">
                  <c:v>2025</c:v>
                </c:pt>
                <c:pt idx="5" formatCode="0&quot;P&quot;">
                  <c:v>2026</c:v>
                </c:pt>
              </c:numCache>
            </c:numRef>
          </c:cat>
          <c:val>
            <c:numRef>
              <c:f>Report!$I$66:$I$71</c:f>
              <c:numCache>
                <c:formatCode>0%</c:formatCode>
                <c:ptCount val="6"/>
                <c:pt idx="0">
                  <c:v>-0.84812030075187972</c:v>
                </c:pt>
                <c:pt idx="1">
                  <c:v>1.1861386138613859</c:v>
                </c:pt>
                <c:pt idx="2">
                  <c:v>1.5788043478260869</c:v>
                </c:pt>
                <c:pt idx="3">
                  <c:v>0.2230417983842643</c:v>
                </c:pt>
                <c:pt idx="4">
                  <c:v>0.10654796094198749</c:v>
                </c:pt>
                <c:pt idx="5">
                  <c:v>-0.10835712431871281</c:v>
                </c:pt>
              </c:numCache>
            </c:numRef>
          </c:val>
          <c:smooth val="0"/>
          <c:extLst>
            <c:ext xmlns:c16="http://schemas.microsoft.com/office/drawing/2014/chart" uri="{C3380CC4-5D6E-409C-BE32-E72D297353CC}">
              <c16:uniqueId val="{00000003-96D3-4047-A766-15BDA5F11771}"/>
            </c:ext>
          </c:extLst>
        </c:ser>
        <c:dLbls>
          <c:showLegendKey val="0"/>
          <c:showVal val="0"/>
          <c:showCatName val="0"/>
          <c:showSerName val="0"/>
          <c:showPercent val="0"/>
          <c:showBubbleSize val="0"/>
        </c:dLbls>
        <c:marker val="1"/>
        <c:smooth val="0"/>
        <c:axId val="1750217824"/>
        <c:axId val="1727242288"/>
      </c:lineChart>
      <c:catAx>
        <c:axId val="175021364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240368"/>
        <c:crosses val="autoZero"/>
        <c:auto val="1"/>
        <c:lblAlgn val="ctr"/>
        <c:lblOffset val="100"/>
        <c:noMultiLvlLbl val="0"/>
      </c:catAx>
      <c:valAx>
        <c:axId val="1727240368"/>
        <c:scaling>
          <c:orientation val="minMax"/>
          <c:max val="40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213648"/>
        <c:crosses val="autoZero"/>
        <c:crossBetween val="between"/>
        <c:majorUnit val="100"/>
      </c:valAx>
      <c:valAx>
        <c:axId val="1727242288"/>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217824"/>
        <c:crosses val="max"/>
        <c:crossBetween val="between"/>
      </c:valAx>
      <c:catAx>
        <c:axId val="1750217824"/>
        <c:scaling>
          <c:orientation val="minMax"/>
        </c:scaling>
        <c:delete val="1"/>
        <c:axPos val="b"/>
        <c:numFmt formatCode="0&quot;A&quot;" sourceLinked="1"/>
        <c:majorTickMark val="none"/>
        <c:minorTickMark val="none"/>
        <c:tickLblPos val="nextTo"/>
        <c:crossAx val="17272422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International &amp; Domestic freight traffic (MT )</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1803149606299206E-2"/>
          <c:y val="0.17171296296296298"/>
          <c:w val="0.81506014873140853"/>
          <c:h val="0.6153546952464275"/>
        </c:manualLayout>
      </c:layout>
      <c:barChart>
        <c:barDir val="col"/>
        <c:grouping val="stacked"/>
        <c:varyColors val="0"/>
        <c:ser>
          <c:idx val="0"/>
          <c:order val="0"/>
          <c:tx>
            <c:strRef>
              <c:f>Report!$F$75</c:f>
              <c:strCache>
                <c:ptCount val="1"/>
                <c:pt idx="0">
                  <c:v>Domestic </c:v>
                </c:pt>
              </c:strCache>
            </c:strRef>
          </c:tx>
          <c:spPr>
            <a:solidFill>
              <a:srgbClr val="001B94"/>
            </a:solidFill>
            <a:ln>
              <a:noFill/>
            </a:ln>
            <a:effectLst/>
          </c:spPr>
          <c:invertIfNegative val="0"/>
          <c:cat>
            <c:numRef>
              <c:f>Report!$E$76:$E$81</c:f>
              <c:numCache>
                <c:formatCode>0"A"</c:formatCode>
                <c:ptCount val="6"/>
                <c:pt idx="0">
                  <c:v>2021</c:v>
                </c:pt>
                <c:pt idx="1">
                  <c:v>2022</c:v>
                </c:pt>
                <c:pt idx="2">
                  <c:v>2023</c:v>
                </c:pt>
                <c:pt idx="3">
                  <c:v>2024</c:v>
                </c:pt>
                <c:pt idx="4">
                  <c:v>2025</c:v>
                </c:pt>
                <c:pt idx="5" formatCode="0&quot;P&quot;">
                  <c:v>2026</c:v>
                </c:pt>
              </c:numCache>
            </c:numRef>
          </c:cat>
          <c:val>
            <c:numRef>
              <c:f>Report!$F$76:$F$81</c:f>
              <c:numCache>
                <c:formatCode>General</c:formatCode>
                <c:ptCount val="6"/>
                <c:pt idx="0">
                  <c:v>1521</c:v>
                </c:pt>
                <c:pt idx="1">
                  <c:v>1961</c:v>
                </c:pt>
                <c:pt idx="2">
                  <c:v>1864</c:v>
                </c:pt>
                <c:pt idx="3">
                  <c:v>2046</c:v>
                </c:pt>
                <c:pt idx="4">
                  <c:v>2325</c:v>
                </c:pt>
                <c:pt idx="5">
                  <c:v>2038</c:v>
                </c:pt>
              </c:numCache>
            </c:numRef>
          </c:val>
          <c:extLst>
            <c:ext xmlns:c16="http://schemas.microsoft.com/office/drawing/2014/chart" uri="{C3380CC4-5D6E-409C-BE32-E72D297353CC}">
              <c16:uniqueId val="{00000000-901E-42A7-ADC4-60A31B87A7BB}"/>
            </c:ext>
          </c:extLst>
        </c:ser>
        <c:ser>
          <c:idx val="2"/>
          <c:order val="2"/>
          <c:tx>
            <c:strRef>
              <c:f>Report!$H$75</c:f>
              <c:strCache>
                <c:ptCount val="1"/>
                <c:pt idx="0">
                  <c:v>International</c:v>
                </c:pt>
              </c:strCache>
            </c:strRef>
          </c:tx>
          <c:spPr>
            <a:solidFill>
              <a:srgbClr val="00B0F0"/>
            </a:solidFill>
            <a:ln>
              <a:noFill/>
            </a:ln>
            <a:effectLst/>
          </c:spPr>
          <c:invertIfNegative val="0"/>
          <c:cat>
            <c:numRef>
              <c:f>Report!$E$76:$E$81</c:f>
              <c:numCache>
                <c:formatCode>0"A"</c:formatCode>
                <c:ptCount val="6"/>
                <c:pt idx="0">
                  <c:v>2021</c:v>
                </c:pt>
                <c:pt idx="1">
                  <c:v>2022</c:v>
                </c:pt>
                <c:pt idx="2">
                  <c:v>2023</c:v>
                </c:pt>
                <c:pt idx="3">
                  <c:v>2024</c:v>
                </c:pt>
                <c:pt idx="4">
                  <c:v>2025</c:v>
                </c:pt>
                <c:pt idx="5" formatCode="0&quot;P&quot;">
                  <c:v>2026</c:v>
                </c:pt>
              </c:numCache>
            </c:numRef>
          </c:cat>
          <c:val>
            <c:numRef>
              <c:f>Report!$H$76:$H$81</c:f>
              <c:numCache>
                <c:formatCode>General</c:formatCode>
                <c:ptCount val="6"/>
                <c:pt idx="0">
                  <c:v>952</c:v>
                </c:pt>
                <c:pt idx="1">
                  <c:v>1179</c:v>
                </c:pt>
                <c:pt idx="2">
                  <c:v>1282</c:v>
                </c:pt>
                <c:pt idx="3">
                  <c:v>1320</c:v>
                </c:pt>
                <c:pt idx="4">
                  <c:v>1394</c:v>
                </c:pt>
                <c:pt idx="5">
                  <c:v>1253</c:v>
                </c:pt>
              </c:numCache>
            </c:numRef>
          </c:val>
          <c:extLst>
            <c:ext xmlns:c16="http://schemas.microsoft.com/office/drawing/2014/chart" uri="{C3380CC4-5D6E-409C-BE32-E72D297353CC}">
              <c16:uniqueId val="{00000002-901E-42A7-ADC4-60A31B87A7BB}"/>
            </c:ext>
          </c:extLst>
        </c:ser>
        <c:dLbls>
          <c:showLegendKey val="0"/>
          <c:showVal val="0"/>
          <c:showCatName val="0"/>
          <c:showSerName val="0"/>
          <c:showPercent val="0"/>
          <c:showBubbleSize val="0"/>
        </c:dLbls>
        <c:gapWidth val="219"/>
        <c:overlap val="100"/>
        <c:axId val="1941088352"/>
        <c:axId val="1727196208"/>
      </c:barChart>
      <c:lineChart>
        <c:grouping val="standard"/>
        <c:varyColors val="0"/>
        <c:ser>
          <c:idx val="1"/>
          <c:order val="1"/>
          <c:tx>
            <c:strRef>
              <c:f>Report!$G$75</c:f>
              <c:strCache>
                <c:ptCount val="1"/>
                <c:pt idx="0">
                  <c:v>Growth YoY %</c:v>
                </c:pt>
              </c:strCache>
            </c:strRef>
          </c:tx>
          <c:spPr>
            <a:ln w="28575" cap="rnd">
              <a:solidFill>
                <a:schemeClr val="bg1">
                  <a:lumMod val="65000"/>
                </a:schemeClr>
              </a:solidFill>
              <a:round/>
            </a:ln>
            <a:effectLst/>
          </c:spPr>
          <c:marker>
            <c:symbol val="none"/>
          </c:marker>
          <c:cat>
            <c:numRef>
              <c:f>Report!$E$76:$E$81</c:f>
              <c:numCache>
                <c:formatCode>0"A"</c:formatCode>
                <c:ptCount val="6"/>
                <c:pt idx="0">
                  <c:v>2021</c:v>
                </c:pt>
                <c:pt idx="1">
                  <c:v>2022</c:v>
                </c:pt>
                <c:pt idx="2">
                  <c:v>2023</c:v>
                </c:pt>
                <c:pt idx="3">
                  <c:v>2024</c:v>
                </c:pt>
                <c:pt idx="4">
                  <c:v>2025</c:v>
                </c:pt>
                <c:pt idx="5" formatCode="0&quot;P&quot;">
                  <c:v>2026</c:v>
                </c:pt>
              </c:numCache>
            </c:numRef>
          </c:cat>
          <c:val>
            <c:numRef>
              <c:f>Report!$G$76:$G$81</c:f>
              <c:numCache>
                <c:formatCode>0%</c:formatCode>
                <c:ptCount val="6"/>
                <c:pt idx="0">
                  <c:v>-0.2406390414378432</c:v>
                </c:pt>
                <c:pt idx="1">
                  <c:v>0.28928336620644313</c:v>
                </c:pt>
                <c:pt idx="2">
                  <c:v>-4.9464558898521194E-2</c:v>
                </c:pt>
                <c:pt idx="3">
                  <c:v>9.7639484978540692E-2</c:v>
                </c:pt>
                <c:pt idx="4">
                  <c:v>0.13636363636363646</c:v>
                </c:pt>
                <c:pt idx="5">
                  <c:v>-0.12344086021505374</c:v>
                </c:pt>
              </c:numCache>
            </c:numRef>
          </c:val>
          <c:smooth val="0"/>
          <c:extLst>
            <c:ext xmlns:c16="http://schemas.microsoft.com/office/drawing/2014/chart" uri="{C3380CC4-5D6E-409C-BE32-E72D297353CC}">
              <c16:uniqueId val="{00000001-901E-42A7-ADC4-60A31B87A7BB}"/>
            </c:ext>
          </c:extLst>
        </c:ser>
        <c:ser>
          <c:idx val="3"/>
          <c:order val="3"/>
          <c:tx>
            <c:strRef>
              <c:f>Report!$I$75</c:f>
              <c:strCache>
                <c:ptCount val="1"/>
                <c:pt idx="0">
                  <c:v>Growth YoY %</c:v>
                </c:pt>
              </c:strCache>
            </c:strRef>
          </c:tx>
          <c:spPr>
            <a:ln w="28575" cap="rnd">
              <a:solidFill>
                <a:schemeClr val="bg1">
                  <a:lumMod val="85000"/>
                </a:schemeClr>
              </a:solidFill>
              <a:round/>
            </a:ln>
            <a:effectLst/>
          </c:spPr>
          <c:marker>
            <c:symbol val="none"/>
          </c:marker>
          <c:cat>
            <c:numRef>
              <c:f>Report!$E$76:$E$81</c:f>
              <c:numCache>
                <c:formatCode>0"A"</c:formatCode>
                <c:ptCount val="6"/>
                <c:pt idx="0">
                  <c:v>2021</c:v>
                </c:pt>
                <c:pt idx="1">
                  <c:v>2022</c:v>
                </c:pt>
                <c:pt idx="2">
                  <c:v>2023</c:v>
                </c:pt>
                <c:pt idx="3">
                  <c:v>2024</c:v>
                </c:pt>
                <c:pt idx="4">
                  <c:v>2025</c:v>
                </c:pt>
                <c:pt idx="5" formatCode="0&quot;P&quot;">
                  <c:v>2026</c:v>
                </c:pt>
              </c:numCache>
            </c:numRef>
          </c:cat>
          <c:val>
            <c:numRef>
              <c:f>Report!$I$76:$I$81</c:f>
              <c:numCache>
                <c:formatCode>0%</c:formatCode>
                <c:ptCount val="6"/>
                <c:pt idx="0">
                  <c:v>0.14792452830188685</c:v>
                </c:pt>
                <c:pt idx="1">
                  <c:v>0.23844537815126055</c:v>
                </c:pt>
                <c:pt idx="2">
                  <c:v>8.736217133163704E-2</c:v>
                </c:pt>
                <c:pt idx="3">
                  <c:v>2.9641185647425905E-2</c:v>
                </c:pt>
                <c:pt idx="4">
                  <c:v>5.6060606060606144E-2</c:v>
                </c:pt>
                <c:pt idx="5">
                  <c:v>-0.10114777618364423</c:v>
                </c:pt>
              </c:numCache>
            </c:numRef>
          </c:val>
          <c:smooth val="0"/>
          <c:extLst>
            <c:ext xmlns:c16="http://schemas.microsoft.com/office/drawing/2014/chart" uri="{C3380CC4-5D6E-409C-BE32-E72D297353CC}">
              <c16:uniqueId val="{00000003-901E-42A7-ADC4-60A31B87A7BB}"/>
            </c:ext>
          </c:extLst>
        </c:ser>
        <c:dLbls>
          <c:showLegendKey val="0"/>
          <c:showVal val="0"/>
          <c:showCatName val="0"/>
          <c:showSerName val="0"/>
          <c:showPercent val="0"/>
          <c:showBubbleSize val="0"/>
        </c:dLbls>
        <c:marker val="1"/>
        <c:smooth val="0"/>
        <c:axId val="1941093456"/>
        <c:axId val="1727186608"/>
      </c:lineChart>
      <c:catAx>
        <c:axId val="1941088352"/>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196208"/>
        <c:crosses val="autoZero"/>
        <c:auto val="1"/>
        <c:lblAlgn val="ctr"/>
        <c:lblOffset val="100"/>
        <c:noMultiLvlLbl val="0"/>
      </c:catAx>
      <c:valAx>
        <c:axId val="17271962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088352"/>
        <c:crosses val="autoZero"/>
        <c:crossBetween val="between"/>
      </c:valAx>
      <c:valAx>
        <c:axId val="1727186608"/>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093456"/>
        <c:crosses val="max"/>
        <c:crossBetween val="between"/>
      </c:valAx>
      <c:catAx>
        <c:axId val="1941093456"/>
        <c:scaling>
          <c:orientation val="minMax"/>
        </c:scaling>
        <c:delete val="1"/>
        <c:axPos val="b"/>
        <c:numFmt formatCode="0&quot;A&quot;" sourceLinked="1"/>
        <c:majorTickMark val="none"/>
        <c:minorTickMark val="none"/>
        <c:tickLblPos val="nextTo"/>
        <c:crossAx val="17271866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b" anchorCtr="0"/>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Passenger Demand Growth </a:t>
            </a:r>
            <a:r>
              <a:rPr lang="en-US" sz="1400" b="0" i="0" u="none" strike="noStrike" baseline="0">
                <a:effectLst/>
              </a:rPr>
              <a:t> </a:t>
            </a:r>
            <a:endParaRPr lang="en-US"/>
          </a:p>
        </c:rich>
      </c:tx>
      <c:layout>
        <c:manualLayout>
          <c:xMode val="edge"/>
          <c:yMode val="edge"/>
          <c:x val="0.32391666666666669"/>
          <c:y val="4.1666666666666664E-2"/>
        </c:manualLayout>
      </c:layout>
      <c:overlay val="0"/>
      <c:spPr>
        <a:noFill/>
        <a:ln>
          <a:noFill/>
        </a:ln>
        <a:effectLst/>
      </c:spPr>
    </c:title>
    <c:autoTitleDeleted val="0"/>
    <c:plotArea>
      <c:layout/>
      <c:lineChart>
        <c:grouping val="standard"/>
        <c:varyColors val="0"/>
        <c:ser>
          <c:idx val="1"/>
          <c:order val="0"/>
          <c:tx>
            <c:strRef>
              <c:f>Report!$F$84</c:f>
              <c:strCache>
                <c:ptCount val="1"/>
                <c:pt idx="0">
                  <c:v>Passenger (million)</c:v>
                </c:pt>
              </c:strCache>
            </c:strRef>
          </c:tx>
          <c:marker>
            <c:symbol val="none"/>
          </c:marker>
          <c:cat>
            <c:numRef>
              <c:f>Report!$E$85:$E$91</c:f>
              <c:numCache>
                <c:formatCode>General</c:formatCode>
                <c:ptCount val="7"/>
                <c:pt idx="0">
                  <c:v>2020</c:v>
                </c:pt>
                <c:pt idx="1">
                  <c:v>2021</c:v>
                </c:pt>
                <c:pt idx="2">
                  <c:v>2022</c:v>
                </c:pt>
                <c:pt idx="3">
                  <c:v>2023</c:v>
                </c:pt>
                <c:pt idx="4">
                  <c:v>2024</c:v>
                </c:pt>
                <c:pt idx="5">
                  <c:v>2025</c:v>
                </c:pt>
                <c:pt idx="6">
                  <c:v>2026</c:v>
                </c:pt>
              </c:numCache>
            </c:numRef>
          </c:cat>
          <c:val>
            <c:numRef>
              <c:f>Report!$F$85:$F$91</c:f>
              <c:numCache>
                <c:formatCode>0</c:formatCode>
                <c:ptCount val="7"/>
                <c:pt idx="0">
                  <c:v>75</c:v>
                </c:pt>
                <c:pt idx="1">
                  <c:v>31</c:v>
                </c:pt>
                <c:pt idx="2">
                  <c:v>50</c:v>
                </c:pt>
                <c:pt idx="3">
                  <c:v>86</c:v>
                </c:pt>
                <c:pt idx="4">
                  <c:v>107</c:v>
                </c:pt>
                <c:pt idx="5">
                  <c:v>118</c:v>
                </c:pt>
                <c:pt idx="6">
                  <c:v>123</c:v>
                </c:pt>
              </c:numCache>
            </c:numRef>
          </c:val>
          <c:smooth val="0"/>
          <c:extLst>
            <c:ext xmlns:c16="http://schemas.microsoft.com/office/drawing/2014/chart" uri="{C3380CC4-5D6E-409C-BE32-E72D297353CC}">
              <c16:uniqueId val="{00000003-768F-4EE5-AA53-ADC03E647086}"/>
            </c:ext>
          </c:extLst>
        </c:ser>
        <c:ser>
          <c:idx val="0"/>
          <c:order val="1"/>
          <c:tx>
            <c:strRef>
              <c:f>Report!$F$84</c:f>
              <c:strCache>
                <c:ptCount val="1"/>
                <c:pt idx="0">
                  <c:v>Passenger (million)</c:v>
                </c:pt>
              </c:strCache>
            </c:strRef>
          </c:tx>
          <c:spPr>
            <a:ln w="28575" cap="rnd">
              <a:solidFill>
                <a:srgbClr val="0000FF"/>
              </a:solidFill>
              <a:round/>
            </a:ln>
            <a:effectLst/>
          </c:spPr>
          <c:marker>
            <c:symbol val="none"/>
          </c:marker>
          <c:cat>
            <c:numRef>
              <c:f>Report!$E$85:$E$91</c:f>
              <c:numCache>
                <c:formatCode>General</c:formatCode>
                <c:ptCount val="7"/>
                <c:pt idx="0">
                  <c:v>2020</c:v>
                </c:pt>
                <c:pt idx="1">
                  <c:v>2021</c:v>
                </c:pt>
                <c:pt idx="2">
                  <c:v>2022</c:v>
                </c:pt>
                <c:pt idx="3">
                  <c:v>2023</c:v>
                </c:pt>
                <c:pt idx="4">
                  <c:v>2024</c:v>
                </c:pt>
                <c:pt idx="5">
                  <c:v>2025</c:v>
                </c:pt>
                <c:pt idx="6">
                  <c:v>2026</c:v>
                </c:pt>
              </c:numCache>
            </c:numRef>
          </c:cat>
          <c:val>
            <c:numRef>
              <c:f>Report!$F$85:$F$91</c:f>
              <c:numCache>
                <c:formatCode>0</c:formatCode>
                <c:ptCount val="7"/>
                <c:pt idx="0">
                  <c:v>75</c:v>
                </c:pt>
                <c:pt idx="1">
                  <c:v>31</c:v>
                </c:pt>
                <c:pt idx="2">
                  <c:v>50</c:v>
                </c:pt>
                <c:pt idx="3">
                  <c:v>86</c:v>
                </c:pt>
                <c:pt idx="4">
                  <c:v>107</c:v>
                </c:pt>
                <c:pt idx="5">
                  <c:v>118</c:v>
                </c:pt>
                <c:pt idx="6">
                  <c:v>123</c:v>
                </c:pt>
              </c:numCache>
            </c:numRef>
          </c:val>
          <c:smooth val="0"/>
          <c:extLst>
            <c:ext xmlns:c16="http://schemas.microsoft.com/office/drawing/2014/chart" uri="{C3380CC4-5D6E-409C-BE32-E72D297353CC}">
              <c16:uniqueId val="{00000002-768F-4EE5-AA53-ADC03E647086}"/>
            </c:ext>
          </c:extLst>
        </c:ser>
        <c:dLbls>
          <c:showLegendKey val="0"/>
          <c:showVal val="0"/>
          <c:showCatName val="0"/>
          <c:showSerName val="0"/>
          <c:showPercent val="0"/>
          <c:showBubbleSize val="0"/>
        </c:dLbls>
        <c:smooth val="0"/>
        <c:axId val="575261808"/>
        <c:axId val="722667952"/>
      </c:lineChart>
      <c:catAx>
        <c:axId val="575261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667952"/>
        <c:crosses val="autoZero"/>
        <c:auto val="1"/>
        <c:lblAlgn val="ctr"/>
        <c:lblOffset val="100"/>
        <c:noMultiLvlLbl val="0"/>
      </c:catAx>
      <c:valAx>
        <c:axId val="72266795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5261808"/>
        <c:crosses val="autoZero"/>
        <c:crossBetween val="between"/>
      </c:valAx>
    </c:plotArea>
    <c:plotVisOnly val="1"/>
    <c:dispBlanksAs val="gap"/>
    <c:showDLblsOverMax val="0"/>
  </c:chart>
  <c:spPr>
    <a:noFill/>
    <a:ln>
      <a:noFill/>
    </a:ln>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Seat Capacity Growth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Report!$F$94</c:f>
              <c:strCache>
                <c:ptCount val="1"/>
                <c:pt idx="0">
                  <c:v>Seats (million)</c:v>
                </c:pt>
              </c:strCache>
            </c:strRef>
          </c:tx>
          <c:spPr>
            <a:solidFill>
              <a:srgbClr val="001B94"/>
            </a:solidFill>
            <a:ln>
              <a:noFill/>
            </a:ln>
            <a:effectLst/>
          </c:spPr>
          <c:invertIfNegative val="0"/>
          <c:cat>
            <c:strRef>
              <c:f>Report!$E$95:$E$99</c:f>
              <c:strCache>
                <c:ptCount val="5"/>
                <c:pt idx="0">
                  <c:v>IndiGo</c:v>
                </c:pt>
                <c:pt idx="1">
                  <c:v>Air India</c:v>
                </c:pt>
                <c:pt idx="2">
                  <c:v>Air India Express</c:v>
                </c:pt>
                <c:pt idx="3">
                  <c:v>Akasa Air</c:v>
                </c:pt>
                <c:pt idx="4">
                  <c:v>SpiceJet</c:v>
                </c:pt>
              </c:strCache>
            </c:strRef>
          </c:cat>
          <c:val>
            <c:numRef>
              <c:f>Report!$F$95:$F$99</c:f>
              <c:numCache>
                <c:formatCode>General</c:formatCode>
                <c:ptCount val="5"/>
                <c:pt idx="0">
                  <c:v>11.73</c:v>
                </c:pt>
                <c:pt idx="1">
                  <c:v>3.29</c:v>
                </c:pt>
                <c:pt idx="2" formatCode="0.00">
                  <c:v>2.5</c:v>
                </c:pt>
                <c:pt idx="3">
                  <c:v>0.85</c:v>
                </c:pt>
                <c:pt idx="4" formatCode="0.00">
                  <c:v>0.4</c:v>
                </c:pt>
              </c:numCache>
            </c:numRef>
          </c:val>
          <c:extLst>
            <c:ext xmlns:c16="http://schemas.microsoft.com/office/drawing/2014/chart" uri="{C3380CC4-5D6E-409C-BE32-E72D297353CC}">
              <c16:uniqueId val="{00000000-D8F5-4BF8-A861-C66FF91B0B8D}"/>
            </c:ext>
          </c:extLst>
        </c:ser>
        <c:dLbls>
          <c:showLegendKey val="0"/>
          <c:showVal val="0"/>
          <c:showCatName val="0"/>
          <c:showSerName val="0"/>
          <c:showPercent val="0"/>
          <c:showBubbleSize val="0"/>
        </c:dLbls>
        <c:gapWidth val="219"/>
        <c:overlap val="-27"/>
        <c:axId val="685077600"/>
        <c:axId val="212070160"/>
      </c:barChart>
      <c:lineChart>
        <c:grouping val="standard"/>
        <c:varyColors val="0"/>
        <c:ser>
          <c:idx val="1"/>
          <c:order val="1"/>
          <c:tx>
            <c:strRef>
              <c:f>Report!$G$94</c:f>
              <c:strCache>
                <c:ptCount val="1"/>
                <c:pt idx="0">
                  <c:v>YoY (%)</c:v>
                </c:pt>
              </c:strCache>
            </c:strRef>
          </c:tx>
          <c:spPr>
            <a:ln w="28575" cap="rnd">
              <a:solidFill>
                <a:srgbClr val="00B0F0"/>
              </a:solidFill>
              <a:round/>
            </a:ln>
            <a:effectLst/>
          </c:spPr>
          <c:marker>
            <c:symbol val="none"/>
          </c:marker>
          <c:cat>
            <c:strRef>
              <c:f>Report!$E$95:$E$99</c:f>
              <c:strCache>
                <c:ptCount val="5"/>
                <c:pt idx="0">
                  <c:v>IndiGo</c:v>
                </c:pt>
                <c:pt idx="1">
                  <c:v>Air India</c:v>
                </c:pt>
                <c:pt idx="2">
                  <c:v>Air India Express</c:v>
                </c:pt>
                <c:pt idx="3">
                  <c:v>Akasa Air</c:v>
                </c:pt>
                <c:pt idx="4">
                  <c:v>SpiceJet</c:v>
                </c:pt>
              </c:strCache>
            </c:strRef>
          </c:cat>
          <c:val>
            <c:numRef>
              <c:f>Report!$G$95:$G$99</c:f>
              <c:numCache>
                <c:formatCode>0.00%</c:formatCode>
                <c:ptCount val="5"/>
                <c:pt idx="0">
                  <c:v>1E-3</c:v>
                </c:pt>
                <c:pt idx="1">
                  <c:v>-4.2000000000000003E-2</c:v>
                </c:pt>
                <c:pt idx="2">
                  <c:v>-8.4000000000000005E-2</c:v>
                </c:pt>
                <c:pt idx="3">
                  <c:v>2.8000000000000001E-2</c:v>
                </c:pt>
                <c:pt idx="4">
                  <c:v>-0.16600000000000001</c:v>
                </c:pt>
              </c:numCache>
            </c:numRef>
          </c:val>
          <c:smooth val="0"/>
          <c:extLst>
            <c:ext xmlns:c16="http://schemas.microsoft.com/office/drawing/2014/chart" uri="{C3380CC4-5D6E-409C-BE32-E72D297353CC}">
              <c16:uniqueId val="{00000001-D8F5-4BF8-A861-C66FF91B0B8D}"/>
            </c:ext>
          </c:extLst>
        </c:ser>
        <c:dLbls>
          <c:showLegendKey val="0"/>
          <c:showVal val="0"/>
          <c:showCatName val="0"/>
          <c:showSerName val="0"/>
          <c:showPercent val="0"/>
          <c:showBubbleSize val="0"/>
        </c:dLbls>
        <c:marker val="1"/>
        <c:smooth val="0"/>
        <c:axId val="685086880"/>
        <c:axId val="212078320"/>
      </c:lineChart>
      <c:catAx>
        <c:axId val="68507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070160"/>
        <c:crosses val="autoZero"/>
        <c:auto val="1"/>
        <c:lblAlgn val="ctr"/>
        <c:lblOffset val="100"/>
        <c:noMultiLvlLbl val="0"/>
      </c:catAx>
      <c:valAx>
        <c:axId val="2120701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077600"/>
        <c:crosses val="autoZero"/>
        <c:crossBetween val="between"/>
      </c:valAx>
      <c:valAx>
        <c:axId val="212078320"/>
        <c:scaling>
          <c:orientation val="minMax"/>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086880"/>
        <c:crosses val="max"/>
        <c:crossBetween val="between"/>
      </c:valAx>
      <c:catAx>
        <c:axId val="685086880"/>
        <c:scaling>
          <c:orientation val="minMax"/>
        </c:scaling>
        <c:delete val="1"/>
        <c:axPos val="b"/>
        <c:numFmt formatCode="General" sourceLinked="1"/>
        <c:majorTickMark val="none"/>
        <c:minorTickMark val="none"/>
        <c:tickLblPos val="nextTo"/>
        <c:crossAx val="21207832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Q1 EBITDAR &amp; EBITDAR Margin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Report!$F$102</c:f>
              <c:strCache>
                <c:ptCount val="1"/>
                <c:pt idx="0">
                  <c:v>EBITDAR (billion)</c:v>
                </c:pt>
              </c:strCache>
            </c:strRef>
          </c:tx>
          <c:spPr>
            <a:solidFill>
              <a:srgbClr val="001B94"/>
            </a:solidFill>
            <a:ln>
              <a:noFill/>
            </a:ln>
            <a:effectLst/>
          </c:spPr>
          <c:invertIfNegative val="0"/>
          <c:cat>
            <c:numRef>
              <c:f>Report!$E$103:$E$108</c:f>
              <c:numCache>
                <c:formatCode>"FY"0</c:formatCode>
                <c:ptCount val="6"/>
                <c:pt idx="0">
                  <c:v>22</c:v>
                </c:pt>
                <c:pt idx="1">
                  <c:v>23</c:v>
                </c:pt>
                <c:pt idx="2">
                  <c:v>24</c:v>
                </c:pt>
                <c:pt idx="3">
                  <c:v>25</c:v>
                </c:pt>
                <c:pt idx="4">
                  <c:v>26</c:v>
                </c:pt>
                <c:pt idx="5">
                  <c:v>27</c:v>
                </c:pt>
              </c:numCache>
            </c:numRef>
          </c:cat>
          <c:val>
            <c:numRef>
              <c:f>Report!$F$103:$F$108</c:f>
              <c:numCache>
                <c:formatCode>0.00</c:formatCode>
                <c:ptCount val="6"/>
                <c:pt idx="0">
                  <c:v>-13.6</c:v>
                </c:pt>
                <c:pt idx="1">
                  <c:v>7.17</c:v>
                </c:pt>
                <c:pt idx="2">
                  <c:v>52.11</c:v>
                </c:pt>
                <c:pt idx="3">
                  <c:v>58.11</c:v>
                </c:pt>
                <c:pt idx="4">
                  <c:v>57.39</c:v>
                </c:pt>
                <c:pt idx="5">
                  <c:v>38.299999999999997</c:v>
                </c:pt>
              </c:numCache>
            </c:numRef>
          </c:val>
          <c:extLst>
            <c:ext xmlns:c16="http://schemas.microsoft.com/office/drawing/2014/chart" uri="{C3380CC4-5D6E-409C-BE32-E72D297353CC}">
              <c16:uniqueId val="{00000000-7BFE-4F08-B99C-1CCA078597C7}"/>
            </c:ext>
          </c:extLst>
        </c:ser>
        <c:dLbls>
          <c:showLegendKey val="0"/>
          <c:showVal val="0"/>
          <c:showCatName val="0"/>
          <c:showSerName val="0"/>
          <c:showPercent val="0"/>
          <c:showBubbleSize val="0"/>
        </c:dLbls>
        <c:gapWidth val="150"/>
        <c:axId val="675031968"/>
        <c:axId val="722556592"/>
      </c:barChart>
      <c:lineChart>
        <c:grouping val="standard"/>
        <c:varyColors val="0"/>
        <c:ser>
          <c:idx val="1"/>
          <c:order val="1"/>
          <c:tx>
            <c:strRef>
              <c:f>Report!$G$102</c:f>
              <c:strCache>
                <c:ptCount val="1"/>
                <c:pt idx="0">
                  <c:v>EBITDAR Margin</c:v>
                </c:pt>
              </c:strCache>
            </c:strRef>
          </c:tx>
          <c:spPr>
            <a:ln w="28575" cap="rnd">
              <a:solidFill>
                <a:srgbClr val="00B0F0"/>
              </a:solidFill>
              <a:round/>
            </a:ln>
            <a:effectLst/>
          </c:spPr>
          <c:marker>
            <c:symbol val="none"/>
          </c:marker>
          <c:cat>
            <c:numRef>
              <c:f>Report!$E$103:$E$108</c:f>
              <c:numCache>
                <c:formatCode>"FY"0</c:formatCode>
                <c:ptCount val="6"/>
                <c:pt idx="0">
                  <c:v>22</c:v>
                </c:pt>
                <c:pt idx="1">
                  <c:v>23</c:v>
                </c:pt>
                <c:pt idx="2">
                  <c:v>24</c:v>
                </c:pt>
                <c:pt idx="3">
                  <c:v>25</c:v>
                </c:pt>
                <c:pt idx="4">
                  <c:v>26</c:v>
                </c:pt>
                <c:pt idx="5">
                  <c:v>27</c:v>
                </c:pt>
              </c:numCache>
            </c:numRef>
          </c:cat>
          <c:val>
            <c:numRef>
              <c:f>Report!$G$103:$G$108</c:f>
              <c:numCache>
                <c:formatCode>0.0%</c:formatCode>
                <c:ptCount val="6"/>
                <c:pt idx="0">
                  <c:v>-0.45200000000000001</c:v>
                </c:pt>
                <c:pt idx="1">
                  <c:v>5.6000000000000001E-2</c:v>
                </c:pt>
                <c:pt idx="2">
                  <c:v>0.29699999999999999</c:v>
                </c:pt>
                <c:pt idx="3">
                  <c:v>0.28599999999999998</c:v>
                </c:pt>
                <c:pt idx="4">
                  <c:v>0.28000000000000003</c:v>
                </c:pt>
                <c:pt idx="5">
                  <c:v>0.156</c:v>
                </c:pt>
              </c:numCache>
            </c:numRef>
          </c:val>
          <c:smooth val="0"/>
          <c:extLst>
            <c:ext xmlns:c16="http://schemas.microsoft.com/office/drawing/2014/chart" uri="{C3380CC4-5D6E-409C-BE32-E72D297353CC}">
              <c16:uniqueId val="{00000001-7BFE-4F08-B99C-1CCA078597C7}"/>
            </c:ext>
          </c:extLst>
        </c:ser>
        <c:dLbls>
          <c:showLegendKey val="0"/>
          <c:showVal val="0"/>
          <c:showCatName val="0"/>
          <c:showSerName val="0"/>
          <c:showPercent val="0"/>
          <c:showBubbleSize val="0"/>
        </c:dLbls>
        <c:marker val="1"/>
        <c:smooth val="0"/>
        <c:axId val="675033824"/>
        <c:axId val="722656912"/>
      </c:lineChart>
      <c:catAx>
        <c:axId val="675031968"/>
        <c:scaling>
          <c:orientation val="minMax"/>
        </c:scaling>
        <c:delete val="0"/>
        <c:axPos val="b"/>
        <c:numFmt formatCode="&quot;FY&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2556592"/>
        <c:crosses val="autoZero"/>
        <c:auto val="1"/>
        <c:lblAlgn val="ctr"/>
        <c:lblOffset val="100"/>
        <c:noMultiLvlLbl val="0"/>
      </c:catAx>
      <c:valAx>
        <c:axId val="722556592"/>
        <c:scaling>
          <c:orientation val="minMax"/>
          <c:min val="-2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031968"/>
        <c:crosses val="autoZero"/>
        <c:crossBetween val="between"/>
      </c:valAx>
      <c:valAx>
        <c:axId val="722656912"/>
        <c:scaling>
          <c:orientation val="minMax"/>
          <c:max val="0.30000000000000004"/>
          <c:min val="-0.4"/>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5033824"/>
        <c:crosses val="max"/>
        <c:crossBetween val="between"/>
      </c:valAx>
      <c:catAx>
        <c:axId val="675033824"/>
        <c:scaling>
          <c:orientation val="minMax"/>
        </c:scaling>
        <c:delete val="1"/>
        <c:axPos val="b"/>
        <c:numFmt formatCode="&quot;FY&quot;0" sourceLinked="1"/>
        <c:majorTickMark val="out"/>
        <c:minorTickMark val="none"/>
        <c:tickLblPos val="nextTo"/>
        <c:crossAx val="7226569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Drivers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spPr>
            <a:solidFill>
              <a:srgbClr val="001B94"/>
            </a:solidFill>
          </c:spPr>
          <c:dPt>
            <c:idx val="0"/>
            <c:bubble3D val="0"/>
            <c:spPr>
              <a:solidFill>
                <a:srgbClr val="001B94"/>
              </a:solidFill>
              <a:ln w="19050">
                <a:solidFill>
                  <a:schemeClr val="lt1"/>
                </a:solidFill>
              </a:ln>
              <a:effectLst/>
            </c:spPr>
            <c:extLst>
              <c:ext xmlns:c16="http://schemas.microsoft.com/office/drawing/2014/chart" uri="{C3380CC4-5D6E-409C-BE32-E72D297353CC}">
                <c16:uniqueId val="{00000001-5832-4655-A24D-055568D5666B}"/>
              </c:ext>
            </c:extLst>
          </c:dPt>
          <c:dPt>
            <c:idx val="1"/>
            <c:bubble3D val="0"/>
            <c:spPr>
              <a:solidFill>
                <a:srgbClr val="0066FF"/>
              </a:solidFill>
              <a:ln w="19050">
                <a:solidFill>
                  <a:schemeClr val="lt1"/>
                </a:solidFill>
              </a:ln>
              <a:effectLst/>
            </c:spPr>
            <c:extLst>
              <c:ext xmlns:c16="http://schemas.microsoft.com/office/drawing/2014/chart" uri="{C3380CC4-5D6E-409C-BE32-E72D297353CC}">
                <c16:uniqueId val="{00000003-5832-4655-A24D-055568D5666B}"/>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4-5832-4655-A24D-055568D5666B}"/>
              </c:ext>
            </c:extLst>
          </c:dPt>
          <c:dPt>
            <c:idx val="3"/>
            <c:bubble3D val="0"/>
            <c:spPr>
              <a:solidFill>
                <a:srgbClr val="0000FF"/>
              </a:solidFill>
              <a:ln w="19050">
                <a:solidFill>
                  <a:schemeClr val="lt1"/>
                </a:solidFill>
              </a:ln>
              <a:effectLst/>
            </c:spPr>
            <c:extLst>
              <c:ext xmlns:c16="http://schemas.microsoft.com/office/drawing/2014/chart" uri="{C3380CC4-5D6E-409C-BE32-E72D297353CC}">
                <c16:uniqueId val="{00000002-5832-4655-A24D-055568D5666B}"/>
              </c:ext>
            </c:extLst>
          </c:dPt>
          <c:dLbls>
            <c:dLbl>
              <c:idx val="0"/>
              <c:layout>
                <c:manualLayout>
                  <c:x val="9.166666666666666E-2"/>
                  <c:y val="2.777777777777786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832-4655-A24D-055568D5666B}"/>
                </c:ext>
              </c:extLst>
            </c:dLbl>
            <c:dLbl>
              <c:idx val="1"/>
              <c:layout>
                <c:manualLayout>
                  <c:x val="-5.8333333333333334E-2"/>
                  <c:y val="-3.7037037037037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32-4655-A24D-055568D5666B}"/>
                </c:ext>
              </c:extLst>
            </c:dLbl>
            <c:dLbl>
              <c:idx val="2"/>
              <c:layout>
                <c:manualLayout>
                  <c:x val="-1.6666666666666718E-2"/>
                  <c:y val="-6.94444444444444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832-4655-A24D-055568D5666B}"/>
                </c:ext>
              </c:extLst>
            </c:dLbl>
            <c:dLbl>
              <c:idx val="3"/>
              <c:layout>
                <c:manualLayout>
                  <c:x val="3.4722331583551952E-2"/>
                  <c:y val="-6.712926509186351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5569335083114604E-2"/>
                      <c:h val="7.4004811898512685E-2"/>
                    </c:manualLayout>
                  </c15:layout>
                </c:ext>
                <c:ext xmlns:c16="http://schemas.microsoft.com/office/drawing/2014/chart" uri="{C3380CC4-5D6E-409C-BE32-E72D297353CC}">
                  <c16:uniqueId val="{00000002-5832-4655-A24D-055568D5666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Report!$L$86:$L$89</c:f>
              <c:strCache>
                <c:ptCount val="4"/>
                <c:pt idx="0">
                  <c:v>Passenger Services</c:v>
                </c:pt>
                <c:pt idx="1">
                  <c:v>Cargo</c:v>
                </c:pt>
                <c:pt idx="2">
                  <c:v>In-flight sales</c:v>
                </c:pt>
                <c:pt idx="3">
                  <c:v>Other</c:v>
                </c:pt>
              </c:strCache>
            </c:strRef>
          </c:cat>
          <c:val>
            <c:numRef>
              <c:f>Report!$M$86:$M$89</c:f>
              <c:numCache>
                <c:formatCode>0%</c:formatCode>
                <c:ptCount val="4"/>
                <c:pt idx="0">
                  <c:v>0.92</c:v>
                </c:pt>
                <c:pt idx="1">
                  <c:v>0.03</c:v>
                </c:pt>
                <c:pt idx="2">
                  <c:v>0.02</c:v>
                </c:pt>
                <c:pt idx="3">
                  <c:v>0.03</c:v>
                </c:pt>
              </c:numCache>
            </c:numRef>
          </c:val>
          <c:extLst>
            <c:ext xmlns:c16="http://schemas.microsoft.com/office/drawing/2014/chart" uri="{C3380CC4-5D6E-409C-BE32-E72D297353CC}">
              <c16:uniqueId val="{00000000-5832-4655-A24D-055568D5666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Report!$W$88</c:f>
              <c:strCache>
                <c:ptCount val="1"/>
                <c:pt idx="0">
                  <c:v>Revenue</c:v>
                </c:pt>
              </c:strCache>
            </c:strRef>
          </c:tx>
          <c:spPr>
            <a:solidFill>
              <a:srgbClr val="001B94"/>
            </a:solidFill>
            <a:ln>
              <a:noFill/>
            </a:ln>
            <a:effectLst/>
          </c:spPr>
          <c:invertIfNegative val="0"/>
          <c:cat>
            <c:numRef>
              <c:f>Report!$X$87:$AH$87</c:f>
              <c:numCache>
                <c:formatCode>0"A"</c:formatCode>
                <c:ptCount val="11"/>
                <c:pt idx="0">
                  <c:v>2021</c:v>
                </c:pt>
                <c:pt idx="1">
                  <c:v>2022</c:v>
                </c:pt>
                <c:pt idx="2">
                  <c:v>2023</c:v>
                </c:pt>
                <c:pt idx="3">
                  <c:v>2024</c:v>
                </c:pt>
                <c:pt idx="4">
                  <c:v>2025</c:v>
                </c:pt>
                <c:pt idx="5">
                  <c:v>2026</c:v>
                </c:pt>
                <c:pt idx="6" formatCode="0&quot;P&quot;">
                  <c:v>2027</c:v>
                </c:pt>
                <c:pt idx="7" formatCode="0&quot;P&quot;">
                  <c:v>2028</c:v>
                </c:pt>
                <c:pt idx="8" formatCode="0&quot;P&quot;">
                  <c:v>2029</c:v>
                </c:pt>
                <c:pt idx="9" formatCode="0&quot;P&quot;">
                  <c:v>2030</c:v>
                </c:pt>
                <c:pt idx="10" formatCode="0&quot;P&quot;">
                  <c:v>2031</c:v>
                </c:pt>
              </c:numCache>
            </c:numRef>
          </c:cat>
          <c:val>
            <c:numRef>
              <c:f>Report!$X$88:$AH$88</c:f>
              <c:numCache>
                <c:formatCode>_(* #,##0_);_(* \(#,##0\);_(* "-"??_);_(@_)</c:formatCode>
                <c:ptCount val="11"/>
                <c:pt idx="0">
                  <c:v>146406.31</c:v>
                </c:pt>
                <c:pt idx="1">
                  <c:v>259309.27</c:v>
                </c:pt>
                <c:pt idx="2">
                  <c:v>544464.53</c:v>
                </c:pt>
                <c:pt idx="3">
                  <c:v>689043</c:v>
                </c:pt>
                <c:pt idx="4">
                  <c:v>808029</c:v>
                </c:pt>
                <c:pt idx="5">
                  <c:v>849619</c:v>
                </c:pt>
                <c:pt idx="6">
                  <c:v>1015783.43</c:v>
                </c:pt>
                <c:pt idx="7">
                  <c:v>1214721.5549000001</c:v>
                </c:pt>
                <c:pt idx="8">
                  <c:v>1452929.0716069997</c:v>
                </c:pt>
                <c:pt idx="9">
                  <c:v>1738192.8294850097</c:v>
                </c:pt>
                <c:pt idx="10">
                  <c:v>2079847.9291773739</c:v>
                </c:pt>
              </c:numCache>
            </c:numRef>
          </c:val>
          <c:extLst>
            <c:ext xmlns:c16="http://schemas.microsoft.com/office/drawing/2014/chart" uri="{C3380CC4-5D6E-409C-BE32-E72D297353CC}">
              <c16:uniqueId val="{00000000-AD43-4FCA-BEDF-0B3B29B6D05C}"/>
            </c:ext>
          </c:extLst>
        </c:ser>
        <c:dLbls>
          <c:showLegendKey val="0"/>
          <c:showVal val="0"/>
          <c:showCatName val="0"/>
          <c:showSerName val="0"/>
          <c:showPercent val="0"/>
          <c:showBubbleSize val="0"/>
        </c:dLbls>
        <c:gapWidth val="219"/>
        <c:overlap val="-27"/>
        <c:axId val="1982295920"/>
        <c:axId val="2021944624"/>
      </c:barChart>
      <c:lineChart>
        <c:grouping val="standard"/>
        <c:varyColors val="0"/>
        <c:ser>
          <c:idx val="1"/>
          <c:order val="1"/>
          <c:tx>
            <c:strRef>
              <c:f>Report!$W$89</c:f>
              <c:strCache>
                <c:ptCount val="1"/>
                <c:pt idx="0">
                  <c:v>YoY % </c:v>
                </c:pt>
              </c:strCache>
            </c:strRef>
          </c:tx>
          <c:spPr>
            <a:ln w="28575" cap="rnd">
              <a:solidFill>
                <a:srgbClr val="00B0F0"/>
              </a:solidFill>
              <a:round/>
            </a:ln>
            <a:effectLst/>
          </c:spPr>
          <c:marker>
            <c:symbol val="none"/>
          </c:marker>
          <c:cat>
            <c:numRef>
              <c:f>Report!$X$87:$AH$87</c:f>
              <c:numCache>
                <c:formatCode>0"A"</c:formatCode>
                <c:ptCount val="11"/>
                <c:pt idx="0">
                  <c:v>2021</c:v>
                </c:pt>
                <c:pt idx="1">
                  <c:v>2022</c:v>
                </c:pt>
                <c:pt idx="2">
                  <c:v>2023</c:v>
                </c:pt>
                <c:pt idx="3">
                  <c:v>2024</c:v>
                </c:pt>
                <c:pt idx="4">
                  <c:v>2025</c:v>
                </c:pt>
                <c:pt idx="5">
                  <c:v>2026</c:v>
                </c:pt>
                <c:pt idx="6" formatCode="0&quot;P&quot;">
                  <c:v>2027</c:v>
                </c:pt>
                <c:pt idx="7" formatCode="0&quot;P&quot;">
                  <c:v>2028</c:v>
                </c:pt>
                <c:pt idx="8" formatCode="0&quot;P&quot;">
                  <c:v>2029</c:v>
                </c:pt>
                <c:pt idx="9" formatCode="0&quot;P&quot;">
                  <c:v>2030</c:v>
                </c:pt>
                <c:pt idx="10" formatCode="0&quot;P&quot;">
                  <c:v>2031</c:v>
                </c:pt>
              </c:numCache>
            </c:numRef>
          </c:cat>
          <c:val>
            <c:numRef>
              <c:f>Report!$X$89:$AH$89</c:f>
              <c:numCache>
                <c:formatCode>0.0%</c:formatCode>
                <c:ptCount val="11"/>
                <c:pt idx="1">
                  <c:v>0.77116184404893473</c:v>
                </c:pt>
                <c:pt idx="2">
                  <c:v>1.0996724490412553</c:v>
                </c:pt>
                <c:pt idx="3">
                  <c:v>0.26554249548634501</c:v>
                </c:pt>
                <c:pt idx="4">
                  <c:v>0.17268298204901589</c:v>
                </c:pt>
                <c:pt idx="5">
                  <c:v>5.1470924929674533E-2</c:v>
                </c:pt>
                <c:pt idx="6">
                  <c:v>0.19557522842591801</c:v>
                </c:pt>
                <c:pt idx="7">
                  <c:v>0.19584698767925368</c:v>
                </c:pt>
                <c:pt idx="8">
                  <c:v>0.19610051023307129</c:v>
                </c:pt>
                <c:pt idx="9">
                  <c:v>0.19633701565520778</c:v>
                </c:pt>
                <c:pt idx="10">
                  <c:v>0.19655765108269918</c:v>
                </c:pt>
              </c:numCache>
            </c:numRef>
          </c:val>
          <c:smooth val="0"/>
          <c:extLst>
            <c:ext xmlns:c16="http://schemas.microsoft.com/office/drawing/2014/chart" uri="{C3380CC4-5D6E-409C-BE32-E72D297353CC}">
              <c16:uniqueId val="{00000001-AD43-4FCA-BEDF-0B3B29B6D05C}"/>
            </c:ext>
          </c:extLst>
        </c:ser>
        <c:dLbls>
          <c:showLegendKey val="0"/>
          <c:showVal val="0"/>
          <c:showCatName val="0"/>
          <c:showSerName val="0"/>
          <c:showPercent val="0"/>
          <c:showBubbleSize val="0"/>
        </c:dLbls>
        <c:marker val="1"/>
        <c:smooth val="0"/>
        <c:axId val="1982326080"/>
        <c:axId val="2021950384"/>
      </c:lineChart>
      <c:catAx>
        <c:axId val="1982295920"/>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944624"/>
        <c:crosses val="autoZero"/>
        <c:auto val="1"/>
        <c:lblAlgn val="ctr"/>
        <c:lblOffset val="100"/>
        <c:noMultiLvlLbl val="0"/>
      </c:catAx>
      <c:valAx>
        <c:axId val="2021944624"/>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295920"/>
        <c:crosses val="autoZero"/>
        <c:crossBetween val="between"/>
      </c:valAx>
      <c:valAx>
        <c:axId val="2021950384"/>
        <c:scaling>
          <c:orientation val="minMax"/>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2326080"/>
        <c:crosses val="max"/>
        <c:crossBetween val="between"/>
      </c:valAx>
      <c:catAx>
        <c:axId val="1982326080"/>
        <c:scaling>
          <c:orientation val="minMax"/>
        </c:scaling>
        <c:delete val="1"/>
        <c:axPos val="b"/>
        <c:numFmt formatCode="0&quot;A&quot;" sourceLinked="1"/>
        <c:majorTickMark val="none"/>
        <c:minorTickMark val="none"/>
        <c:tickLblPos val="nextTo"/>
        <c:crossAx val="20219503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Report!$W$92</c:f>
              <c:strCache>
                <c:ptCount val="1"/>
                <c:pt idx="0">
                  <c:v>Gross Margin</c:v>
                </c:pt>
              </c:strCache>
            </c:strRef>
          </c:tx>
          <c:spPr>
            <a:solidFill>
              <a:schemeClr val="accent1"/>
            </a:solidFill>
            <a:ln>
              <a:solidFill>
                <a:srgbClr val="001B94"/>
              </a:solidFill>
            </a:ln>
            <a:effectLst/>
          </c:spPr>
          <c:invertIfNegative val="0"/>
          <c:dPt>
            <c:idx val="0"/>
            <c:invertIfNegative val="0"/>
            <c:bubble3D val="0"/>
            <c:spPr>
              <a:solidFill>
                <a:srgbClr val="0033CC"/>
              </a:solidFill>
              <a:ln>
                <a:solidFill>
                  <a:srgbClr val="001B94"/>
                </a:solidFill>
              </a:ln>
              <a:effectLst/>
            </c:spPr>
            <c:extLst>
              <c:ext xmlns:c16="http://schemas.microsoft.com/office/drawing/2014/chart" uri="{C3380CC4-5D6E-409C-BE32-E72D297353CC}">
                <c16:uniqueId val="{00000001-CAEB-4216-BE52-14F39668CE24}"/>
              </c:ext>
            </c:extLst>
          </c:dPt>
          <c:dPt>
            <c:idx val="1"/>
            <c:invertIfNegative val="0"/>
            <c:bubble3D val="0"/>
            <c:spPr>
              <a:solidFill>
                <a:srgbClr val="0033CC"/>
              </a:solidFill>
              <a:ln>
                <a:solidFill>
                  <a:srgbClr val="001B94"/>
                </a:solidFill>
              </a:ln>
              <a:effectLst/>
            </c:spPr>
            <c:extLst>
              <c:ext xmlns:c16="http://schemas.microsoft.com/office/drawing/2014/chart" uri="{C3380CC4-5D6E-409C-BE32-E72D297353CC}">
                <c16:uniqueId val="{00000002-CAEB-4216-BE52-14F39668CE24}"/>
              </c:ext>
            </c:extLst>
          </c:dPt>
          <c:dPt>
            <c:idx val="2"/>
            <c:invertIfNegative val="0"/>
            <c:bubble3D val="0"/>
            <c:spPr>
              <a:solidFill>
                <a:srgbClr val="0033CC"/>
              </a:solidFill>
              <a:ln>
                <a:solidFill>
                  <a:srgbClr val="001B94"/>
                </a:solidFill>
              </a:ln>
              <a:effectLst/>
            </c:spPr>
            <c:extLst>
              <c:ext xmlns:c16="http://schemas.microsoft.com/office/drawing/2014/chart" uri="{C3380CC4-5D6E-409C-BE32-E72D297353CC}">
                <c16:uniqueId val="{00000003-CAEB-4216-BE52-14F39668CE24}"/>
              </c:ext>
            </c:extLst>
          </c:dPt>
          <c:dPt>
            <c:idx val="3"/>
            <c:invertIfNegative val="0"/>
            <c:bubble3D val="0"/>
            <c:spPr>
              <a:solidFill>
                <a:srgbClr val="0033CC"/>
              </a:solidFill>
              <a:ln>
                <a:solidFill>
                  <a:srgbClr val="001B94"/>
                </a:solidFill>
              </a:ln>
              <a:effectLst/>
            </c:spPr>
            <c:extLst>
              <c:ext xmlns:c16="http://schemas.microsoft.com/office/drawing/2014/chart" uri="{C3380CC4-5D6E-409C-BE32-E72D297353CC}">
                <c16:uniqueId val="{00000004-CAEB-4216-BE52-14F39668CE24}"/>
              </c:ext>
            </c:extLst>
          </c:dPt>
          <c:dPt>
            <c:idx val="4"/>
            <c:invertIfNegative val="0"/>
            <c:bubble3D val="0"/>
            <c:spPr>
              <a:solidFill>
                <a:srgbClr val="0033CC"/>
              </a:solidFill>
              <a:ln>
                <a:solidFill>
                  <a:srgbClr val="001B94"/>
                </a:solidFill>
              </a:ln>
              <a:effectLst/>
            </c:spPr>
            <c:extLst>
              <c:ext xmlns:c16="http://schemas.microsoft.com/office/drawing/2014/chart" uri="{C3380CC4-5D6E-409C-BE32-E72D297353CC}">
                <c16:uniqueId val="{00000005-CAEB-4216-BE52-14F39668CE24}"/>
              </c:ext>
            </c:extLst>
          </c:dPt>
          <c:dPt>
            <c:idx val="5"/>
            <c:invertIfNegative val="0"/>
            <c:bubble3D val="0"/>
            <c:spPr>
              <a:solidFill>
                <a:srgbClr val="0033CC"/>
              </a:solidFill>
              <a:ln>
                <a:solidFill>
                  <a:srgbClr val="001B94"/>
                </a:solidFill>
              </a:ln>
              <a:effectLst/>
            </c:spPr>
            <c:extLst>
              <c:ext xmlns:c16="http://schemas.microsoft.com/office/drawing/2014/chart" uri="{C3380CC4-5D6E-409C-BE32-E72D297353CC}">
                <c16:uniqueId val="{00000006-CAEB-4216-BE52-14F39668CE24}"/>
              </c:ext>
            </c:extLst>
          </c:dPt>
          <c:dPt>
            <c:idx val="6"/>
            <c:invertIfNegative val="0"/>
            <c:bubble3D val="0"/>
            <c:spPr>
              <a:solidFill>
                <a:srgbClr val="001B94"/>
              </a:solidFill>
              <a:ln>
                <a:solidFill>
                  <a:srgbClr val="001B94"/>
                </a:solidFill>
              </a:ln>
              <a:effectLst/>
            </c:spPr>
            <c:extLst>
              <c:ext xmlns:c16="http://schemas.microsoft.com/office/drawing/2014/chart" uri="{C3380CC4-5D6E-409C-BE32-E72D297353CC}">
                <c16:uniqueId val="{00000007-CAEB-4216-BE52-14F39668CE24}"/>
              </c:ext>
            </c:extLst>
          </c:dPt>
          <c:dPt>
            <c:idx val="7"/>
            <c:invertIfNegative val="0"/>
            <c:bubble3D val="0"/>
            <c:spPr>
              <a:solidFill>
                <a:srgbClr val="001B94"/>
              </a:solidFill>
              <a:ln>
                <a:solidFill>
                  <a:srgbClr val="001B94"/>
                </a:solidFill>
              </a:ln>
              <a:effectLst/>
            </c:spPr>
            <c:extLst>
              <c:ext xmlns:c16="http://schemas.microsoft.com/office/drawing/2014/chart" uri="{C3380CC4-5D6E-409C-BE32-E72D297353CC}">
                <c16:uniqueId val="{00000008-CAEB-4216-BE52-14F39668CE24}"/>
              </c:ext>
            </c:extLst>
          </c:dPt>
          <c:dPt>
            <c:idx val="8"/>
            <c:invertIfNegative val="0"/>
            <c:bubble3D val="0"/>
            <c:spPr>
              <a:solidFill>
                <a:srgbClr val="001B94"/>
              </a:solidFill>
              <a:ln>
                <a:solidFill>
                  <a:srgbClr val="001B94"/>
                </a:solidFill>
              </a:ln>
              <a:effectLst/>
            </c:spPr>
            <c:extLst>
              <c:ext xmlns:c16="http://schemas.microsoft.com/office/drawing/2014/chart" uri="{C3380CC4-5D6E-409C-BE32-E72D297353CC}">
                <c16:uniqueId val="{00000009-CAEB-4216-BE52-14F39668CE24}"/>
              </c:ext>
            </c:extLst>
          </c:dPt>
          <c:dPt>
            <c:idx val="9"/>
            <c:invertIfNegative val="0"/>
            <c:bubble3D val="0"/>
            <c:spPr>
              <a:solidFill>
                <a:srgbClr val="001B94"/>
              </a:solidFill>
              <a:ln>
                <a:solidFill>
                  <a:srgbClr val="001B94"/>
                </a:solidFill>
              </a:ln>
              <a:effectLst/>
            </c:spPr>
            <c:extLst>
              <c:ext xmlns:c16="http://schemas.microsoft.com/office/drawing/2014/chart" uri="{C3380CC4-5D6E-409C-BE32-E72D297353CC}">
                <c16:uniqueId val="{0000000A-CAEB-4216-BE52-14F39668CE24}"/>
              </c:ext>
            </c:extLst>
          </c:dPt>
          <c:dPt>
            <c:idx val="10"/>
            <c:invertIfNegative val="0"/>
            <c:bubble3D val="0"/>
            <c:spPr>
              <a:solidFill>
                <a:srgbClr val="001B94"/>
              </a:solidFill>
              <a:ln>
                <a:solidFill>
                  <a:srgbClr val="001B94"/>
                </a:solidFill>
              </a:ln>
              <a:effectLst/>
            </c:spPr>
            <c:extLst>
              <c:ext xmlns:c16="http://schemas.microsoft.com/office/drawing/2014/chart" uri="{C3380CC4-5D6E-409C-BE32-E72D297353CC}">
                <c16:uniqueId val="{0000000B-CAEB-4216-BE52-14F39668CE24}"/>
              </c:ext>
            </c:extLst>
          </c:dPt>
          <c:cat>
            <c:numRef>
              <c:f>Report!$X$91:$AH$91</c:f>
              <c:numCache>
                <c:formatCode>0"A"</c:formatCode>
                <c:ptCount val="11"/>
                <c:pt idx="0">
                  <c:v>2021</c:v>
                </c:pt>
                <c:pt idx="1">
                  <c:v>2022</c:v>
                </c:pt>
                <c:pt idx="2">
                  <c:v>2023</c:v>
                </c:pt>
                <c:pt idx="3">
                  <c:v>2024</c:v>
                </c:pt>
                <c:pt idx="4">
                  <c:v>2025</c:v>
                </c:pt>
                <c:pt idx="5">
                  <c:v>2026</c:v>
                </c:pt>
                <c:pt idx="6" formatCode="0&quot;P&quot;">
                  <c:v>2027</c:v>
                </c:pt>
                <c:pt idx="7" formatCode="0&quot;P&quot;">
                  <c:v>2028</c:v>
                </c:pt>
                <c:pt idx="8" formatCode="0&quot;P&quot;">
                  <c:v>2029</c:v>
                </c:pt>
                <c:pt idx="9" formatCode="0&quot;P&quot;">
                  <c:v>2030</c:v>
                </c:pt>
                <c:pt idx="10" formatCode="0&quot;P&quot;">
                  <c:v>2031</c:v>
                </c:pt>
              </c:numCache>
            </c:numRef>
          </c:cat>
          <c:val>
            <c:numRef>
              <c:f>Report!$X$92:$AH$92</c:f>
              <c:numCache>
                <c:formatCode>0%</c:formatCode>
                <c:ptCount val="11"/>
                <c:pt idx="0">
                  <c:v>0.35464980983401595</c:v>
                </c:pt>
                <c:pt idx="1">
                  <c:v>0.25028349352878898</c:v>
                </c:pt>
                <c:pt idx="2">
                  <c:v>0.28536409892486475</c:v>
                </c:pt>
                <c:pt idx="3">
                  <c:v>0.41084954059470891</c:v>
                </c:pt>
                <c:pt idx="4">
                  <c:v>0.40373055917547512</c:v>
                </c:pt>
                <c:pt idx="5">
                  <c:v>0.33611654164984539</c:v>
                </c:pt>
                <c:pt idx="6">
                  <c:v>0.33999999999999991</c:v>
                </c:pt>
                <c:pt idx="7">
                  <c:v>0.34</c:v>
                </c:pt>
                <c:pt idx="8">
                  <c:v>0.33999999999999997</c:v>
                </c:pt>
                <c:pt idx="9">
                  <c:v>0.33999999999999997</c:v>
                </c:pt>
                <c:pt idx="10">
                  <c:v>0.33999999999999997</c:v>
                </c:pt>
              </c:numCache>
            </c:numRef>
          </c:val>
          <c:extLst>
            <c:ext xmlns:c16="http://schemas.microsoft.com/office/drawing/2014/chart" uri="{C3380CC4-5D6E-409C-BE32-E72D297353CC}">
              <c16:uniqueId val="{00000000-CAEB-4216-BE52-14F39668CE24}"/>
            </c:ext>
          </c:extLst>
        </c:ser>
        <c:dLbls>
          <c:showLegendKey val="0"/>
          <c:showVal val="0"/>
          <c:showCatName val="0"/>
          <c:showSerName val="0"/>
          <c:showPercent val="0"/>
          <c:showBubbleSize val="0"/>
        </c:dLbls>
        <c:gapWidth val="150"/>
        <c:axId val="441260096"/>
        <c:axId val="1936731088"/>
      </c:barChart>
      <c:catAx>
        <c:axId val="441260096"/>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731088"/>
        <c:crosses val="autoZero"/>
        <c:auto val="1"/>
        <c:lblAlgn val="ctr"/>
        <c:lblOffset val="100"/>
        <c:noMultiLvlLbl val="0"/>
      </c:catAx>
      <c:valAx>
        <c:axId val="19367310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26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Gross</a:t>
            </a:r>
            <a:r>
              <a:rPr lang="en-US" baseline="0"/>
              <a:t> Margin &amp; Cost Structure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Report!$W$92</c:f>
              <c:strCache>
                <c:ptCount val="1"/>
                <c:pt idx="0">
                  <c:v>Gross Margin</c:v>
                </c:pt>
              </c:strCache>
            </c:strRef>
          </c:tx>
          <c:spPr>
            <a:ln w="28575" cap="rnd">
              <a:solidFill>
                <a:srgbClr val="001B94"/>
              </a:solidFill>
              <a:round/>
            </a:ln>
            <a:effectLst/>
          </c:spPr>
          <c:marker>
            <c:symbol val="none"/>
          </c:marker>
          <c:cat>
            <c:numRef>
              <c:f>Report!$X$91:$AH$91</c:f>
              <c:numCache>
                <c:formatCode>0"A"</c:formatCode>
                <c:ptCount val="11"/>
                <c:pt idx="0">
                  <c:v>2021</c:v>
                </c:pt>
                <c:pt idx="1">
                  <c:v>2022</c:v>
                </c:pt>
                <c:pt idx="2">
                  <c:v>2023</c:v>
                </c:pt>
                <c:pt idx="3">
                  <c:v>2024</c:v>
                </c:pt>
                <c:pt idx="4">
                  <c:v>2025</c:v>
                </c:pt>
                <c:pt idx="5">
                  <c:v>2026</c:v>
                </c:pt>
                <c:pt idx="6" formatCode="0&quot;P&quot;">
                  <c:v>2027</c:v>
                </c:pt>
                <c:pt idx="7" formatCode="0&quot;P&quot;">
                  <c:v>2028</c:v>
                </c:pt>
                <c:pt idx="8" formatCode="0&quot;P&quot;">
                  <c:v>2029</c:v>
                </c:pt>
                <c:pt idx="9" formatCode="0&quot;P&quot;">
                  <c:v>2030</c:v>
                </c:pt>
                <c:pt idx="10" formatCode="0&quot;P&quot;">
                  <c:v>2031</c:v>
                </c:pt>
              </c:numCache>
            </c:numRef>
          </c:cat>
          <c:val>
            <c:numRef>
              <c:f>Report!$X$92:$AH$92</c:f>
              <c:numCache>
                <c:formatCode>0%</c:formatCode>
                <c:ptCount val="11"/>
                <c:pt idx="0">
                  <c:v>0.35464980983401595</c:v>
                </c:pt>
                <c:pt idx="1">
                  <c:v>0.25028349352878898</c:v>
                </c:pt>
                <c:pt idx="2">
                  <c:v>0.28536409892486475</c:v>
                </c:pt>
                <c:pt idx="3">
                  <c:v>0.41084954059470891</c:v>
                </c:pt>
                <c:pt idx="4">
                  <c:v>0.40373055917547512</c:v>
                </c:pt>
                <c:pt idx="5">
                  <c:v>0.33611654164984539</c:v>
                </c:pt>
                <c:pt idx="6">
                  <c:v>0.33999999999999991</c:v>
                </c:pt>
                <c:pt idx="7">
                  <c:v>0.34</c:v>
                </c:pt>
                <c:pt idx="8">
                  <c:v>0.33999999999999997</c:v>
                </c:pt>
                <c:pt idx="9">
                  <c:v>0.33999999999999997</c:v>
                </c:pt>
                <c:pt idx="10">
                  <c:v>0.33999999999999997</c:v>
                </c:pt>
              </c:numCache>
            </c:numRef>
          </c:val>
          <c:smooth val="0"/>
          <c:extLst>
            <c:ext xmlns:c16="http://schemas.microsoft.com/office/drawing/2014/chart" uri="{C3380CC4-5D6E-409C-BE32-E72D297353CC}">
              <c16:uniqueId val="{00000000-DA22-4471-9BB8-17B413420291}"/>
            </c:ext>
          </c:extLst>
        </c:ser>
        <c:ser>
          <c:idx val="1"/>
          <c:order val="1"/>
          <c:tx>
            <c:strRef>
              <c:f>Report!$W$93</c:f>
              <c:strCache>
                <c:ptCount val="1"/>
                <c:pt idx="0">
                  <c:v>COGS/Revenue</c:v>
                </c:pt>
              </c:strCache>
            </c:strRef>
          </c:tx>
          <c:spPr>
            <a:ln w="28575" cap="rnd">
              <a:solidFill>
                <a:srgbClr val="00B0F0"/>
              </a:solidFill>
              <a:round/>
            </a:ln>
            <a:effectLst/>
          </c:spPr>
          <c:marker>
            <c:symbol val="none"/>
          </c:marker>
          <c:cat>
            <c:numRef>
              <c:f>Report!$X$91:$AH$91</c:f>
              <c:numCache>
                <c:formatCode>0"A"</c:formatCode>
                <c:ptCount val="11"/>
                <c:pt idx="0">
                  <c:v>2021</c:v>
                </c:pt>
                <c:pt idx="1">
                  <c:v>2022</c:v>
                </c:pt>
                <c:pt idx="2">
                  <c:v>2023</c:v>
                </c:pt>
                <c:pt idx="3">
                  <c:v>2024</c:v>
                </c:pt>
                <c:pt idx="4">
                  <c:v>2025</c:v>
                </c:pt>
                <c:pt idx="5">
                  <c:v>2026</c:v>
                </c:pt>
                <c:pt idx="6" formatCode="0&quot;P&quot;">
                  <c:v>2027</c:v>
                </c:pt>
                <c:pt idx="7" formatCode="0&quot;P&quot;">
                  <c:v>2028</c:v>
                </c:pt>
                <c:pt idx="8" formatCode="0&quot;P&quot;">
                  <c:v>2029</c:v>
                </c:pt>
                <c:pt idx="9" formatCode="0&quot;P&quot;">
                  <c:v>2030</c:v>
                </c:pt>
                <c:pt idx="10" formatCode="0&quot;P&quot;">
                  <c:v>2031</c:v>
                </c:pt>
              </c:numCache>
            </c:numRef>
          </c:cat>
          <c:val>
            <c:numRef>
              <c:f>Report!$X$93:$AH$93</c:f>
              <c:numCache>
                <c:formatCode>0%</c:formatCode>
                <c:ptCount val="11"/>
                <c:pt idx="0">
                  <c:v>0.64535019016598405</c:v>
                </c:pt>
                <c:pt idx="1">
                  <c:v>0.74971650647121102</c:v>
                </c:pt>
                <c:pt idx="2">
                  <c:v>0.71463590107513519</c:v>
                </c:pt>
                <c:pt idx="3">
                  <c:v>0.58915045940529109</c:v>
                </c:pt>
                <c:pt idx="4">
                  <c:v>0.59626944082452482</c:v>
                </c:pt>
                <c:pt idx="5">
                  <c:v>0.66388345835015461</c:v>
                </c:pt>
                <c:pt idx="6">
                  <c:v>0.66</c:v>
                </c:pt>
                <c:pt idx="7">
                  <c:v>0.66</c:v>
                </c:pt>
                <c:pt idx="8">
                  <c:v>0.66</c:v>
                </c:pt>
                <c:pt idx="9">
                  <c:v>0.66</c:v>
                </c:pt>
                <c:pt idx="10">
                  <c:v>0.66</c:v>
                </c:pt>
              </c:numCache>
            </c:numRef>
          </c:val>
          <c:smooth val="0"/>
          <c:extLst>
            <c:ext xmlns:c16="http://schemas.microsoft.com/office/drawing/2014/chart" uri="{C3380CC4-5D6E-409C-BE32-E72D297353CC}">
              <c16:uniqueId val="{00000001-DA22-4471-9BB8-17B413420291}"/>
            </c:ext>
          </c:extLst>
        </c:ser>
        <c:dLbls>
          <c:showLegendKey val="0"/>
          <c:showVal val="0"/>
          <c:showCatName val="0"/>
          <c:showSerName val="0"/>
          <c:showPercent val="0"/>
          <c:showBubbleSize val="0"/>
        </c:dLbls>
        <c:smooth val="0"/>
        <c:axId val="501384688"/>
        <c:axId val="2021856784"/>
      </c:lineChart>
      <c:catAx>
        <c:axId val="50138468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856784"/>
        <c:crosses val="autoZero"/>
        <c:auto val="1"/>
        <c:lblAlgn val="ctr"/>
        <c:lblOffset val="100"/>
        <c:noMultiLvlLbl val="0"/>
      </c:catAx>
      <c:valAx>
        <c:axId val="202185678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384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EBITDA &amp; EBITDA Margin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Report!$W$96</c:f>
              <c:strCache>
                <c:ptCount val="1"/>
                <c:pt idx="0">
                  <c:v>EBITDA</c:v>
                </c:pt>
              </c:strCache>
            </c:strRef>
          </c:tx>
          <c:spPr>
            <a:solidFill>
              <a:srgbClr val="001B94"/>
            </a:solidFill>
            <a:ln>
              <a:noFill/>
            </a:ln>
            <a:effectLst/>
          </c:spPr>
          <c:invertIfNegative val="0"/>
          <c:cat>
            <c:numRef>
              <c:f>Report!$X$95:$AH$95</c:f>
              <c:numCache>
                <c:formatCode>0"A"</c:formatCode>
                <c:ptCount val="11"/>
                <c:pt idx="0">
                  <c:v>2021</c:v>
                </c:pt>
                <c:pt idx="1">
                  <c:v>2022</c:v>
                </c:pt>
                <c:pt idx="2">
                  <c:v>2023</c:v>
                </c:pt>
                <c:pt idx="3">
                  <c:v>2024</c:v>
                </c:pt>
                <c:pt idx="4">
                  <c:v>2025</c:v>
                </c:pt>
                <c:pt idx="5">
                  <c:v>2026</c:v>
                </c:pt>
                <c:pt idx="6" formatCode="0&quot;P&quot;">
                  <c:v>2027</c:v>
                </c:pt>
                <c:pt idx="7" formatCode="0&quot;P&quot;">
                  <c:v>2028</c:v>
                </c:pt>
                <c:pt idx="8" formatCode="0&quot;P&quot;">
                  <c:v>2029</c:v>
                </c:pt>
                <c:pt idx="9" formatCode="0&quot;P&quot;">
                  <c:v>2030</c:v>
                </c:pt>
                <c:pt idx="10" formatCode="0&quot;P&quot;">
                  <c:v>2031</c:v>
                </c:pt>
              </c:numCache>
            </c:numRef>
          </c:cat>
          <c:val>
            <c:numRef>
              <c:f>Report!$X$96:$AH$96</c:f>
              <c:numCache>
                <c:formatCode>0</c:formatCode>
                <c:ptCount val="11"/>
                <c:pt idx="0" formatCode="#,##0_);\(#,##0\)">
                  <c:v>-136.05000000001019</c:v>
                </c:pt>
                <c:pt idx="1">
                  <c:v>5473.3299999999872</c:v>
                </c:pt>
                <c:pt idx="2">
                  <c:v>64953.5</c:v>
                </c:pt>
                <c:pt idx="3">
                  <c:v>163175</c:v>
                </c:pt>
                <c:pt idx="4">
                  <c:v>180583</c:v>
                </c:pt>
                <c:pt idx="5">
                  <c:v>119834</c:v>
                </c:pt>
                <c:pt idx="6">
                  <c:v>152367.51449999993</c:v>
                </c:pt>
                <c:pt idx="7">
                  <c:v>182208.23323500002</c:v>
                </c:pt>
                <c:pt idx="8">
                  <c:v>174351.48859283997</c:v>
                </c:pt>
                <c:pt idx="9">
                  <c:v>173819.28294850094</c:v>
                </c:pt>
                <c:pt idx="10">
                  <c:v>207984.79291773733</c:v>
                </c:pt>
              </c:numCache>
            </c:numRef>
          </c:val>
          <c:extLst>
            <c:ext xmlns:c16="http://schemas.microsoft.com/office/drawing/2014/chart" uri="{C3380CC4-5D6E-409C-BE32-E72D297353CC}">
              <c16:uniqueId val="{00000000-0E31-476C-9B1C-2DEF027D9F9B}"/>
            </c:ext>
          </c:extLst>
        </c:ser>
        <c:dLbls>
          <c:showLegendKey val="0"/>
          <c:showVal val="0"/>
          <c:showCatName val="0"/>
          <c:showSerName val="0"/>
          <c:showPercent val="0"/>
          <c:showBubbleSize val="0"/>
        </c:dLbls>
        <c:gapWidth val="219"/>
        <c:overlap val="-27"/>
        <c:axId val="2061663919"/>
        <c:axId val="1488767663"/>
      </c:barChart>
      <c:lineChart>
        <c:grouping val="standard"/>
        <c:varyColors val="0"/>
        <c:ser>
          <c:idx val="1"/>
          <c:order val="1"/>
          <c:tx>
            <c:strRef>
              <c:f>Report!$W$97</c:f>
              <c:strCache>
                <c:ptCount val="1"/>
                <c:pt idx="0">
                  <c:v>EBITDA Margin</c:v>
                </c:pt>
              </c:strCache>
            </c:strRef>
          </c:tx>
          <c:spPr>
            <a:ln w="28575" cap="rnd">
              <a:solidFill>
                <a:srgbClr val="00B0F0"/>
              </a:solidFill>
              <a:round/>
            </a:ln>
            <a:effectLst/>
          </c:spPr>
          <c:marker>
            <c:symbol val="none"/>
          </c:marker>
          <c:cat>
            <c:numRef>
              <c:f>Report!$X$95:$AH$95</c:f>
              <c:numCache>
                <c:formatCode>0"A"</c:formatCode>
                <c:ptCount val="11"/>
                <c:pt idx="0">
                  <c:v>2021</c:v>
                </c:pt>
                <c:pt idx="1">
                  <c:v>2022</c:v>
                </c:pt>
                <c:pt idx="2">
                  <c:v>2023</c:v>
                </c:pt>
                <c:pt idx="3">
                  <c:v>2024</c:v>
                </c:pt>
                <c:pt idx="4">
                  <c:v>2025</c:v>
                </c:pt>
                <c:pt idx="5">
                  <c:v>2026</c:v>
                </c:pt>
                <c:pt idx="6" formatCode="0&quot;P&quot;">
                  <c:v>2027</c:v>
                </c:pt>
                <c:pt idx="7" formatCode="0&quot;P&quot;">
                  <c:v>2028</c:v>
                </c:pt>
                <c:pt idx="8" formatCode="0&quot;P&quot;">
                  <c:v>2029</c:v>
                </c:pt>
                <c:pt idx="9" formatCode="0&quot;P&quot;">
                  <c:v>2030</c:v>
                </c:pt>
                <c:pt idx="10" formatCode="0&quot;P&quot;">
                  <c:v>2031</c:v>
                </c:pt>
              </c:numCache>
            </c:numRef>
          </c:cat>
          <c:val>
            <c:numRef>
              <c:f>Report!$X$97:$AH$97</c:f>
              <c:numCache>
                <c:formatCode>0%</c:formatCode>
                <c:ptCount val="11"/>
                <c:pt idx="0" formatCode="0%;\(0%\);\-">
                  <c:v>-9.2926322642794686E-4</c:v>
                </c:pt>
                <c:pt idx="1">
                  <c:v>2.1107344137754842E-2</c:v>
                </c:pt>
                <c:pt idx="2">
                  <c:v>0.11929794581843559</c:v>
                </c:pt>
                <c:pt idx="3">
                  <c:v>0.23681395790973858</c:v>
                </c:pt>
                <c:pt idx="4">
                  <c:v>0.22348579073275834</c:v>
                </c:pt>
                <c:pt idx="5">
                  <c:v>0.14104439754760664</c:v>
                </c:pt>
                <c:pt idx="6">
                  <c:v>0.14999999999999994</c:v>
                </c:pt>
                <c:pt idx="7">
                  <c:v>0.15</c:v>
                </c:pt>
                <c:pt idx="8">
                  <c:v>0.12000000000000001</c:v>
                </c:pt>
                <c:pt idx="9">
                  <c:v>9.9999999999999992E-2</c:v>
                </c:pt>
                <c:pt idx="10">
                  <c:v>9.9999999999999978E-2</c:v>
                </c:pt>
              </c:numCache>
            </c:numRef>
          </c:val>
          <c:smooth val="0"/>
          <c:extLst>
            <c:ext xmlns:c16="http://schemas.microsoft.com/office/drawing/2014/chart" uri="{C3380CC4-5D6E-409C-BE32-E72D297353CC}">
              <c16:uniqueId val="{00000001-0E31-476C-9B1C-2DEF027D9F9B}"/>
            </c:ext>
          </c:extLst>
        </c:ser>
        <c:dLbls>
          <c:showLegendKey val="0"/>
          <c:showVal val="0"/>
          <c:showCatName val="0"/>
          <c:showSerName val="0"/>
          <c:showPercent val="0"/>
          <c:showBubbleSize val="0"/>
        </c:dLbls>
        <c:marker val="1"/>
        <c:smooth val="0"/>
        <c:axId val="2061671343"/>
        <c:axId val="1488777263"/>
      </c:lineChart>
      <c:catAx>
        <c:axId val="2061663919"/>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767663"/>
        <c:crosses val="autoZero"/>
        <c:auto val="1"/>
        <c:lblAlgn val="ctr"/>
        <c:lblOffset val="100"/>
        <c:noMultiLvlLbl val="0"/>
      </c:catAx>
      <c:valAx>
        <c:axId val="1488767663"/>
        <c:scaling>
          <c:orientation val="minMax"/>
        </c:scaling>
        <c:delete val="0"/>
        <c:axPos val="l"/>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663919"/>
        <c:crosses val="autoZero"/>
        <c:crossBetween val="between"/>
      </c:valAx>
      <c:valAx>
        <c:axId val="1488777263"/>
        <c:scaling>
          <c:orientation val="minMax"/>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671343"/>
        <c:crosses val="max"/>
        <c:crossBetween val="between"/>
      </c:valAx>
      <c:catAx>
        <c:axId val="2061671343"/>
        <c:scaling>
          <c:orientation val="minMax"/>
        </c:scaling>
        <c:delete val="1"/>
        <c:axPos val="b"/>
        <c:numFmt formatCode="0&quot;A&quot;" sourceLinked="1"/>
        <c:majorTickMark val="none"/>
        <c:minorTickMark val="none"/>
        <c:tickLblPos val="nextTo"/>
        <c:crossAx val="148877726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Net Income &amp; Net Margin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Report!$W$101</c:f>
              <c:strCache>
                <c:ptCount val="1"/>
                <c:pt idx="0">
                  <c:v>Net Income</c:v>
                </c:pt>
              </c:strCache>
            </c:strRef>
          </c:tx>
          <c:spPr>
            <a:solidFill>
              <a:srgbClr val="001B94"/>
            </a:solidFill>
            <a:ln>
              <a:noFill/>
            </a:ln>
            <a:effectLst/>
          </c:spPr>
          <c:invertIfNegative val="0"/>
          <c:cat>
            <c:numRef>
              <c:f>Report!$X$100:$AH$100</c:f>
              <c:numCache>
                <c:formatCode>0"A"</c:formatCode>
                <c:ptCount val="11"/>
                <c:pt idx="0">
                  <c:v>2021</c:v>
                </c:pt>
                <c:pt idx="1">
                  <c:v>2022</c:v>
                </c:pt>
                <c:pt idx="2">
                  <c:v>2023</c:v>
                </c:pt>
                <c:pt idx="3">
                  <c:v>2024</c:v>
                </c:pt>
                <c:pt idx="4">
                  <c:v>2025</c:v>
                </c:pt>
                <c:pt idx="5">
                  <c:v>2026</c:v>
                </c:pt>
                <c:pt idx="6" formatCode="0&quot;P&quot;">
                  <c:v>2027</c:v>
                </c:pt>
                <c:pt idx="7" formatCode="0&quot;P&quot;">
                  <c:v>2028</c:v>
                </c:pt>
                <c:pt idx="8" formatCode="0&quot;P&quot;">
                  <c:v>2029</c:v>
                </c:pt>
                <c:pt idx="9" formatCode="0&quot;P&quot;">
                  <c:v>2030</c:v>
                </c:pt>
                <c:pt idx="10" formatCode="0&quot;P&quot;">
                  <c:v>2031</c:v>
                </c:pt>
              </c:numCache>
            </c:numRef>
          </c:cat>
          <c:val>
            <c:numRef>
              <c:f>Report!$X$101:$AH$101</c:f>
              <c:numCache>
                <c:formatCode>_(* #,##0_);_(* \(#,##0\);_(* "-"??_);_(@_)</c:formatCode>
                <c:ptCount val="11"/>
                <c:pt idx="0">
                  <c:v>-58064.270000000011</c:v>
                </c:pt>
                <c:pt idx="1">
                  <c:v>-61618.450000000012</c:v>
                </c:pt>
                <c:pt idx="2">
                  <c:v>-3057.890000000004</c:v>
                </c:pt>
                <c:pt idx="3">
                  <c:v>81725.459999999992</c:v>
                </c:pt>
                <c:pt idx="4">
                  <c:v>72584</c:v>
                </c:pt>
                <c:pt idx="5">
                  <c:v>-23936</c:v>
                </c:pt>
                <c:pt idx="6">
                  <c:v>9439.9535502280632</c:v>
                </c:pt>
                <c:pt idx="7">
                  <c:v>33891.114279007968</c:v>
                </c:pt>
                <c:pt idx="8">
                  <c:v>32220.773603973164</c:v>
                </c:pt>
                <c:pt idx="9">
                  <c:v>32854.962082532991</c:v>
                </c:pt>
                <c:pt idx="10">
                  <c:v>46691.848877621225</c:v>
                </c:pt>
              </c:numCache>
            </c:numRef>
          </c:val>
          <c:extLst>
            <c:ext xmlns:c16="http://schemas.microsoft.com/office/drawing/2014/chart" uri="{C3380CC4-5D6E-409C-BE32-E72D297353CC}">
              <c16:uniqueId val="{00000000-30F2-4F60-AD22-8C2A4E88E295}"/>
            </c:ext>
          </c:extLst>
        </c:ser>
        <c:dLbls>
          <c:showLegendKey val="0"/>
          <c:showVal val="0"/>
          <c:showCatName val="0"/>
          <c:showSerName val="0"/>
          <c:showPercent val="0"/>
          <c:showBubbleSize val="0"/>
        </c:dLbls>
        <c:gapWidth val="219"/>
        <c:overlap val="-27"/>
        <c:axId val="1988215807"/>
        <c:axId val="1477381871"/>
      </c:barChart>
      <c:lineChart>
        <c:grouping val="standard"/>
        <c:varyColors val="0"/>
        <c:ser>
          <c:idx val="1"/>
          <c:order val="1"/>
          <c:tx>
            <c:strRef>
              <c:f>Report!$W$102</c:f>
              <c:strCache>
                <c:ptCount val="1"/>
                <c:pt idx="0">
                  <c:v>Net Income Margin %</c:v>
                </c:pt>
              </c:strCache>
            </c:strRef>
          </c:tx>
          <c:spPr>
            <a:ln w="28575" cap="rnd">
              <a:solidFill>
                <a:srgbClr val="00B0F0"/>
              </a:solidFill>
              <a:round/>
            </a:ln>
            <a:effectLst/>
          </c:spPr>
          <c:marker>
            <c:symbol val="none"/>
          </c:marker>
          <c:cat>
            <c:numRef>
              <c:f>Report!$X$100:$AH$100</c:f>
              <c:numCache>
                <c:formatCode>0"A"</c:formatCode>
                <c:ptCount val="11"/>
                <c:pt idx="0">
                  <c:v>2021</c:v>
                </c:pt>
                <c:pt idx="1">
                  <c:v>2022</c:v>
                </c:pt>
                <c:pt idx="2">
                  <c:v>2023</c:v>
                </c:pt>
                <c:pt idx="3">
                  <c:v>2024</c:v>
                </c:pt>
                <c:pt idx="4">
                  <c:v>2025</c:v>
                </c:pt>
                <c:pt idx="5">
                  <c:v>2026</c:v>
                </c:pt>
                <c:pt idx="6" formatCode="0&quot;P&quot;">
                  <c:v>2027</c:v>
                </c:pt>
                <c:pt idx="7" formatCode="0&quot;P&quot;">
                  <c:v>2028</c:v>
                </c:pt>
                <c:pt idx="8" formatCode="0&quot;P&quot;">
                  <c:v>2029</c:v>
                </c:pt>
                <c:pt idx="9" formatCode="0&quot;P&quot;">
                  <c:v>2030</c:v>
                </c:pt>
                <c:pt idx="10" formatCode="0&quot;P&quot;">
                  <c:v>2031</c:v>
                </c:pt>
              </c:numCache>
            </c:numRef>
          </c:cat>
          <c:val>
            <c:numRef>
              <c:f>Report!$X$102:$AH$102</c:f>
              <c:numCache>
                <c:formatCode>0%;\(0%\);\-</c:formatCode>
                <c:ptCount val="11"/>
                <c:pt idx="0">
                  <c:v>-0.39659677236589058</c:v>
                </c:pt>
                <c:pt idx="1">
                  <c:v>-0.23762532669965872</c:v>
                </c:pt>
                <c:pt idx="2">
                  <c:v>-5.6163254564994417E-3</c:v>
                </c:pt>
                <c:pt idx="3" formatCode="0%">
                  <c:v>0.11860719867990821</c:v>
                </c:pt>
                <c:pt idx="4" formatCode="0%">
                  <c:v>8.9828459127085786E-2</c:v>
                </c:pt>
                <c:pt idx="5">
                  <c:v>-2.817262796618249E-2</c:v>
                </c:pt>
                <c:pt idx="6" formatCode="0%">
                  <c:v>9.2932738135215135E-3</c:v>
                </c:pt>
                <c:pt idx="7" formatCode="0%">
                  <c:v>2.7900315214047549E-2</c:v>
                </c:pt>
                <c:pt idx="8" formatCode="0%">
                  <c:v>2.217642570007609E-2</c:v>
                </c:pt>
                <c:pt idx="9" formatCode="0%">
                  <c:v>1.8901793589993828E-2</c:v>
                </c:pt>
                <c:pt idx="10" formatCode="0%">
                  <c:v>2.244964558350614E-2</c:v>
                </c:pt>
              </c:numCache>
            </c:numRef>
          </c:val>
          <c:smooth val="0"/>
          <c:extLst>
            <c:ext xmlns:c16="http://schemas.microsoft.com/office/drawing/2014/chart" uri="{C3380CC4-5D6E-409C-BE32-E72D297353CC}">
              <c16:uniqueId val="{00000001-30F2-4F60-AD22-8C2A4E88E295}"/>
            </c:ext>
          </c:extLst>
        </c:ser>
        <c:dLbls>
          <c:showLegendKey val="0"/>
          <c:showVal val="0"/>
          <c:showCatName val="0"/>
          <c:showSerName val="0"/>
          <c:showPercent val="0"/>
          <c:showBubbleSize val="0"/>
        </c:dLbls>
        <c:marker val="1"/>
        <c:smooth val="0"/>
        <c:axId val="1988225551"/>
        <c:axId val="1477369871"/>
      </c:lineChart>
      <c:catAx>
        <c:axId val="1988215807"/>
        <c:scaling>
          <c:orientation val="minMax"/>
        </c:scaling>
        <c:delete val="0"/>
        <c:axPos val="b"/>
        <c:numFmt formatCode="0&quot;A&quot;" sourceLinked="1"/>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381871"/>
        <c:crosses val="autoZero"/>
        <c:auto val="1"/>
        <c:lblAlgn val="ctr"/>
        <c:lblOffset val="100"/>
        <c:noMultiLvlLbl val="0"/>
      </c:catAx>
      <c:valAx>
        <c:axId val="1477381871"/>
        <c:scaling>
          <c:orientation val="minMax"/>
          <c:min val="-65000"/>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215807"/>
        <c:crosses val="autoZero"/>
        <c:crossBetween val="between"/>
      </c:valAx>
      <c:valAx>
        <c:axId val="1477369871"/>
        <c:scaling>
          <c:orientation val="minMax"/>
          <c:min val="-0.4"/>
        </c:scaling>
        <c:delete val="0"/>
        <c:axPos val="r"/>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8225551"/>
        <c:crosses val="max"/>
        <c:crossBetween val="between"/>
        <c:majorUnit val="0.1"/>
        <c:minorUnit val="2.0000000000000004E-2"/>
      </c:valAx>
      <c:catAx>
        <c:axId val="1988225551"/>
        <c:scaling>
          <c:orientation val="minMax"/>
        </c:scaling>
        <c:delete val="1"/>
        <c:axPos val="b"/>
        <c:numFmt formatCode="0&quot;A&quot;" sourceLinked="1"/>
        <c:majorTickMark val="none"/>
        <c:minorTickMark val="none"/>
        <c:tickLblPos val="nextTo"/>
        <c:crossAx val="147736987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Trade Receivables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Report!$W$105</c:f>
              <c:strCache>
                <c:ptCount val="1"/>
                <c:pt idx="0">
                  <c:v>Trade Receivables</c:v>
                </c:pt>
              </c:strCache>
            </c:strRef>
          </c:tx>
          <c:spPr>
            <a:solidFill>
              <a:srgbClr val="001B94"/>
            </a:solidFill>
            <a:ln>
              <a:noFill/>
            </a:ln>
            <a:effectLst/>
          </c:spPr>
          <c:invertIfNegative val="0"/>
          <c:cat>
            <c:numRef>
              <c:f>Report!$X$104:$AH$104</c:f>
              <c:numCache>
                <c:formatCode>0"A"</c:formatCode>
                <c:ptCount val="11"/>
                <c:pt idx="0">
                  <c:v>2021</c:v>
                </c:pt>
                <c:pt idx="1">
                  <c:v>2022</c:v>
                </c:pt>
                <c:pt idx="2">
                  <c:v>2023</c:v>
                </c:pt>
                <c:pt idx="3">
                  <c:v>2024</c:v>
                </c:pt>
                <c:pt idx="4">
                  <c:v>2025</c:v>
                </c:pt>
                <c:pt idx="5">
                  <c:v>2026</c:v>
                </c:pt>
                <c:pt idx="6" formatCode="0&quot;P&quot;">
                  <c:v>2027</c:v>
                </c:pt>
                <c:pt idx="7" formatCode="0&quot;P&quot;">
                  <c:v>2028</c:v>
                </c:pt>
                <c:pt idx="8" formatCode="0&quot;P&quot;">
                  <c:v>2029</c:v>
                </c:pt>
                <c:pt idx="9" formatCode="0&quot;P&quot;">
                  <c:v>2030</c:v>
                </c:pt>
                <c:pt idx="10" formatCode="0&quot;P&quot;">
                  <c:v>2031</c:v>
                </c:pt>
              </c:numCache>
            </c:numRef>
          </c:cat>
          <c:val>
            <c:numRef>
              <c:f>Report!$X$105:$AH$105</c:f>
              <c:numCache>
                <c:formatCode>_(* #,##0.00_);_(* \(#,##0.00\);_(* "-"??_);_(@_)</c:formatCode>
                <c:ptCount val="11"/>
                <c:pt idx="0" formatCode="General">
                  <c:v>2189.7800000000002</c:v>
                </c:pt>
                <c:pt idx="1">
                  <c:v>3329.23</c:v>
                </c:pt>
                <c:pt idx="2">
                  <c:v>5199.04</c:v>
                </c:pt>
                <c:pt idx="3">
                  <c:v>6425</c:v>
                </c:pt>
                <c:pt idx="4">
                  <c:v>7397</c:v>
                </c:pt>
                <c:pt idx="5">
                  <c:v>5996</c:v>
                </c:pt>
                <c:pt idx="6">
                  <c:v>13914.841506849316</c:v>
                </c:pt>
                <c:pt idx="7">
                  <c:v>16640.0213</c:v>
                </c:pt>
                <c:pt idx="8">
                  <c:v>19903.137967219176</c:v>
                </c:pt>
                <c:pt idx="9">
                  <c:v>19048.688542301476</c:v>
                </c:pt>
                <c:pt idx="10">
                  <c:v>22792.854018382179</c:v>
                </c:pt>
              </c:numCache>
            </c:numRef>
          </c:val>
          <c:extLst>
            <c:ext xmlns:c16="http://schemas.microsoft.com/office/drawing/2014/chart" uri="{C3380CC4-5D6E-409C-BE32-E72D297353CC}">
              <c16:uniqueId val="{00000000-2125-4691-A227-15A657E2F506}"/>
            </c:ext>
          </c:extLst>
        </c:ser>
        <c:dLbls>
          <c:showLegendKey val="0"/>
          <c:showVal val="0"/>
          <c:showCatName val="0"/>
          <c:showSerName val="0"/>
          <c:showPercent val="0"/>
          <c:showBubbleSize val="0"/>
        </c:dLbls>
        <c:gapWidth val="150"/>
        <c:axId val="2061735375"/>
        <c:axId val="1477340111"/>
      </c:barChart>
      <c:lineChart>
        <c:grouping val="standard"/>
        <c:varyColors val="0"/>
        <c:ser>
          <c:idx val="1"/>
          <c:order val="1"/>
          <c:tx>
            <c:strRef>
              <c:f>Report!$W$106</c:f>
              <c:strCache>
                <c:ptCount val="1"/>
                <c:pt idx="0">
                  <c:v>Trade Receivables Days</c:v>
                </c:pt>
              </c:strCache>
            </c:strRef>
          </c:tx>
          <c:spPr>
            <a:ln w="28575" cap="rnd">
              <a:solidFill>
                <a:srgbClr val="00B0F0"/>
              </a:solidFill>
              <a:round/>
            </a:ln>
            <a:effectLst/>
          </c:spPr>
          <c:marker>
            <c:symbol val="none"/>
          </c:marker>
          <c:cat>
            <c:numRef>
              <c:f>Report!$X$104:$AH$104</c:f>
              <c:numCache>
                <c:formatCode>0"A"</c:formatCode>
                <c:ptCount val="11"/>
                <c:pt idx="0">
                  <c:v>2021</c:v>
                </c:pt>
                <c:pt idx="1">
                  <c:v>2022</c:v>
                </c:pt>
                <c:pt idx="2">
                  <c:v>2023</c:v>
                </c:pt>
                <c:pt idx="3">
                  <c:v>2024</c:v>
                </c:pt>
                <c:pt idx="4">
                  <c:v>2025</c:v>
                </c:pt>
                <c:pt idx="5">
                  <c:v>2026</c:v>
                </c:pt>
                <c:pt idx="6" formatCode="0&quot;P&quot;">
                  <c:v>2027</c:v>
                </c:pt>
                <c:pt idx="7" formatCode="0&quot;P&quot;">
                  <c:v>2028</c:v>
                </c:pt>
                <c:pt idx="8" formatCode="0&quot;P&quot;">
                  <c:v>2029</c:v>
                </c:pt>
                <c:pt idx="9" formatCode="0&quot;P&quot;">
                  <c:v>2030</c:v>
                </c:pt>
                <c:pt idx="10" formatCode="0&quot;P&quot;">
                  <c:v>2031</c:v>
                </c:pt>
              </c:numCache>
            </c:numRef>
          </c:cat>
          <c:val>
            <c:numRef>
              <c:f>Report!$X$106:$AH$106</c:f>
              <c:numCache>
                <c:formatCode>0</c:formatCode>
                <c:ptCount val="11"/>
                <c:pt idx="0">
                  <c:v>5.45925718638766</c:v>
                </c:pt>
                <c:pt idx="1">
                  <c:v>4.6861762790046031</c:v>
                </c:pt>
                <c:pt idx="2">
                  <c:v>3.485350276169505</c:v>
                </c:pt>
                <c:pt idx="3">
                  <c:v>3.4034523244558028</c:v>
                </c:pt>
                <c:pt idx="4">
                  <c:v>3.341346659587713</c:v>
                </c:pt>
                <c:pt idx="5">
                  <c:v>2.5759075538564935</c:v>
                </c:pt>
                <c:pt idx="6">
                  <c:v>5</c:v>
                </c:pt>
                <c:pt idx="7">
                  <c:v>5</c:v>
                </c:pt>
                <c:pt idx="8">
                  <c:v>5</c:v>
                </c:pt>
                <c:pt idx="9">
                  <c:v>4</c:v>
                </c:pt>
                <c:pt idx="10">
                  <c:v>4</c:v>
                </c:pt>
              </c:numCache>
            </c:numRef>
          </c:val>
          <c:smooth val="0"/>
          <c:extLst>
            <c:ext xmlns:c16="http://schemas.microsoft.com/office/drawing/2014/chart" uri="{C3380CC4-5D6E-409C-BE32-E72D297353CC}">
              <c16:uniqueId val="{00000001-2125-4691-A227-15A657E2F506}"/>
            </c:ext>
          </c:extLst>
        </c:ser>
        <c:dLbls>
          <c:showLegendKey val="0"/>
          <c:showVal val="0"/>
          <c:showCatName val="0"/>
          <c:showSerName val="0"/>
          <c:showPercent val="0"/>
          <c:showBubbleSize val="0"/>
        </c:dLbls>
        <c:marker val="1"/>
        <c:smooth val="0"/>
        <c:axId val="1959246271"/>
        <c:axId val="1807803951"/>
      </c:lineChart>
      <c:catAx>
        <c:axId val="2061735375"/>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7340111"/>
        <c:crosses val="autoZero"/>
        <c:auto val="1"/>
        <c:lblAlgn val="ctr"/>
        <c:lblOffset val="100"/>
        <c:noMultiLvlLbl val="0"/>
      </c:catAx>
      <c:valAx>
        <c:axId val="14773401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735375"/>
        <c:crosses val="autoZero"/>
        <c:crossBetween val="between"/>
      </c:valAx>
      <c:valAx>
        <c:axId val="1807803951"/>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246271"/>
        <c:crosses val="max"/>
        <c:crossBetween val="between"/>
      </c:valAx>
      <c:catAx>
        <c:axId val="1959246271"/>
        <c:scaling>
          <c:orientation val="minMax"/>
        </c:scaling>
        <c:delete val="1"/>
        <c:axPos val="b"/>
        <c:numFmt formatCode="0&quot;A&quot;" sourceLinked="1"/>
        <c:majorTickMark val="out"/>
        <c:minorTickMark val="none"/>
        <c:tickLblPos val="nextTo"/>
        <c:crossAx val="180780395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Trade Payables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Report!$W$117</c:f>
              <c:strCache>
                <c:ptCount val="1"/>
                <c:pt idx="0">
                  <c:v>Trade Payables</c:v>
                </c:pt>
              </c:strCache>
            </c:strRef>
          </c:tx>
          <c:spPr>
            <a:solidFill>
              <a:srgbClr val="001B94"/>
            </a:solidFill>
            <a:ln>
              <a:noFill/>
            </a:ln>
            <a:effectLst/>
          </c:spPr>
          <c:invertIfNegative val="0"/>
          <c:cat>
            <c:numRef>
              <c:f>Report!$X$116:$AH$116</c:f>
              <c:numCache>
                <c:formatCode>0"A"</c:formatCode>
                <c:ptCount val="11"/>
                <c:pt idx="0">
                  <c:v>2021</c:v>
                </c:pt>
                <c:pt idx="1">
                  <c:v>2022</c:v>
                </c:pt>
                <c:pt idx="2">
                  <c:v>2023</c:v>
                </c:pt>
                <c:pt idx="3">
                  <c:v>2024</c:v>
                </c:pt>
                <c:pt idx="4">
                  <c:v>2025</c:v>
                </c:pt>
                <c:pt idx="5">
                  <c:v>2026</c:v>
                </c:pt>
                <c:pt idx="6" formatCode="0&quot;P&quot;">
                  <c:v>2027</c:v>
                </c:pt>
                <c:pt idx="7" formatCode="0&quot;P&quot;">
                  <c:v>2028</c:v>
                </c:pt>
                <c:pt idx="8" formatCode="0&quot;P&quot;">
                  <c:v>2029</c:v>
                </c:pt>
                <c:pt idx="9" formatCode="0&quot;P&quot;">
                  <c:v>2030</c:v>
                </c:pt>
                <c:pt idx="10" formatCode="0&quot;P&quot;">
                  <c:v>2031</c:v>
                </c:pt>
              </c:numCache>
            </c:numRef>
          </c:cat>
          <c:val>
            <c:numRef>
              <c:f>Report!$X$117:$AH$117</c:f>
              <c:numCache>
                <c:formatCode>0</c:formatCode>
                <c:ptCount val="11"/>
                <c:pt idx="0">
                  <c:v>15513.289999999999</c:v>
                </c:pt>
                <c:pt idx="1">
                  <c:v>31518.2</c:v>
                </c:pt>
                <c:pt idx="2">
                  <c:v>32089.89</c:v>
                </c:pt>
                <c:pt idx="3">
                  <c:v>31576</c:v>
                </c:pt>
                <c:pt idx="4">
                  <c:v>41756</c:v>
                </c:pt>
                <c:pt idx="5">
                  <c:v>49905</c:v>
                </c:pt>
                <c:pt idx="6">
                  <c:v>55102.772367123303</c:v>
                </c:pt>
                <c:pt idx="7">
                  <c:v>65894.484347999998</c:v>
                </c:pt>
                <c:pt idx="8">
                  <c:v>65680.355291823274</c:v>
                </c:pt>
                <c:pt idx="9">
                  <c:v>78575.840236993594</c:v>
                </c:pt>
                <c:pt idx="10">
                  <c:v>94020.522825826498</c:v>
                </c:pt>
              </c:numCache>
            </c:numRef>
          </c:val>
          <c:extLst>
            <c:ext xmlns:c16="http://schemas.microsoft.com/office/drawing/2014/chart" uri="{C3380CC4-5D6E-409C-BE32-E72D297353CC}">
              <c16:uniqueId val="{00000000-0A31-48BE-B7AD-DE147767C728}"/>
            </c:ext>
          </c:extLst>
        </c:ser>
        <c:dLbls>
          <c:showLegendKey val="0"/>
          <c:showVal val="0"/>
          <c:showCatName val="0"/>
          <c:showSerName val="0"/>
          <c:showPercent val="0"/>
          <c:showBubbleSize val="0"/>
        </c:dLbls>
        <c:gapWidth val="150"/>
        <c:axId val="2067371071"/>
        <c:axId val="1946924911"/>
        <c:extLst>
          <c:ext xmlns:c15="http://schemas.microsoft.com/office/drawing/2012/chart" uri="{02D57815-91ED-43cb-92C2-25804820EDAC}">
            <c15:filteredBarSeries>
              <c15:ser>
                <c:idx val="2"/>
                <c:order val="2"/>
                <c:tx>
                  <c:strRef>
                    <c:extLst>
                      <c:ext uri="{02D57815-91ED-43cb-92C2-25804820EDAC}">
                        <c15:formulaRef>
                          <c15:sqref>Report!$W$119</c15:sqref>
                        </c15:formulaRef>
                      </c:ext>
                    </c:extLst>
                    <c:strCache>
                      <c:ptCount val="1"/>
                    </c:strCache>
                  </c:strRef>
                </c:tx>
                <c:spPr>
                  <a:solidFill>
                    <a:schemeClr val="accent3"/>
                  </a:solidFill>
                  <a:ln>
                    <a:noFill/>
                  </a:ln>
                  <a:effectLst/>
                </c:spPr>
                <c:invertIfNegative val="0"/>
                <c:cat>
                  <c:numRef>
                    <c:extLst>
                      <c:ext uri="{02D57815-91ED-43cb-92C2-25804820EDAC}">
                        <c15:formulaRef>
                          <c15:sqref>Report!$X$116:$AH$116</c15:sqref>
                        </c15:formulaRef>
                      </c:ext>
                    </c:extLst>
                    <c:numCache>
                      <c:formatCode>0"A"</c:formatCode>
                      <c:ptCount val="11"/>
                      <c:pt idx="0">
                        <c:v>2021</c:v>
                      </c:pt>
                      <c:pt idx="1">
                        <c:v>2022</c:v>
                      </c:pt>
                      <c:pt idx="2">
                        <c:v>2023</c:v>
                      </c:pt>
                      <c:pt idx="3">
                        <c:v>2024</c:v>
                      </c:pt>
                      <c:pt idx="4">
                        <c:v>2025</c:v>
                      </c:pt>
                      <c:pt idx="5">
                        <c:v>2026</c:v>
                      </c:pt>
                      <c:pt idx="6" formatCode="0&quot;P&quot;">
                        <c:v>2027</c:v>
                      </c:pt>
                      <c:pt idx="7" formatCode="0&quot;P&quot;">
                        <c:v>2028</c:v>
                      </c:pt>
                      <c:pt idx="8" formatCode="0&quot;P&quot;">
                        <c:v>2029</c:v>
                      </c:pt>
                      <c:pt idx="9" formatCode="0&quot;P&quot;">
                        <c:v>2030</c:v>
                      </c:pt>
                      <c:pt idx="10" formatCode="0&quot;P&quot;">
                        <c:v>2031</c:v>
                      </c:pt>
                    </c:numCache>
                  </c:numRef>
                </c:cat>
                <c:val>
                  <c:numRef>
                    <c:extLst>
                      <c:ext uri="{02D57815-91ED-43cb-92C2-25804820EDAC}">
                        <c15:formulaRef>
                          <c15:sqref>Report!$X$119:$AH$119</c15:sqref>
                        </c15:formulaRef>
                      </c:ext>
                    </c:extLst>
                    <c:numCache>
                      <c:formatCode>General</c:formatCode>
                      <c:ptCount val="11"/>
                    </c:numCache>
                  </c:numRef>
                </c:val>
                <c:extLst>
                  <c:ext xmlns:c16="http://schemas.microsoft.com/office/drawing/2014/chart" uri="{C3380CC4-5D6E-409C-BE32-E72D297353CC}">
                    <c16:uniqueId val="{00000002-0A31-48BE-B7AD-DE147767C728}"/>
                  </c:ext>
                </c:extLst>
              </c15:ser>
            </c15:filteredBarSeries>
          </c:ext>
        </c:extLst>
      </c:barChart>
      <c:lineChart>
        <c:grouping val="standard"/>
        <c:varyColors val="0"/>
        <c:ser>
          <c:idx val="1"/>
          <c:order val="1"/>
          <c:tx>
            <c:strRef>
              <c:f>Report!$W$118</c:f>
              <c:strCache>
                <c:ptCount val="1"/>
                <c:pt idx="0">
                  <c:v>Trade Payables Days</c:v>
                </c:pt>
              </c:strCache>
            </c:strRef>
          </c:tx>
          <c:spPr>
            <a:ln w="28575" cap="rnd">
              <a:solidFill>
                <a:srgbClr val="00B0F0"/>
              </a:solidFill>
              <a:round/>
            </a:ln>
            <a:effectLst/>
          </c:spPr>
          <c:marker>
            <c:symbol val="none"/>
          </c:marker>
          <c:cat>
            <c:numRef>
              <c:f>Report!$X$116:$AH$116</c:f>
              <c:numCache>
                <c:formatCode>0"A"</c:formatCode>
                <c:ptCount val="11"/>
                <c:pt idx="0">
                  <c:v>2021</c:v>
                </c:pt>
                <c:pt idx="1">
                  <c:v>2022</c:v>
                </c:pt>
                <c:pt idx="2">
                  <c:v>2023</c:v>
                </c:pt>
                <c:pt idx="3">
                  <c:v>2024</c:v>
                </c:pt>
                <c:pt idx="4">
                  <c:v>2025</c:v>
                </c:pt>
                <c:pt idx="5">
                  <c:v>2026</c:v>
                </c:pt>
                <c:pt idx="6" formatCode="0&quot;P&quot;">
                  <c:v>2027</c:v>
                </c:pt>
                <c:pt idx="7" formatCode="0&quot;P&quot;">
                  <c:v>2028</c:v>
                </c:pt>
                <c:pt idx="8" formatCode="0&quot;P&quot;">
                  <c:v>2029</c:v>
                </c:pt>
                <c:pt idx="9" formatCode="0&quot;P&quot;">
                  <c:v>2030</c:v>
                </c:pt>
                <c:pt idx="10" formatCode="0&quot;P&quot;">
                  <c:v>2031</c:v>
                </c:pt>
              </c:numCache>
            </c:numRef>
          </c:cat>
          <c:val>
            <c:numRef>
              <c:f>Report!$X$118:$AH$118</c:f>
              <c:numCache>
                <c:formatCode>0</c:formatCode>
                <c:ptCount val="11"/>
                <c:pt idx="0">
                  <c:v>38.675592944047288</c:v>
                </c:pt>
                <c:pt idx="1">
                  <c:v>44.364565138762686</c:v>
                </c:pt>
                <c:pt idx="2">
                  <c:v>21.512530577519897</c:v>
                </c:pt>
                <c:pt idx="3">
                  <c:v>16.726445229107615</c:v>
                </c:pt>
                <c:pt idx="4">
                  <c:v>18.861872531802693</c:v>
                </c:pt>
                <c:pt idx="5">
                  <c:v>21.439404015211526</c:v>
                </c:pt>
                <c:pt idx="6">
                  <c:v>19.800000000000004</c:v>
                </c:pt>
                <c:pt idx="7">
                  <c:v>19.799999999999997</c:v>
                </c:pt>
                <c:pt idx="8">
                  <c:v>16.5</c:v>
                </c:pt>
                <c:pt idx="9">
                  <c:v>16.5</c:v>
                </c:pt>
                <c:pt idx="10">
                  <c:v>16.5</c:v>
                </c:pt>
              </c:numCache>
            </c:numRef>
          </c:val>
          <c:smooth val="0"/>
          <c:extLst>
            <c:ext xmlns:c16="http://schemas.microsoft.com/office/drawing/2014/chart" uri="{C3380CC4-5D6E-409C-BE32-E72D297353CC}">
              <c16:uniqueId val="{00000001-0A31-48BE-B7AD-DE147767C728}"/>
            </c:ext>
          </c:extLst>
        </c:ser>
        <c:dLbls>
          <c:showLegendKey val="0"/>
          <c:showVal val="0"/>
          <c:showCatName val="0"/>
          <c:showSerName val="0"/>
          <c:showPercent val="0"/>
          <c:showBubbleSize val="0"/>
        </c:dLbls>
        <c:marker val="1"/>
        <c:smooth val="0"/>
        <c:axId val="2067390559"/>
        <c:axId val="1946830351"/>
      </c:lineChart>
      <c:catAx>
        <c:axId val="2067371071"/>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6924911"/>
        <c:crosses val="autoZero"/>
        <c:auto val="1"/>
        <c:lblAlgn val="ctr"/>
        <c:lblOffset val="100"/>
        <c:noMultiLvlLbl val="0"/>
      </c:catAx>
      <c:valAx>
        <c:axId val="1946924911"/>
        <c:scaling>
          <c:orientation val="minMax"/>
        </c:scaling>
        <c:delete val="0"/>
        <c:axPos val="l"/>
        <c:numFmt formatCode="#,##0_);\(#,##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371071"/>
        <c:crosses val="autoZero"/>
        <c:crossBetween val="between"/>
        <c:majorUnit val="20000"/>
      </c:valAx>
      <c:valAx>
        <c:axId val="1946830351"/>
        <c:scaling>
          <c:orientation val="minMax"/>
          <c:max val="45"/>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390559"/>
        <c:crosses val="max"/>
        <c:crossBetween val="between"/>
      </c:valAx>
      <c:catAx>
        <c:axId val="2067390559"/>
        <c:scaling>
          <c:orientation val="minMax"/>
        </c:scaling>
        <c:delete val="1"/>
        <c:axPos val="b"/>
        <c:numFmt formatCode="0&quot;A&quot;" sourceLinked="1"/>
        <c:majorTickMark val="out"/>
        <c:minorTickMark val="none"/>
        <c:tickLblPos val="nextTo"/>
        <c:crossAx val="194683035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Financial Liability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Report!$W$128</c:f>
              <c:strCache>
                <c:ptCount val="1"/>
                <c:pt idx="0">
                  <c:v>Current Financial Liability</c:v>
                </c:pt>
              </c:strCache>
            </c:strRef>
          </c:tx>
          <c:spPr>
            <a:solidFill>
              <a:srgbClr val="0000FF"/>
            </a:solidFill>
            <a:ln>
              <a:noFill/>
            </a:ln>
            <a:effectLst/>
          </c:spPr>
          <c:invertIfNegative val="0"/>
          <c:cat>
            <c:numRef>
              <c:f>Report!$X$127:$AH$127</c:f>
              <c:numCache>
                <c:formatCode>0"A"</c:formatCode>
                <c:ptCount val="11"/>
                <c:pt idx="0">
                  <c:v>2021</c:v>
                </c:pt>
                <c:pt idx="1">
                  <c:v>2022</c:v>
                </c:pt>
                <c:pt idx="2">
                  <c:v>2023</c:v>
                </c:pt>
                <c:pt idx="3">
                  <c:v>2024</c:v>
                </c:pt>
                <c:pt idx="4">
                  <c:v>2025</c:v>
                </c:pt>
                <c:pt idx="5">
                  <c:v>2026</c:v>
                </c:pt>
                <c:pt idx="6" formatCode="0&quot;P&quot;">
                  <c:v>2027</c:v>
                </c:pt>
                <c:pt idx="7" formatCode="0&quot;P&quot;">
                  <c:v>2028</c:v>
                </c:pt>
                <c:pt idx="8" formatCode="0&quot;P&quot;">
                  <c:v>2029</c:v>
                </c:pt>
                <c:pt idx="9" formatCode="0&quot;P&quot;">
                  <c:v>2030</c:v>
                </c:pt>
                <c:pt idx="10" formatCode="0&quot;P&quot;">
                  <c:v>2031</c:v>
                </c:pt>
              </c:numCache>
            </c:numRef>
          </c:cat>
          <c:val>
            <c:numRef>
              <c:f>Report!$X$128:$AH$128</c:f>
              <c:numCache>
                <c:formatCode>_(* #,##0_);_(* \(#,##0\);_(* "-"??_);_(@_)</c:formatCode>
                <c:ptCount val="11"/>
                <c:pt idx="0">
                  <c:v>91974.92</c:v>
                </c:pt>
                <c:pt idx="1">
                  <c:v>114030.07</c:v>
                </c:pt>
                <c:pt idx="2">
                  <c:v>126296.04</c:v>
                </c:pt>
                <c:pt idx="3">
                  <c:v>134166</c:v>
                </c:pt>
                <c:pt idx="4">
                  <c:v>121415</c:v>
                </c:pt>
                <c:pt idx="5">
                  <c:v>132787</c:v>
                </c:pt>
                <c:pt idx="6">
                  <c:v>142209.68020000003</c:v>
                </c:pt>
                <c:pt idx="7">
                  <c:v>170061.01768600004</c:v>
                </c:pt>
                <c:pt idx="8">
                  <c:v>203410.07002497997</c:v>
                </c:pt>
                <c:pt idx="9">
                  <c:v>243346.99612790137</c:v>
                </c:pt>
                <c:pt idx="10">
                  <c:v>291178.71008483239</c:v>
                </c:pt>
              </c:numCache>
            </c:numRef>
          </c:val>
          <c:extLst>
            <c:ext xmlns:c16="http://schemas.microsoft.com/office/drawing/2014/chart" uri="{C3380CC4-5D6E-409C-BE32-E72D297353CC}">
              <c16:uniqueId val="{00000000-5E48-46E8-802A-67885A159C58}"/>
            </c:ext>
          </c:extLst>
        </c:ser>
        <c:ser>
          <c:idx val="2"/>
          <c:order val="2"/>
          <c:tx>
            <c:strRef>
              <c:f>Report!$W$130</c:f>
              <c:strCache>
                <c:ptCount val="1"/>
                <c:pt idx="0">
                  <c:v>Non-Current Financial Liability</c:v>
                </c:pt>
              </c:strCache>
            </c:strRef>
          </c:tx>
          <c:spPr>
            <a:solidFill>
              <a:srgbClr val="001B94"/>
            </a:solidFill>
            <a:ln>
              <a:noFill/>
            </a:ln>
            <a:effectLst/>
          </c:spPr>
          <c:invertIfNegative val="0"/>
          <c:cat>
            <c:numRef>
              <c:f>Report!$X$127:$AH$127</c:f>
              <c:numCache>
                <c:formatCode>0"A"</c:formatCode>
                <c:ptCount val="11"/>
                <c:pt idx="0">
                  <c:v>2021</c:v>
                </c:pt>
                <c:pt idx="1">
                  <c:v>2022</c:v>
                </c:pt>
                <c:pt idx="2">
                  <c:v>2023</c:v>
                </c:pt>
                <c:pt idx="3">
                  <c:v>2024</c:v>
                </c:pt>
                <c:pt idx="4">
                  <c:v>2025</c:v>
                </c:pt>
                <c:pt idx="5">
                  <c:v>2026</c:v>
                </c:pt>
                <c:pt idx="6" formatCode="0&quot;P&quot;">
                  <c:v>2027</c:v>
                </c:pt>
                <c:pt idx="7" formatCode="0&quot;P&quot;">
                  <c:v>2028</c:v>
                </c:pt>
                <c:pt idx="8" formatCode="0&quot;P&quot;">
                  <c:v>2029</c:v>
                </c:pt>
                <c:pt idx="9" formatCode="0&quot;P&quot;">
                  <c:v>2030</c:v>
                </c:pt>
                <c:pt idx="10" formatCode="0&quot;P&quot;">
                  <c:v>2031</c:v>
                </c:pt>
              </c:numCache>
            </c:numRef>
          </c:cat>
          <c:val>
            <c:numRef>
              <c:f>Report!$X$130:$AH$130</c:f>
              <c:numCache>
                <c:formatCode>_(* #,##0_);_(* \(#,##0\);_(* "-"??_);_(@_)</c:formatCode>
                <c:ptCount val="11"/>
                <c:pt idx="0">
                  <c:v>206621.62</c:v>
                </c:pt>
                <c:pt idx="1">
                  <c:v>254748.3</c:v>
                </c:pt>
                <c:pt idx="2">
                  <c:v>322246.09000000003</c:v>
                </c:pt>
                <c:pt idx="3">
                  <c:v>378635</c:v>
                </c:pt>
                <c:pt idx="4">
                  <c:v>546683</c:v>
                </c:pt>
                <c:pt idx="5">
                  <c:v>644705</c:v>
                </c:pt>
                <c:pt idx="6">
                  <c:v>676940.25</c:v>
                </c:pt>
                <c:pt idx="7">
                  <c:v>710787.26249999995</c:v>
                </c:pt>
                <c:pt idx="8">
                  <c:v>746326.62562499999</c:v>
                </c:pt>
                <c:pt idx="9">
                  <c:v>761253.15813749994</c:v>
                </c:pt>
                <c:pt idx="10">
                  <c:v>776478.22130024992</c:v>
                </c:pt>
              </c:numCache>
            </c:numRef>
          </c:val>
          <c:extLst>
            <c:ext xmlns:c16="http://schemas.microsoft.com/office/drawing/2014/chart" uri="{C3380CC4-5D6E-409C-BE32-E72D297353CC}">
              <c16:uniqueId val="{00000002-5E48-46E8-802A-67885A159C58}"/>
            </c:ext>
          </c:extLst>
        </c:ser>
        <c:dLbls>
          <c:showLegendKey val="0"/>
          <c:showVal val="0"/>
          <c:showCatName val="0"/>
          <c:showSerName val="0"/>
          <c:showPercent val="0"/>
          <c:showBubbleSize val="0"/>
        </c:dLbls>
        <c:gapWidth val="150"/>
        <c:overlap val="100"/>
        <c:axId val="1201137888"/>
        <c:axId val="976541264"/>
      </c:barChart>
      <c:lineChart>
        <c:grouping val="standard"/>
        <c:varyColors val="0"/>
        <c:ser>
          <c:idx val="1"/>
          <c:order val="1"/>
          <c:tx>
            <c:strRef>
              <c:f>Report!$W$129</c:f>
              <c:strCache>
                <c:ptCount val="1"/>
                <c:pt idx="0">
                  <c:v>YoY% </c:v>
                </c:pt>
              </c:strCache>
            </c:strRef>
          </c:tx>
          <c:spPr>
            <a:ln w="28575" cap="rnd">
              <a:solidFill>
                <a:srgbClr val="00B0F0"/>
              </a:solidFill>
              <a:round/>
            </a:ln>
            <a:effectLst/>
          </c:spPr>
          <c:marker>
            <c:symbol val="none"/>
          </c:marker>
          <c:cat>
            <c:numRef>
              <c:f>Report!$X$127:$AH$127</c:f>
              <c:numCache>
                <c:formatCode>0"A"</c:formatCode>
                <c:ptCount val="11"/>
                <c:pt idx="0">
                  <c:v>2021</c:v>
                </c:pt>
                <c:pt idx="1">
                  <c:v>2022</c:v>
                </c:pt>
                <c:pt idx="2">
                  <c:v>2023</c:v>
                </c:pt>
                <c:pt idx="3">
                  <c:v>2024</c:v>
                </c:pt>
                <c:pt idx="4">
                  <c:v>2025</c:v>
                </c:pt>
                <c:pt idx="5">
                  <c:v>2026</c:v>
                </c:pt>
                <c:pt idx="6" formatCode="0&quot;P&quot;">
                  <c:v>2027</c:v>
                </c:pt>
                <c:pt idx="7" formatCode="0&quot;P&quot;">
                  <c:v>2028</c:v>
                </c:pt>
                <c:pt idx="8" formatCode="0&quot;P&quot;">
                  <c:v>2029</c:v>
                </c:pt>
                <c:pt idx="9" formatCode="0&quot;P&quot;">
                  <c:v>2030</c:v>
                </c:pt>
                <c:pt idx="10" formatCode="0&quot;P&quot;">
                  <c:v>2031</c:v>
                </c:pt>
              </c:numCache>
            </c:numRef>
          </c:cat>
          <c:val>
            <c:numRef>
              <c:f>Report!$X$129:$AH$129</c:f>
              <c:numCache>
                <c:formatCode>0.0%</c:formatCode>
                <c:ptCount val="11"/>
                <c:pt idx="1">
                  <c:v>0.23979526157783027</c:v>
                </c:pt>
                <c:pt idx="2">
                  <c:v>0.10756785468955665</c:v>
                </c:pt>
                <c:pt idx="3">
                  <c:v>6.231359273022341E-2</c:v>
                </c:pt>
                <c:pt idx="4">
                  <c:v>-9.5038981560156777E-2</c:v>
                </c:pt>
                <c:pt idx="5">
                  <c:v>9.3662232837787851E-2</c:v>
                </c:pt>
                <c:pt idx="6">
                  <c:v>7.0960863638759974E-2</c:v>
                </c:pt>
                <c:pt idx="7">
                  <c:v>0.19584698767925368</c:v>
                </c:pt>
                <c:pt idx="8">
                  <c:v>0.19610051023307107</c:v>
                </c:pt>
                <c:pt idx="9">
                  <c:v>0.19633701565520778</c:v>
                </c:pt>
                <c:pt idx="10">
                  <c:v>0.1965576510826994</c:v>
                </c:pt>
              </c:numCache>
            </c:numRef>
          </c:val>
          <c:smooth val="0"/>
          <c:extLst>
            <c:ext xmlns:c16="http://schemas.microsoft.com/office/drawing/2014/chart" uri="{C3380CC4-5D6E-409C-BE32-E72D297353CC}">
              <c16:uniqueId val="{00000001-5E48-46E8-802A-67885A159C58}"/>
            </c:ext>
          </c:extLst>
        </c:ser>
        <c:ser>
          <c:idx val="3"/>
          <c:order val="3"/>
          <c:tx>
            <c:strRef>
              <c:f>Report!$W$131</c:f>
              <c:strCache>
                <c:ptCount val="1"/>
                <c:pt idx="0">
                  <c:v>YoY %</c:v>
                </c:pt>
              </c:strCache>
            </c:strRef>
          </c:tx>
          <c:spPr>
            <a:ln w="28575" cap="rnd">
              <a:solidFill>
                <a:schemeClr val="bg1">
                  <a:lumMod val="65000"/>
                </a:schemeClr>
              </a:solidFill>
              <a:round/>
            </a:ln>
            <a:effectLst/>
          </c:spPr>
          <c:marker>
            <c:symbol val="none"/>
          </c:marker>
          <c:cat>
            <c:numRef>
              <c:f>Report!$X$127:$AH$127</c:f>
              <c:numCache>
                <c:formatCode>0"A"</c:formatCode>
                <c:ptCount val="11"/>
                <c:pt idx="0">
                  <c:v>2021</c:v>
                </c:pt>
                <c:pt idx="1">
                  <c:v>2022</c:v>
                </c:pt>
                <c:pt idx="2">
                  <c:v>2023</c:v>
                </c:pt>
                <c:pt idx="3">
                  <c:v>2024</c:v>
                </c:pt>
                <c:pt idx="4">
                  <c:v>2025</c:v>
                </c:pt>
                <c:pt idx="5">
                  <c:v>2026</c:v>
                </c:pt>
                <c:pt idx="6" formatCode="0&quot;P&quot;">
                  <c:v>2027</c:v>
                </c:pt>
                <c:pt idx="7" formatCode="0&quot;P&quot;">
                  <c:v>2028</c:v>
                </c:pt>
                <c:pt idx="8" formatCode="0&quot;P&quot;">
                  <c:v>2029</c:v>
                </c:pt>
                <c:pt idx="9" formatCode="0&quot;P&quot;">
                  <c:v>2030</c:v>
                </c:pt>
                <c:pt idx="10" formatCode="0&quot;P&quot;">
                  <c:v>2031</c:v>
                </c:pt>
              </c:numCache>
            </c:numRef>
          </c:cat>
          <c:val>
            <c:numRef>
              <c:f>Report!$X$131:$AH$131</c:f>
              <c:numCache>
                <c:formatCode>0.0%</c:formatCode>
                <c:ptCount val="11"/>
                <c:pt idx="1">
                  <c:v>0.23292180169722787</c:v>
                </c:pt>
                <c:pt idx="2">
                  <c:v>0.26495874555394505</c:v>
                </c:pt>
                <c:pt idx="3">
                  <c:v>0.17498710380008009</c:v>
                </c:pt>
                <c:pt idx="4">
                  <c:v>0.44382584811229808</c:v>
                </c:pt>
                <c:pt idx="5">
                  <c:v>0.17930317935622653</c:v>
                </c:pt>
                <c:pt idx="6">
                  <c:v>5.0000000000000044E-2</c:v>
                </c:pt>
                <c:pt idx="7">
                  <c:v>4.9999999999999822E-2</c:v>
                </c:pt>
                <c:pt idx="8">
                  <c:v>5.0000000000000044E-2</c:v>
                </c:pt>
                <c:pt idx="9">
                  <c:v>2.0000000000000018E-2</c:v>
                </c:pt>
                <c:pt idx="10">
                  <c:v>2.0000000000000018E-2</c:v>
                </c:pt>
              </c:numCache>
            </c:numRef>
          </c:val>
          <c:smooth val="0"/>
          <c:extLst>
            <c:ext xmlns:c16="http://schemas.microsoft.com/office/drawing/2014/chart" uri="{C3380CC4-5D6E-409C-BE32-E72D297353CC}">
              <c16:uniqueId val="{00000003-5E48-46E8-802A-67885A159C58}"/>
            </c:ext>
          </c:extLst>
        </c:ser>
        <c:dLbls>
          <c:showLegendKey val="0"/>
          <c:showVal val="0"/>
          <c:showCatName val="0"/>
          <c:showSerName val="0"/>
          <c:showPercent val="0"/>
          <c:showBubbleSize val="0"/>
        </c:dLbls>
        <c:marker val="1"/>
        <c:smooth val="0"/>
        <c:axId val="518954768"/>
        <c:axId val="646851376"/>
      </c:lineChart>
      <c:catAx>
        <c:axId val="1201137888"/>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541264"/>
        <c:crosses val="autoZero"/>
        <c:auto val="1"/>
        <c:lblAlgn val="ctr"/>
        <c:lblOffset val="100"/>
        <c:noMultiLvlLbl val="0"/>
      </c:catAx>
      <c:valAx>
        <c:axId val="976541264"/>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1137888"/>
        <c:crosses val="autoZero"/>
        <c:crossBetween val="between"/>
      </c:valAx>
      <c:valAx>
        <c:axId val="646851376"/>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954768"/>
        <c:crosses val="max"/>
        <c:crossBetween val="between"/>
      </c:valAx>
      <c:catAx>
        <c:axId val="518954768"/>
        <c:scaling>
          <c:orientation val="minMax"/>
        </c:scaling>
        <c:delete val="1"/>
        <c:axPos val="b"/>
        <c:numFmt formatCode="0&quot;A&quot;" sourceLinked="1"/>
        <c:majorTickMark val="out"/>
        <c:minorTickMark val="none"/>
        <c:tickLblPos val="nextTo"/>
        <c:crossAx val="6468513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26" fmlaLink="$K$5" fmlaRange="$B$14:$B$16" noThreeD="1" sel="1" val="0"/>
</file>

<file path=xl/ctrlProps/ctrlProp2.xml><?xml version="1.0" encoding="utf-8"?>
<formControlPr xmlns="http://schemas.microsoft.com/office/spreadsheetml/2009/9/main" objectType="Drop" dropStyle="combo" dx="26" fmlaRange="'[1]Control Sheet'!$B$15:$B$17" noThreeD="1" sel="0" val="0"/>
</file>

<file path=xl/ctrlProps/ctrlProp3.xml><?xml version="1.0" encoding="utf-8"?>
<formControlPr xmlns="http://schemas.microsoft.com/office/spreadsheetml/2009/9/main" objectType="Drop" dropStyle="combo" dx="26" fmlaRange="'[1]Control Sheet'!$B$15:$B$17" noThreeD="1" sel="0" val="0"/>
</file>

<file path=xl/ctrlProps/ctrlProp4.xml><?xml version="1.0" encoding="utf-8"?>
<formControlPr xmlns="http://schemas.microsoft.com/office/spreadsheetml/2009/9/main" objectType="Drop" dropStyle="combo" dx="26" fmlaRange="'[1]Control Sheet'!$B$15:$B$17" noThreeD="1" sel="0" val="0"/>
</file>

<file path=xl/ctrlProps/ctrlProp5.xml><?xml version="1.0" encoding="utf-8"?>
<formControlPr xmlns="http://schemas.microsoft.com/office/spreadsheetml/2009/9/main" objectType="Drop" dropStyle="combo" dx="26" fmlaRange="'[1]Control Sheet'!$B$15:$B$17" noThreeD="1" sel="0" val="0"/>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8.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60960</xdr:colOff>
          <xdr:row>4</xdr:row>
          <xdr:rowOff>45720</xdr:rowOff>
        </xdr:from>
        <xdr:to>
          <xdr:col>12</xdr:col>
          <xdr:colOff>190500</xdr:colOff>
          <xdr:row>5</xdr:row>
          <xdr:rowOff>22860</xdr:rowOff>
        </xdr:to>
        <xdr:sp macro="" textlink="">
          <xdr:nvSpPr>
            <xdr:cNvPr id="1025" name="Drop Down 1" hidden="1">
              <a:extLst>
                <a:ext uri="{63B3BB69-23CF-44E3-9099-C40C66FF867C}">
                  <a14:compatExt spid="_x0000_s1025"/>
                </a:ext>
                <a:ext uri="{FF2B5EF4-FFF2-40B4-BE49-F238E27FC236}">
                  <a16:creationId xmlns:a16="http://schemas.microsoft.com/office/drawing/2014/main" id="{00000000-0008-0000-03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60960</xdr:colOff>
          <xdr:row>4</xdr:row>
          <xdr:rowOff>45720</xdr:rowOff>
        </xdr:from>
        <xdr:to>
          <xdr:col>10</xdr:col>
          <xdr:colOff>434340</xdr:colOff>
          <xdr:row>5</xdr:row>
          <xdr:rowOff>22860</xdr:rowOff>
        </xdr:to>
        <xdr:sp macro="" textlink="">
          <xdr:nvSpPr>
            <xdr:cNvPr id="2049" name="Drop Down 1" hidden="1">
              <a:extLst>
                <a:ext uri="{63B3BB69-23CF-44E3-9099-C40C66FF867C}">
                  <a14:compatExt spid="_x0000_s2049"/>
                </a:ext>
                <a:ext uri="{FF2B5EF4-FFF2-40B4-BE49-F238E27FC236}">
                  <a16:creationId xmlns:a16="http://schemas.microsoft.com/office/drawing/2014/main" id="{00000000-0008-0000-04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60960</xdr:colOff>
          <xdr:row>4</xdr:row>
          <xdr:rowOff>45720</xdr:rowOff>
        </xdr:from>
        <xdr:to>
          <xdr:col>11</xdr:col>
          <xdr:colOff>510540</xdr:colOff>
          <xdr:row>5</xdr:row>
          <xdr:rowOff>22860</xdr:rowOff>
        </xdr:to>
        <xdr:sp macro="" textlink="">
          <xdr:nvSpPr>
            <xdr:cNvPr id="3073" name="Drop Down 1" hidden="1">
              <a:extLst>
                <a:ext uri="{63B3BB69-23CF-44E3-9099-C40C66FF867C}">
                  <a14:compatExt spid="_x0000_s3073"/>
                </a:ext>
                <a:ext uri="{FF2B5EF4-FFF2-40B4-BE49-F238E27FC236}">
                  <a16:creationId xmlns:a16="http://schemas.microsoft.com/office/drawing/2014/main" id="{00000000-0008-0000-0500-000001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60960</xdr:colOff>
          <xdr:row>4</xdr:row>
          <xdr:rowOff>45720</xdr:rowOff>
        </xdr:from>
        <xdr:to>
          <xdr:col>10</xdr:col>
          <xdr:colOff>373380</xdr:colOff>
          <xdr:row>5</xdr:row>
          <xdr:rowOff>22860</xdr:rowOff>
        </xdr:to>
        <xdr:sp macro="" textlink="">
          <xdr:nvSpPr>
            <xdr:cNvPr id="4097" name="Drop Down 1" hidden="1">
              <a:extLst>
                <a:ext uri="{63B3BB69-23CF-44E3-9099-C40C66FF867C}">
                  <a14:compatExt spid="_x0000_s4097"/>
                </a:ext>
                <a:ext uri="{FF2B5EF4-FFF2-40B4-BE49-F238E27FC236}">
                  <a16:creationId xmlns:a16="http://schemas.microsoft.com/office/drawing/2014/main" id="{00000000-0008-0000-06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60960</xdr:colOff>
          <xdr:row>4</xdr:row>
          <xdr:rowOff>45720</xdr:rowOff>
        </xdr:from>
        <xdr:to>
          <xdr:col>9</xdr:col>
          <xdr:colOff>701040</xdr:colOff>
          <xdr:row>5</xdr:row>
          <xdr:rowOff>22860</xdr:rowOff>
        </xdr:to>
        <xdr:sp macro="" textlink="">
          <xdr:nvSpPr>
            <xdr:cNvPr id="5121" name="Drop Down 1" hidden="1">
              <a:extLst>
                <a:ext uri="{63B3BB69-23CF-44E3-9099-C40C66FF867C}">
                  <a14:compatExt spid="_x0000_s5121"/>
                </a:ext>
                <a:ext uri="{FF2B5EF4-FFF2-40B4-BE49-F238E27FC236}">
                  <a16:creationId xmlns:a16="http://schemas.microsoft.com/office/drawing/2014/main" id="{00000000-0008-0000-07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xdr:twoCellAnchor editAs="oneCell">
    <xdr:from>
      <xdr:col>1</xdr:col>
      <xdr:colOff>0</xdr:colOff>
      <xdr:row>29</xdr:row>
      <xdr:rowOff>0</xdr:rowOff>
    </xdr:from>
    <xdr:to>
      <xdr:col>5</xdr:col>
      <xdr:colOff>297741</xdr:colOff>
      <xdr:row>44</xdr:row>
      <xdr:rowOff>167892</xdr:rowOff>
    </xdr:to>
    <xdr:pic>
      <xdr:nvPicPr>
        <xdr:cNvPr id="6" name="Picture 5">
          <a:extLst>
            <a:ext uri="{FF2B5EF4-FFF2-40B4-BE49-F238E27FC236}">
              <a16:creationId xmlns:a16="http://schemas.microsoft.com/office/drawing/2014/main" id="{1A38CB6A-F346-DD12-5306-6643500C806B}"/>
            </a:ext>
          </a:extLst>
        </xdr:cNvPr>
        <xdr:cNvPicPr>
          <a:picLocks noChangeAspect="1"/>
        </xdr:cNvPicPr>
      </xdr:nvPicPr>
      <xdr:blipFill>
        <a:blip xmlns:r="http://schemas.openxmlformats.org/officeDocument/2006/relationships" r:embed="rId1"/>
        <a:stretch>
          <a:fillRect/>
        </a:stretch>
      </xdr:blipFill>
      <xdr:spPr>
        <a:xfrm>
          <a:off x="129540" y="5478780"/>
          <a:ext cx="6477561" cy="2911092"/>
        </a:xfrm>
        <a:prstGeom prst="rect">
          <a:avLst/>
        </a:prstGeom>
      </xdr:spPr>
    </xdr:pic>
    <xdr:clientData/>
  </xdr:twoCellAnchor>
  <xdr:twoCellAnchor editAs="oneCell">
    <xdr:from>
      <xdr:col>1</xdr:col>
      <xdr:colOff>0</xdr:colOff>
      <xdr:row>46</xdr:row>
      <xdr:rowOff>0</xdr:rowOff>
    </xdr:from>
    <xdr:to>
      <xdr:col>5</xdr:col>
      <xdr:colOff>312983</xdr:colOff>
      <xdr:row>61</xdr:row>
      <xdr:rowOff>167892</xdr:rowOff>
    </xdr:to>
    <xdr:pic>
      <xdr:nvPicPr>
        <xdr:cNvPr id="7" name="Picture 6">
          <a:extLst>
            <a:ext uri="{FF2B5EF4-FFF2-40B4-BE49-F238E27FC236}">
              <a16:creationId xmlns:a16="http://schemas.microsoft.com/office/drawing/2014/main" id="{CA9227D2-4B44-016F-3045-56CA10F8950A}"/>
            </a:ext>
          </a:extLst>
        </xdr:cNvPr>
        <xdr:cNvPicPr>
          <a:picLocks noChangeAspect="1"/>
        </xdr:cNvPicPr>
      </xdr:nvPicPr>
      <xdr:blipFill>
        <a:blip xmlns:r="http://schemas.openxmlformats.org/officeDocument/2006/relationships" r:embed="rId2"/>
        <a:stretch>
          <a:fillRect/>
        </a:stretch>
      </xdr:blipFill>
      <xdr:spPr>
        <a:xfrm>
          <a:off x="129540" y="8587740"/>
          <a:ext cx="6492803" cy="291109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0</xdr:colOff>
      <xdr:row>126</xdr:row>
      <xdr:rowOff>0</xdr:rowOff>
    </xdr:from>
    <xdr:to>
      <xdr:col>14</xdr:col>
      <xdr:colOff>312824</xdr:colOff>
      <xdr:row>131</xdr:row>
      <xdr:rowOff>122010</xdr:rowOff>
    </xdr:to>
    <xdr:pic>
      <xdr:nvPicPr>
        <xdr:cNvPr id="2" name="Picture 1">
          <a:extLst>
            <a:ext uri="{FF2B5EF4-FFF2-40B4-BE49-F238E27FC236}">
              <a16:creationId xmlns:a16="http://schemas.microsoft.com/office/drawing/2014/main" id="{F40B8890-8FCF-E076-8BAE-32D244DE8D31}"/>
            </a:ext>
          </a:extLst>
        </xdr:cNvPr>
        <xdr:cNvPicPr>
          <a:picLocks noChangeAspect="1"/>
        </xdr:cNvPicPr>
      </xdr:nvPicPr>
      <xdr:blipFill>
        <a:blip xmlns:r="http://schemas.openxmlformats.org/officeDocument/2006/relationships" r:embed="rId1"/>
        <a:stretch>
          <a:fillRect/>
        </a:stretch>
      </xdr:blipFill>
      <xdr:spPr>
        <a:xfrm>
          <a:off x="11239500" y="23698200"/>
          <a:ext cx="4663844" cy="1036410"/>
        </a:xfrm>
        <a:prstGeom prst="rect">
          <a:avLst/>
        </a:prstGeom>
      </xdr:spPr>
    </xdr:pic>
    <xdr:clientData/>
  </xdr:twoCellAnchor>
  <xdr:twoCellAnchor editAs="oneCell">
    <xdr:from>
      <xdr:col>9</xdr:col>
      <xdr:colOff>0</xdr:colOff>
      <xdr:row>126</xdr:row>
      <xdr:rowOff>0</xdr:rowOff>
    </xdr:from>
    <xdr:to>
      <xdr:col>16</xdr:col>
      <xdr:colOff>165735</xdr:colOff>
      <xdr:row>141</xdr:row>
      <xdr:rowOff>66675</xdr:rowOff>
    </xdr:to>
    <xdr:pic>
      <xdr:nvPicPr>
        <xdr:cNvPr id="3" name="Picture 2">
          <a:extLst>
            <a:ext uri="{FF2B5EF4-FFF2-40B4-BE49-F238E27FC236}">
              <a16:creationId xmlns:a16="http://schemas.microsoft.com/office/drawing/2014/main" id="{2B0F46D5-F07C-A33F-D28B-6BBDD649ACAA}"/>
            </a:ext>
          </a:extLst>
        </xdr:cNvPr>
        <xdr:cNvPicPr>
          <a:picLocks noChangeAspect="1"/>
        </xdr:cNvPicPr>
      </xdr:nvPicPr>
      <xdr:blipFill>
        <a:blip xmlns:r="http://schemas.openxmlformats.org/officeDocument/2006/relationships" r:embed="rId2"/>
        <a:stretch>
          <a:fillRect/>
        </a:stretch>
      </xdr:blipFill>
      <xdr:spPr>
        <a:xfrm>
          <a:off x="11239500" y="23698200"/>
          <a:ext cx="6162675" cy="2809875"/>
        </a:xfrm>
        <a:prstGeom prst="rect">
          <a:avLst/>
        </a:prstGeom>
      </xdr:spPr>
    </xdr:pic>
    <xdr:clientData/>
  </xdr:twoCellAnchor>
  <xdr:twoCellAnchor editAs="oneCell">
    <xdr:from>
      <xdr:col>15</xdr:col>
      <xdr:colOff>0</xdr:colOff>
      <xdr:row>3</xdr:row>
      <xdr:rowOff>1</xdr:rowOff>
    </xdr:from>
    <xdr:to>
      <xdr:col>20</xdr:col>
      <xdr:colOff>358140</xdr:colOff>
      <xdr:row>4</xdr:row>
      <xdr:rowOff>68581</xdr:rowOff>
    </xdr:to>
    <xdr:pic>
      <xdr:nvPicPr>
        <xdr:cNvPr id="5" name="Picture 4">
          <a:extLst>
            <a:ext uri="{FF2B5EF4-FFF2-40B4-BE49-F238E27FC236}">
              <a16:creationId xmlns:a16="http://schemas.microsoft.com/office/drawing/2014/main" id="{ED752214-1B72-E204-813E-EF84655F56E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466820" y="548641"/>
          <a:ext cx="3566160" cy="1257300"/>
        </a:xfrm>
        <a:prstGeom prst="rect">
          <a:avLst/>
        </a:prstGeom>
      </xdr:spPr>
    </xdr:pic>
    <xdr:clientData/>
  </xdr:twoCellAnchor>
  <xdr:twoCellAnchor editAs="oneCell">
    <xdr:from>
      <xdr:col>15</xdr:col>
      <xdr:colOff>1</xdr:colOff>
      <xdr:row>5</xdr:row>
      <xdr:rowOff>0</xdr:rowOff>
    </xdr:from>
    <xdr:to>
      <xdr:col>22</xdr:col>
      <xdr:colOff>373381</xdr:colOff>
      <xdr:row>19</xdr:row>
      <xdr:rowOff>249947</xdr:rowOff>
    </xdr:to>
    <xdr:pic>
      <xdr:nvPicPr>
        <xdr:cNvPr id="7" name="Picture 6">
          <a:extLst>
            <a:ext uri="{FF2B5EF4-FFF2-40B4-BE49-F238E27FC236}">
              <a16:creationId xmlns:a16="http://schemas.microsoft.com/office/drawing/2014/main" id="{E42EB935-C732-F137-324C-194A6773D79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6466821" y="1920240"/>
          <a:ext cx="4800600" cy="281026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5</xdr:col>
      <xdr:colOff>190500</xdr:colOff>
      <xdr:row>0</xdr:row>
      <xdr:rowOff>72390</xdr:rowOff>
    </xdr:from>
    <xdr:to>
      <xdr:col>11</xdr:col>
      <xdr:colOff>228600</xdr:colOff>
      <xdr:row>14</xdr:row>
      <xdr:rowOff>106680</xdr:rowOff>
    </xdr:to>
    <xdr:graphicFrame macro="">
      <xdr:nvGraphicFramePr>
        <xdr:cNvPr id="2" name="Chart 1">
          <a:extLst>
            <a:ext uri="{FF2B5EF4-FFF2-40B4-BE49-F238E27FC236}">
              <a16:creationId xmlns:a16="http://schemas.microsoft.com/office/drawing/2014/main" id="{FEC76F3A-4991-6361-D233-89A6E38224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342900</xdr:colOff>
      <xdr:row>3</xdr:row>
      <xdr:rowOff>76200</xdr:rowOff>
    </xdr:from>
    <xdr:to>
      <xdr:col>30</xdr:col>
      <xdr:colOff>38100</xdr:colOff>
      <xdr:row>21</xdr:row>
      <xdr:rowOff>76200</xdr:rowOff>
    </xdr:to>
    <xdr:graphicFrame macro="">
      <xdr:nvGraphicFramePr>
        <xdr:cNvPr id="4" name="Chart 3">
          <a:extLst>
            <a:ext uri="{FF2B5EF4-FFF2-40B4-BE49-F238E27FC236}">
              <a16:creationId xmlns:a16="http://schemas.microsoft.com/office/drawing/2014/main" id="{1E7EF4FA-D0C3-410B-9E73-A58E0A76CC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26</xdr:col>
      <xdr:colOff>0</xdr:colOff>
      <xdr:row>22</xdr:row>
      <xdr:rowOff>0</xdr:rowOff>
    </xdr:from>
    <xdr:to>
      <xdr:col>26</xdr:col>
      <xdr:colOff>304800</xdr:colOff>
      <xdr:row>24</xdr:row>
      <xdr:rowOff>0</xdr:rowOff>
    </xdr:to>
    <xdr:sp macro="" textlink="">
      <xdr:nvSpPr>
        <xdr:cNvPr id="6145" name="AutoShape 1">
          <a:extLst>
            <a:ext uri="{FF2B5EF4-FFF2-40B4-BE49-F238E27FC236}">
              <a16:creationId xmlns:a16="http://schemas.microsoft.com/office/drawing/2014/main" id="{5AB185BF-D721-598A-683B-44237BA3BE5D}"/>
            </a:ext>
          </a:extLst>
        </xdr:cNvPr>
        <xdr:cNvSpPr>
          <a:spLocks noChangeAspect="1" noChangeArrowheads="1"/>
        </xdr:cNvSpPr>
      </xdr:nvSpPr>
      <xdr:spPr bwMode="auto">
        <a:xfrm>
          <a:off x="11010900" y="338328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xdr:from>
      <xdr:col>8</xdr:col>
      <xdr:colOff>167640</xdr:colOff>
      <xdr:row>15</xdr:row>
      <xdr:rowOff>140970</xdr:rowOff>
    </xdr:from>
    <xdr:to>
      <xdr:col>13</xdr:col>
      <xdr:colOff>251460</xdr:colOff>
      <xdr:row>30</xdr:row>
      <xdr:rowOff>38100</xdr:rowOff>
    </xdr:to>
    <xdr:graphicFrame macro="">
      <xdr:nvGraphicFramePr>
        <xdr:cNvPr id="3" name="Chart 2">
          <a:extLst>
            <a:ext uri="{FF2B5EF4-FFF2-40B4-BE49-F238E27FC236}">
              <a16:creationId xmlns:a16="http://schemas.microsoft.com/office/drawing/2014/main" id="{08B4948A-1072-EF13-1B65-3B954F3DB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259080</xdr:colOff>
      <xdr:row>32</xdr:row>
      <xdr:rowOff>60960</xdr:rowOff>
    </xdr:from>
    <xdr:to>
      <xdr:col>12</xdr:col>
      <xdr:colOff>106680</xdr:colOff>
      <xdr:row>42</xdr:row>
      <xdr:rowOff>129540</xdr:rowOff>
    </xdr:to>
    <xdr:graphicFrame macro="">
      <xdr:nvGraphicFramePr>
        <xdr:cNvPr id="9" name="Chart 8">
          <a:extLst>
            <a:ext uri="{FF2B5EF4-FFF2-40B4-BE49-F238E27FC236}">
              <a16:creationId xmlns:a16="http://schemas.microsoft.com/office/drawing/2014/main" id="{2736DCDC-8869-1425-EA02-191F51051D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342900</xdr:colOff>
      <xdr:row>45</xdr:row>
      <xdr:rowOff>152400</xdr:rowOff>
    </xdr:from>
    <xdr:to>
      <xdr:col>13</xdr:col>
      <xdr:colOff>76200</xdr:colOff>
      <xdr:row>56</xdr:row>
      <xdr:rowOff>15240</xdr:rowOff>
    </xdr:to>
    <xdr:graphicFrame macro="">
      <xdr:nvGraphicFramePr>
        <xdr:cNvPr id="11" name="Chart 10">
          <a:extLst>
            <a:ext uri="{FF2B5EF4-FFF2-40B4-BE49-F238E27FC236}">
              <a16:creationId xmlns:a16="http://schemas.microsoft.com/office/drawing/2014/main" id="{BB098D6D-E981-85DE-4A90-89B4CE7C80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548640</xdr:colOff>
      <xdr:row>53</xdr:row>
      <xdr:rowOff>175260</xdr:rowOff>
    </xdr:from>
    <xdr:to>
      <xdr:col>15</xdr:col>
      <xdr:colOff>457200</xdr:colOff>
      <xdr:row>65</xdr:row>
      <xdr:rowOff>160020</xdr:rowOff>
    </xdr:to>
    <xdr:graphicFrame macro="">
      <xdr:nvGraphicFramePr>
        <xdr:cNvPr id="15" name="Chart 14">
          <a:extLst>
            <a:ext uri="{FF2B5EF4-FFF2-40B4-BE49-F238E27FC236}">
              <a16:creationId xmlns:a16="http://schemas.microsoft.com/office/drawing/2014/main" id="{2A51B2F3-E88E-F2D5-0DEC-1E516CC6D4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15240</xdr:colOff>
      <xdr:row>64</xdr:row>
      <xdr:rowOff>99060</xdr:rowOff>
    </xdr:from>
    <xdr:to>
      <xdr:col>27</xdr:col>
      <xdr:colOff>449580</xdr:colOff>
      <xdr:row>73</xdr:row>
      <xdr:rowOff>133350</xdr:rowOff>
    </xdr:to>
    <xdr:graphicFrame macro="">
      <xdr:nvGraphicFramePr>
        <xdr:cNvPr id="16" name="Chart 15">
          <a:extLst>
            <a:ext uri="{FF2B5EF4-FFF2-40B4-BE49-F238E27FC236}">
              <a16:creationId xmlns:a16="http://schemas.microsoft.com/office/drawing/2014/main" id="{8055BD3B-44C0-A224-9129-C5D297B6D9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160020</xdr:colOff>
      <xdr:row>74</xdr:row>
      <xdr:rowOff>114300</xdr:rowOff>
    </xdr:from>
    <xdr:to>
      <xdr:col>26</xdr:col>
      <xdr:colOff>525780</xdr:colOff>
      <xdr:row>84</xdr:row>
      <xdr:rowOff>72390</xdr:rowOff>
    </xdr:to>
    <xdr:graphicFrame macro="">
      <xdr:nvGraphicFramePr>
        <xdr:cNvPr id="22" name="Chart 21">
          <a:extLst>
            <a:ext uri="{FF2B5EF4-FFF2-40B4-BE49-F238E27FC236}">
              <a16:creationId xmlns:a16="http://schemas.microsoft.com/office/drawing/2014/main" id="{5F149A61-B8C2-158F-D0F5-D89328AFBC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53340</xdr:colOff>
      <xdr:row>66</xdr:row>
      <xdr:rowOff>72390</xdr:rowOff>
    </xdr:from>
    <xdr:to>
      <xdr:col>14</xdr:col>
      <xdr:colOff>304800</xdr:colOff>
      <xdr:row>75</xdr:row>
      <xdr:rowOff>15240</xdr:rowOff>
    </xdr:to>
    <xdr:graphicFrame macro="">
      <xdr:nvGraphicFramePr>
        <xdr:cNvPr id="25" name="Chart 24">
          <a:extLst>
            <a:ext uri="{FF2B5EF4-FFF2-40B4-BE49-F238E27FC236}">
              <a16:creationId xmlns:a16="http://schemas.microsoft.com/office/drawing/2014/main" id="{A0CEAFD4-16C5-E1BA-0F03-4EEC5790F8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571500</xdr:colOff>
      <xdr:row>74</xdr:row>
      <xdr:rowOff>102870</xdr:rowOff>
    </xdr:from>
    <xdr:to>
      <xdr:col>13</xdr:col>
      <xdr:colOff>541020</xdr:colOff>
      <xdr:row>83</xdr:row>
      <xdr:rowOff>60960</xdr:rowOff>
    </xdr:to>
    <xdr:graphicFrame macro="">
      <xdr:nvGraphicFramePr>
        <xdr:cNvPr id="26" name="Chart 25">
          <a:extLst>
            <a:ext uri="{FF2B5EF4-FFF2-40B4-BE49-F238E27FC236}">
              <a16:creationId xmlns:a16="http://schemas.microsoft.com/office/drawing/2014/main" id="{2CCB5B08-9970-FB35-8205-DF9E76F77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160020</xdr:colOff>
      <xdr:row>82</xdr:row>
      <xdr:rowOff>148590</xdr:rowOff>
    </xdr:from>
    <xdr:to>
      <xdr:col>10</xdr:col>
      <xdr:colOff>175260</xdr:colOff>
      <xdr:row>92</xdr:row>
      <xdr:rowOff>15240</xdr:rowOff>
    </xdr:to>
    <xdr:graphicFrame macro="">
      <xdr:nvGraphicFramePr>
        <xdr:cNvPr id="6" name="Chart 5">
          <a:extLst>
            <a:ext uri="{FF2B5EF4-FFF2-40B4-BE49-F238E27FC236}">
              <a16:creationId xmlns:a16="http://schemas.microsoft.com/office/drawing/2014/main" id="{EBC6CFF8-B116-92AB-8810-DF026D42F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99060</xdr:colOff>
      <xdr:row>90</xdr:row>
      <xdr:rowOff>179070</xdr:rowOff>
    </xdr:from>
    <xdr:to>
      <xdr:col>15</xdr:col>
      <xdr:colOff>0</xdr:colOff>
      <xdr:row>100</xdr:row>
      <xdr:rowOff>167640</xdr:rowOff>
    </xdr:to>
    <xdr:graphicFrame macro="">
      <xdr:nvGraphicFramePr>
        <xdr:cNvPr id="14" name="Chart 13">
          <a:extLst>
            <a:ext uri="{FF2B5EF4-FFF2-40B4-BE49-F238E27FC236}">
              <a16:creationId xmlns:a16="http://schemas.microsoft.com/office/drawing/2014/main" id="{33E7DFE9-3E80-34DC-B490-8CDC8A5F10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7</xdr:col>
      <xdr:colOff>205740</xdr:colOff>
      <xdr:row>99</xdr:row>
      <xdr:rowOff>156210</xdr:rowOff>
    </xdr:from>
    <xdr:to>
      <xdr:col>10</xdr:col>
      <xdr:colOff>579120</xdr:colOff>
      <xdr:row>107</xdr:row>
      <xdr:rowOff>0</xdr:rowOff>
    </xdr:to>
    <xdr:graphicFrame macro="">
      <xdr:nvGraphicFramePr>
        <xdr:cNvPr id="18" name="Chart 17">
          <a:extLst>
            <a:ext uri="{FF2B5EF4-FFF2-40B4-BE49-F238E27FC236}">
              <a16:creationId xmlns:a16="http://schemas.microsoft.com/office/drawing/2014/main" id="{929614A3-9B82-2611-2B31-D8F4B9699D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579120</xdr:colOff>
      <xdr:row>83</xdr:row>
      <xdr:rowOff>38100</xdr:rowOff>
    </xdr:from>
    <xdr:to>
      <xdr:col>16</xdr:col>
      <xdr:colOff>350520</xdr:colOff>
      <xdr:row>90</xdr:row>
      <xdr:rowOff>99060</xdr:rowOff>
    </xdr:to>
    <xdr:graphicFrame macro="">
      <xdr:nvGraphicFramePr>
        <xdr:cNvPr id="7" name="Chart 6">
          <a:extLst>
            <a:ext uri="{FF2B5EF4-FFF2-40B4-BE49-F238E27FC236}">
              <a16:creationId xmlns:a16="http://schemas.microsoft.com/office/drawing/2014/main" id="{CB91308D-7080-6165-B508-D371B78879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27</xdr:col>
      <xdr:colOff>190500</xdr:colOff>
      <xdr:row>78</xdr:row>
      <xdr:rowOff>148590</xdr:rowOff>
    </xdr:from>
    <xdr:to>
      <xdr:col>29</xdr:col>
      <xdr:colOff>182880</xdr:colOff>
      <xdr:row>84</xdr:row>
      <xdr:rowOff>83820</xdr:rowOff>
    </xdr:to>
    <xdr:graphicFrame macro="">
      <xdr:nvGraphicFramePr>
        <xdr:cNvPr id="10" name="Chart 9">
          <a:extLst>
            <a:ext uri="{FF2B5EF4-FFF2-40B4-BE49-F238E27FC236}">
              <a16:creationId xmlns:a16="http://schemas.microsoft.com/office/drawing/2014/main" id="{B831D460-EBEB-53A4-9176-8A74EFA54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29</xdr:col>
      <xdr:colOff>457200</xdr:colOff>
      <xdr:row>78</xdr:row>
      <xdr:rowOff>133350</xdr:rowOff>
    </xdr:from>
    <xdr:to>
      <xdr:col>31</xdr:col>
      <xdr:colOff>655320</xdr:colOff>
      <xdr:row>84</xdr:row>
      <xdr:rowOff>22860</xdr:rowOff>
    </xdr:to>
    <xdr:graphicFrame macro="">
      <xdr:nvGraphicFramePr>
        <xdr:cNvPr id="12" name="Chart 11">
          <a:extLst>
            <a:ext uri="{FF2B5EF4-FFF2-40B4-BE49-F238E27FC236}">
              <a16:creationId xmlns:a16="http://schemas.microsoft.com/office/drawing/2014/main" id="{151F1A6F-F307-EE01-9589-862DFBD563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31</xdr:col>
      <xdr:colOff>594360</xdr:colOff>
      <xdr:row>77</xdr:row>
      <xdr:rowOff>64770</xdr:rowOff>
    </xdr:from>
    <xdr:to>
      <xdr:col>33</xdr:col>
      <xdr:colOff>822960</xdr:colOff>
      <xdr:row>86</xdr:row>
      <xdr:rowOff>15240</xdr:rowOff>
    </xdr:to>
    <xdr:graphicFrame macro="">
      <xdr:nvGraphicFramePr>
        <xdr:cNvPr id="17" name="Chart 16">
          <a:extLst>
            <a:ext uri="{FF2B5EF4-FFF2-40B4-BE49-F238E27FC236}">
              <a16:creationId xmlns:a16="http://schemas.microsoft.com/office/drawing/2014/main" id="{7DA28F21-9E14-AF74-6EC0-19EB63187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34</xdr:col>
      <xdr:colOff>68580</xdr:colOff>
      <xdr:row>90</xdr:row>
      <xdr:rowOff>34290</xdr:rowOff>
    </xdr:from>
    <xdr:to>
      <xdr:col>38</xdr:col>
      <xdr:colOff>350520</xdr:colOff>
      <xdr:row>97</xdr:row>
      <xdr:rowOff>121920</xdr:rowOff>
    </xdr:to>
    <xdr:graphicFrame macro="">
      <xdr:nvGraphicFramePr>
        <xdr:cNvPr id="5" name="Chart 4">
          <a:extLst>
            <a:ext uri="{FF2B5EF4-FFF2-40B4-BE49-F238E27FC236}">
              <a16:creationId xmlns:a16="http://schemas.microsoft.com/office/drawing/2014/main" id="{D8C4A3D8-B2FB-6827-6E41-8231AECBE2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33</xdr:col>
      <xdr:colOff>845820</xdr:colOff>
      <xdr:row>97</xdr:row>
      <xdr:rowOff>49530</xdr:rowOff>
    </xdr:from>
    <xdr:to>
      <xdr:col>39</xdr:col>
      <xdr:colOff>236220</xdr:colOff>
      <xdr:row>104</xdr:row>
      <xdr:rowOff>53340</xdr:rowOff>
    </xdr:to>
    <xdr:graphicFrame macro="">
      <xdr:nvGraphicFramePr>
        <xdr:cNvPr id="8" name="Chart 7">
          <a:extLst>
            <a:ext uri="{FF2B5EF4-FFF2-40B4-BE49-F238E27FC236}">
              <a16:creationId xmlns:a16="http://schemas.microsoft.com/office/drawing/2014/main" id="{8D8E9A78-4C41-DA2B-1CB6-ADCF6AC6CC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24</xdr:col>
      <xdr:colOff>213360</xdr:colOff>
      <xdr:row>107</xdr:row>
      <xdr:rowOff>148590</xdr:rowOff>
    </xdr:from>
    <xdr:to>
      <xdr:col>30</xdr:col>
      <xdr:colOff>60960</xdr:colOff>
      <xdr:row>113</xdr:row>
      <xdr:rowOff>144780</xdr:rowOff>
    </xdr:to>
    <xdr:graphicFrame macro="">
      <xdr:nvGraphicFramePr>
        <xdr:cNvPr id="13" name="Chart 12">
          <a:extLst>
            <a:ext uri="{FF2B5EF4-FFF2-40B4-BE49-F238E27FC236}">
              <a16:creationId xmlns:a16="http://schemas.microsoft.com/office/drawing/2014/main" id="{C8433701-4238-23D1-3FAE-C6B1713C07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30</xdr:col>
      <xdr:colOff>617220</xdr:colOff>
      <xdr:row>119</xdr:row>
      <xdr:rowOff>19050</xdr:rowOff>
    </xdr:from>
    <xdr:to>
      <xdr:col>34</xdr:col>
      <xdr:colOff>121920</xdr:colOff>
      <xdr:row>125</xdr:row>
      <xdr:rowOff>15240</xdr:rowOff>
    </xdr:to>
    <xdr:graphicFrame macro="">
      <xdr:nvGraphicFramePr>
        <xdr:cNvPr id="19" name="Chart 18">
          <a:extLst>
            <a:ext uri="{FF2B5EF4-FFF2-40B4-BE49-F238E27FC236}">
              <a16:creationId xmlns:a16="http://schemas.microsoft.com/office/drawing/2014/main" id="{41326495-3996-9CD5-9071-7FBBA877B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33</xdr:col>
      <xdr:colOff>792480</xdr:colOff>
      <xdr:row>125</xdr:row>
      <xdr:rowOff>163830</xdr:rowOff>
    </xdr:from>
    <xdr:to>
      <xdr:col>38</xdr:col>
      <xdr:colOff>556260</xdr:colOff>
      <xdr:row>132</xdr:row>
      <xdr:rowOff>167640</xdr:rowOff>
    </xdr:to>
    <xdr:graphicFrame macro="">
      <xdr:nvGraphicFramePr>
        <xdr:cNvPr id="21" name="Chart 20">
          <a:extLst>
            <a:ext uri="{FF2B5EF4-FFF2-40B4-BE49-F238E27FC236}">
              <a16:creationId xmlns:a16="http://schemas.microsoft.com/office/drawing/2014/main" id="{9689AC8F-2270-7E3C-627C-BB13E6C355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8a48cdda2453c2b5/Documents/Desktop/Valuation/Mrs.Sector%20FM.xlsx" TargetMode="External"/><Relationship Id="rId1" Type="http://schemas.openxmlformats.org/officeDocument/2006/relationships/externalLinkPath" Target="Mrs.Sector%20F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
      <sheetName val="Schedule Sheet"/>
      <sheetName val="3 Statement Model"/>
      <sheetName val="Common Sized Model"/>
      <sheetName val="Ratio Analysis"/>
      <sheetName val="DCF&gt;"/>
      <sheetName val="DCF Valuation"/>
      <sheetName val="Audited Income Statement"/>
      <sheetName val="Audited Balance Sheet"/>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trlProp" Target="../ctrlProps/ctrlProp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trlProp" Target="../ctrlProps/ctrlProp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trlProp" Target="../ctrlProps/ctrlProp5.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C7A81-8BC5-431A-AD1D-CF582B3C837B}">
  <dimension ref="A2:R157"/>
  <sheetViews>
    <sheetView showGridLines="0" topLeftCell="A131" workbookViewId="0">
      <selection activeCell="F62" sqref="F62:K64"/>
    </sheetView>
  </sheetViews>
  <sheetFormatPr defaultRowHeight="14.4" outlineLevelRow="1"/>
  <cols>
    <col min="1" max="1" width="1.88671875" customWidth="1"/>
    <col min="2" max="2" width="34" bestFit="1" customWidth="1"/>
    <col min="6" max="6" width="9.6640625" customWidth="1"/>
    <col min="10" max="10" width="11.5546875" bestFit="1" customWidth="1"/>
    <col min="11" max="15" width="10.109375" bestFit="1" customWidth="1"/>
  </cols>
  <sheetData>
    <row r="2" spans="1:18" ht="21">
      <c r="B2" s="282" t="s">
        <v>320</v>
      </c>
    </row>
    <row r="3" spans="1:18" ht="18">
      <c r="B3" s="2" t="s">
        <v>0</v>
      </c>
    </row>
    <row r="4" spans="1:18" ht="18">
      <c r="B4" s="2"/>
    </row>
    <row r="5" spans="1:18" ht="18">
      <c r="B5" s="2"/>
      <c r="J5" t="s">
        <v>1</v>
      </c>
      <c r="K5">
        <v>1</v>
      </c>
    </row>
    <row r="7" spans="1:18">
      <c r="L7" t="s">
        <v>2</v>
      </c>
    </row>
    <row r="8" spans="1:18">
      <c r="D8" s="3"/>
      <c r="E8" s="3"/>
      <c r="F8" s="3"/>
      <c r="G8" s="3"/>
      <c r="H8" s="3"/>
      <c r="J8" s="495" t="s">
        <v>3</v>
      </c>
      <c r="K8" s="495"/>
      <c r="L8" s="496" t="s">
        <v>4</v>
      </c>
      <c r="M8" s="496"/>
      <c r="N8" s="496"/>
      <c r="O8" s="496"/>
      <c r="P8" s="496"/>
    </row>
    <row r="9" spans="1:18">
      <c r="B9" s="4" t="s">
        <v>5</v>
      </c>
      <c r="F9" s="5">
        <f t="shared" ref="F9:H9" si="0">G9-1</f>
        <v>2021</v>
      </c>
      <c r="G9" s="5">
        <f t="shared" si="0"/>
        <v>2022</v>
      </c>
      <c r="H9" s="5">
        <f t="shared" si="0"/>
        <v>2023</v>
      </c>
      <c r="I9" s="5">
        <f>J9-1</f>
        <v>2024</v>
      </c>
      <c r="J9" s="5">
        <v>2025</v>
      </c>
      <c r="K9" s="5">
        <f>J9+1</f>
        <v>2026</v>
      </c>
      <c r="L9" s="5">
        <f t="shared" ref="L9:N9" si="1">K9+1</f>
        <v>2027</v>
      </c>
      <c r="M9" s="5">
        <f t="shared" si="1"/>
        <v>2028</v>
      </c>
      <c r="N9" s="5">
        <f t="shared" si="1"/>
        <v>2029</v>
      </c>
      <c r="O9" s="5">
        <f>N9+1</f>
        <v>2030</v>
      </c>
      <c r="P9" s="5">
        <f>O9+1</f>
        <v>2031</v>
      </c>
    </row>
    <row r="10" spans="1:18">
      <c r="B10" s="231" t="s">
        <v>440</v>
      </c>
      <c r="C10" s="6"/>
      <c r="D10" s="6"/>
      <c r="E10" s="6"/>
      <c r="F10" s="6"/>
      <c r="G10" s="6"/>
      <c r="H10" s="6"/>
      <c r="I10" s="6"/>
      <c r="J10" s="6"/>
      <c r="K10" s="6" t="s">
        <v>13</v>
      </c>
      <c r="L10" s="6"/>
      <c r="M10" s="6"/>
      <c r="N10" s="6"/>
      <c r="O10" s="6"/>
      <c r="P10" s="6"/>
    </row>
    <row r="11" spans="1:18" ht="15.6">
      <c r="A11" t="s">
        <v>6</v>
      </c>
      <c r="B11" s="7" t="s">
        <v>336</v>
      </c>
      <c r="C11" s="8"/>
      <c r="D11" s="8"/>
      <c r="E11" s="8"/>
      <c r="F11" s="8"/>
      <c r="G11" s="8"/>
      <c r="H11" s="8"/>
      <c r="I11" s="8"/>
      <c r="J11" s="8"/>
      <c r="K11" s="8"/>
      <c r="L11" s="8"/>
      <c r="M11" s="8"/>
      <c r="N11" s="8"/>
      <c r="O11" s="8"/>
      <c r="P11" s="8"/>
    </row>
    <row r="13" spans="1:18">
      <c r="B13" s="9" t="s">
        <v>690</v>
      </c>
      <c r="C13" s="10"/>
      <c r="D13" s="10"/>
      <c r="E13" s="10"/>
      <c r="F13" s="10"/>
      <c r="G13" s="10"/>
      <c r="H13" s="10"/>
      <c r="I13" s="10"/>
      <c r="J13" s="10"/>
      <c r="K13" s="10"/>
      <c r="L13" s="10"/>
      <c r="M13" s="10"/>
      <c r="N13" s="10"/>
      <c r="O13" s="10"/>
      <c r="P13" s="10"/>
      <c r="Q13" s="19"/>
      <c r="R13" s="19"/>
    </row>
    <row r="14" spans="1:18">
      <c r="B14" s="13" t="s">
        <v>7</v>
      </c>
      <c r="C14" s="12"/>
      <c r="D14" s="12"/>
      <c r="E14" s="12"/>
      <c r="F14" s="122"/>
      <c r="G14" s="119"/>
      <c r="H14" s="119"/>
      <c r="I14" s="119"/>
      <c r="J14" s="119"/>
      <c r="K14" s="119"/>
      <c r="L14" s="121">
        <v>0.19800000000000001</v>
      </c>
      <c r="M14" s="121">
        <v>0.19800000000000001</v>
      </c>
      <c r="N14" s="121">
        <v>0.19800000000000001</v>
      </c>
      <c r="O14" s="121">
        <v>0.19800000000000001</v>
      </c>
      <c r="P14" s="121">
        <v>0.19800000000000001</v>
      </c>
    </row>
    <row r="15" spans="1:18">
      <c r="B15" s="13" t="s">
        <v>8</v>
      </c>
      <c r="C15" s="12"/>
      <c r="D15" s="12"/>
      <c r="E15" s="12"/>
      <c r="F15" s="122"/>
      <c r="G15" s="119"/>
      <c r="H15" s="119"/>
      <c r="I15" s="119"/>
      <c r="J15" s="119"/>
      <c r="K15" s="119"/>
      <c r="L15" s="121">
        <v>0.19800000000000001</v>
      </c>
      <c r="M15" s="121">
        <v>0.19800000000000001</v>
      </c>
      <c r="N15" s="121">
        <v>0.19800000000000001</v>
      </c>
      <c r="O15" s="121">
        <v>0.19800000000000001</v>
      </c>
      <c r="P15" s="121">
        <v>0.19800000000000001</v>
      </c>
    </row>
    <row r="16" spans="1:18">
      <c r="B16" s="13" t="s">
        <v>9</v>
      </c>
      <c r="C16" s="12"/>
      <c r="D16" s="12"/>
      <c r="E16" s="12"/>
      <c r="F16" s="122"/>
      <c r="G16" s="119"/>
      <c r="H16" s="119"/>
      <c r="I16" s="119"/>
      <c r="J16" s="119"/>
      <c r="K16" s="119"/>
      <c r="L16" s="121">
        <v>0.19800000000000001</v>
      </c>
      <c r="M16" s="121">
        <v>0.19800000000000001</v>
      </c>
      <c r="N16" s="121">
        <v>0.19800000000000001</v>
      </c>
      <c r="O16" s="121">
        <v>0.19800000000000001</v>
      </c>
      <c r="P16" s="121">
        <v>0.19800000000000001</v>
      </c>
    </row>
    <row r="17" spans="2:16">
      <c r="B17" s="11" t="str">
        <f>"Current Case - "&amp; CHOOSE($K$5,$B$14,$B$15,$B$16)</f>
        <v>Current Case - Management Case</v>
      </c>
      <c r="C17" s="12"/>
      <c r="D17" s="12"/>
      <c r="E17" s="12"/>
      <c r="F17" s="123"/>
      <c r="G17" s="15"/>
      <c r="H17" s="15"/>
      <c r="I17" s="15"/>
      <c r="J17" s="15"/>
      <c r="K17" s="15"/>
      <c r="L17" s="15">
        <f t="shared" ref="L17:N17" si="2">CHOOSE($K$5,L14,L15,L16)</f>
        <v>0.19800000000000001</v>
      </c>
      <c r="M17" s="15">
        <f t="shared" si="2"/>
        <v>0.19800000000000001</v>
      </c>
      <c r="N17" s="15">
        <f t="shared" si="2"/>
        <v>0.19800000000000001</v>
      </c>
      <c r="O17" s="15">
        <f>CHOOSE($K$5,O14,O15,O16)</f>
        <v>0.19800000000000001</v>
      </c>
      <c r="P17" s="15">
        <f>CHOOSE($K$5,P14,P15,P16)</f>
        <v>0.19800000000000001</v>
      </c>
    </row>
    <row r="18" spans="2:16">
      <c r="B18" s="23"/>
      <c r="C18" s="285"/>
      <c r="D18" s="285"/>
      <c r="E18" s="285"/>
      <c r="F18" s="368"/>
      <c r="G18" s="120"/>
      <c r="H18" s="120"/>
      <c r="I18" s="120"/>
      <c r="J18" s="120"/>
      <c r="K18" s="120"/>
      <c r="L18" s="120"/>
      <c r="M18" s="120"/>
      <c r="N18" s="120"/>
      <c r="O18" s="120"/>
      <c r="P18" s="17"/>
    </row>
    <row r="19" spans="2:16">
      <c r="B19" s="9" t="s">
        <v>713</v>
      </c>
      <c r="C19" s="10"/>
      <c r="D19" s="10"/>
      <c r="E19" s="10"/>
      <c r="F19" s="10"/>
      <c r="G19" s="10"/>
      <c r="H19" s="10"/>
      <c r="I19" s="10"/>
      <c r="J19" s="10"/>
      <c r="K19" s="10"/>
      <c r="L19" s="10"/>
      <c r="M19" s="10"/>
      <c r="N19" s="10"/>
      <c r="O19" s="10"/>
      <c r="P19" s="10"/>
    </row>
    <row r="20" spans="2:16">
      <c r="B20" s="13" t="s">
        <v>7</v>
      </c>
      <c r="C20" s="12"/>
      <c r="D20" s="12"/>
      <c r="E20" s="12"/>
      <c r="F20" s="122"/>
      <c r="G20" s="119"/>
      <c r="H20" s="119"/>
      <c r="I20" s="119"/>
      <c r="J20" s="119"/>
      <c r="K20" s="119"/>
      <c r="L20" s="121">
        <v>0.2</v>
      </c>
      <c r="M20" s="121">
        <v>0.2</v>
      </c>
      <c r="N20" s="121">
        <v>0.2</v>
      </c>
      <c r="O20" s="121">
        <v>0.2</v>
      </c>
      <c r="P20" s="121">
        <v>0.2</v>
      </c>
    </row>
    <row r="21" spans="2:16">
      <c r="B21" s="13" t="s">
        <v>8</v>
      </c>
      <c r="C21" s="12"/>
      <c r="D21" s="12"/>
      <c r="E21" s="12"/>
      <c r="F21" s="122"/>
      <c r="G21" s="119"/>
      <c r="H21" s="119"/>
      <c r="I21" s="119"/>
      <c r="J21" s="119"/>
      <c r="K21" s="119"/>
      <c r="L21" s="121">
        <v>0.2</v>
      </c>
      <c r="M21" s="121">
        <v>0.2</v>
      </c>
      <c r="N21" s="121">
        <v>0.2</v>
      </c>
      <c r="O21" s="121">
        <v>0.2</v>
      </c>
      <c r="P21" s="121">
        <v>0.2</v>
      </c>
    </row>
    <row r="22" spans="2:16">
      <c r="B22" s="13" t="s">
        <v>9</v>
      </c>
      <c r="C22" s="12"/>
      <c r="D22" s="12"/>
      <c r="E22" s="12"/>
      <c r="F22" s="122"/>
      <c r="G22" s="119"/>
      <c r="H22" s="119"/>
      <c r="I22" s="119"/>
      <c r="J22" s="119"/>
      <c r="K22" s="119"/>
      <c r="L22" s="121">
        <v>0.2</v>
      </c>
      <c r="M22" s="121">
        <v>0.2</v>
      </c>
      <c r="N22" s="121">
        <v>0.2</v>
      </c>
      <c r="O22" s="121">
        <v>0.2</v>
      </c>
      <c r="P22" s="121">
        <v>0.2</v>
      </c>
    </row>
    <row r="23" spans="2:16">
      <c r="B23" s="11" t="str">
        <f>"Current Case - "&amp; CHOOSE($K$5,$B$14,$B$15,$B$16)</f>
        <v>Current Case - Management Case</v>
      </c>
      <c r="C23" s="12"/>
      <c r="D23" s="12"/>
      <c r="E23" s="12"/>
      <c r="F23" s="123"/>
      <c r="G23" s="15"/>
      <c r="H23" s="15"/>
      <c r="I23" s="15"/>
      <c r="J23" s="15"/>
      <c r="K23" s="15"/>
      <c r="L23" s="15">
        <f t="shared" ref="L23:N23" si="3">CHOOSE($K$5,L20,L21,L22)</f>
        <v>0.2</v>
      </c>
      <c r="M23" s="15">
        <f t="shared" si="3"/>
        <v>0.2</v>
      </c>
      <c r="N23" s="15">
        <f t="shared" si="3"/>
        <v>0.2</v>
      </c>
      <c r="O23" s="15">
        <f>CHOOSE($K$5,O20,O21,O22)</f>
        <v>0.2</v>
      </c>
      <c r="P23" s="15">
        <f>CHOOSE($K$5,P20,P21,P22)</f>
        <v>0.2</v>
      </c>
    </row>
    <row r="24" spans="2:16">
      <c r="B24" s="23"/>
      <c r="C24" s="285"/>
      <c r="D24" s="285"/>
      <c r="E24" s="285"/>
      <c r="F24" s="368"/>
      <c r="G24" s="120"/>
      <c r="H24" s="120"/>
      <c r="I24" s="120"/>
      <c r="J24" s="120"/>
      <c r="K24" s="120"/>
      <c r="L24" s="120"/>
      <c r="M24" s="120"/>
      <c r="N24" s="120"/>
      <c r="O24" s="120"/>
      <c r="P24" s="17"/>
    </row>
    <row r="25" spans="2:16">
      <c r="B25" s="9" t="s">
        <v>714</v>
      </c>
      <c r="C25" s="10"/>
      <c r="D25" s="10"/>
      <c r="E25" s="10"/>
      <c r="F25" s="10"/>
      <c r="G25" s="10"/>
      <c r="H25" s="10"/>
      <c r="I25" s="10"/>
      <c r="J25" s="10"/>
      <c r="K25" s="10"/>
      <c r="L25" s="10"/>
      <c r="M25" s="10"/>
      <c r="N25" s="10"/>
      <c r="O25" s="10"/>
      <c r="P25" s="10"/>
    </row>
    <row r="26" spans="2:16">
      <c r="B26" s="13" t="s">
        <v>7</v>
      </c>
      <c r="C26" s="12"/>
      <c r="D26" s="12"/>
      <c r="E26" s="12"/>
      <c r="F26" s="122"/>
      <c r="G26" s="119"/>
      <c r="H26" s="119"/>
      <c r="I26" s="119"/>
      <c r="J26" s="119"/>
      <c r="K26" s="119"/>
      <c r="L26" s="121">
        <v>0.15</v>
      </c>
      <c r="M26" s="121">
        <v>0.15</v>
      </c>
      <c r="N26" s="121">
        <v>0.15</v>
      </c>
      <c r="O26" s="121">
        <v>0.15</v>
      </c>
      <c r="P26" s="121">
        <v>0.15</v>
      </c>
    </row>
    <row r="27" spans="2:16">
      <c r="B27" s="13" t="s">
        <v>8</v>
      </c>
      <c r="C27" s="12"/>
      <c r="D27" s="12"/>
      <c r="E27" s="12"/>
      <c r="F27" s="122"/>
      <c r="G27" s="119"/>
      <c r="H27" s="119"/>
      <c r="I27" s="119"/>
      <c r="J27" s="119"/>
      <c r="K27" s="119"/>
      <c r="L27" s="121">
        <v>0.15</v>
      </c>
      <c r="M27" s="121">
        <v>0.15</v>
      </c>
      <c r="N27" s="121">
        <v>0.15</v>
      </c>
      <c r="O27" s="121">
        <v>0.15</v>
      </c>
      <c r="P27" s="121">
        <v>0.15</v>
      </c>
    </row>
    <row r="28" spans="2:16">
      <c r="B28" s="13" t="s">
        <v>9</v>
      </c>
      <c r="C28" s="12"/>
      <c r="D28" s="12"/>
      <c r="E28" s="12"/>
      <c r="F28" s="122"/>
      <c r="G28" s="119"/>
      <c r="H28" s="119"/>
      <c r="I28" s="119"/>
      <c r="J28" s="119"/>
      <c r="K28" s="119"/>
      <c r="L28" s="121">
        <v>0.15</v>
      </c>
      <c r="M28" s="121">
        <v>0.15</v>
      </c>
      <c r="N28" s="121">
        <v>0.15</v>
      </c>
      <c r="O28" s="121">
        <v>0.15</v>
      </c>
      <c r="P28" s="121">
        <v>0.15</v>
      </c>
    </row>
    <row r="29" spans="2:16">
      <c r="B29" s="11" t="str">
        <f>"Current Case - "&amp; CHOOSE($K$5,$B$14,$B$15,$B$16)</f>
        <v>Current Case - Management Case</v>
      </c>
      <c r="C29" s="12"/>
      <c r="D29" s="12"/>
      <c r="E29" s="12"/>
      <c r="F29" s="123"/>
      <c r="G29" s="15"/>
      <c r="H29" s="15"/>
      <c r="I29" s="15"/>
      <c r="J29" s="15"/>
      <c r="K29" s="15"/>
      <c r="L29" s="15">
        <f t="shared" ref="L29:N29" si="4">CHOOSE($K$5,L26,L27,L28)</f>
        <v>0.15</v>
      </c>
      <c r="M29" s="15">
        <f t="shared" si="4"/>
        <v>0.15</v>
      </c>
      <c r="N29" s="15">
        <f t="shared" si="4"/>
        <v>0.15</v>
      </c>
      <c r="O29" s="15">
        <f>CHOOSE($K$5,O26,O27,O28)</f>
        <v>0.15</v>
      </c>
      <c r="P29" s="15">
        <f>CHOOSE($K$5,P26,P27,P28)</f>
        <v>0.15</v>
      </c>
    </row>
    <row r="30" spans="2:16">
      <c r="B30" s="23"/>
      <c r="C30" s="285"/>
      <c r="D30" s="285"/>
      <c r="E30" s="285"/>
      <c r="F30" s="368"/>
      <c r="G30" s="120"/>
      <c r="H30" s="120"/>
      <c r="I30" s="120"/>
      <c r="J30" s="120"/>
      <c r="K30" s="120"/>
      <c r="L30" s="120"/>
      <c r="M30" s="120"/>
      <c r="N30" s="120"/>
      <c r="O30" s="120"/>
      <c r="P30" s="17"/>
    </row>
    <row r="31" spans="2:16">
      <c r="B31" s="9" t="s">
        <v>715</v>
      </c>
      <c r="C31" s="10"/>
      <c r="D31" s="10"/>
      <c r="E31" s="10"/>
      <c r="F31" s="10"/>
      <c r="G31" s="10"/>
      <c r="H31" s="10"/>
      <c r="I31" s="10"/>
      <c r="J31" s="10"/>
      <c r="K31" s="10"/>
      <c r="L31" s="10"/>
      <c r="M31" s="10"/>
      <c r="N31" s="10"/>
      <c r="O31" s="10"/>
      <c r="P31" s="10"/>
    </row>
    <row r="32" spans="2:16">
      <c r="B32" s="13" t="s">
        <v>7</v>
      </c>
      <c r="C32" s="12"/>
      <c r="D32" s="12"/>
      <c r="E32" s="12"/>
      <c r="F32" s="122"/>
      <c r="G32" s="119"/>
      <c r="H32" s="119"/>
      <c r="I32" s="119"/>
      <c r="J32" s="119"/>
      <c r="K32" s="119"/>
      <c r="L32" s="121">
        <v>0.18</v>
      </c>
      <c r="M32" s="121">
        <v>0.18</v>
      </c>
      <c r="N32" s="121">
        <v>0.18</v>
      </c>
      <c r="O32" s="121">
        <v>0.18</v>
      </c>
      <c r="P32" s="121">
        <v>0.18</v>
      </c>
    </row>
    <row r="33" spans="1:16">
      <c r="B33" s="13" t="s">
        <v>8</v>
      </c>
      <c r="C33" s="12"/>
      <c r="D33" s="12"/>
      <c r="E33" s="12"/>
      <c r="F33" s="122"/>
      <c r="G33" s="119"/>
      <c r="H33" s="119"/>
      <c r="I33" s="119"/>
      <c r="J33" s="119"/>
      <c r="K33" s="119"/>
      <c r="L33" s="121">
        <v>0.18</v>
      </c>
      <c r="M33" s="121">
        <v>0.18</v>
      </c>
      <c r="N33" s="121">
        <v>0.18</v>
      </c>
      <c r="O33" s="121">
        <v>0.18</v>
      </c>
      <c r="P33" s="121">
        <v>0.18</v>
      </c>
    </row>
    <row r="34" spans="1:16">
      <c r="B34" s="13" t="s">
        <v>9</v>
      </c>
      <c r="C34" s="12"/>
      <c r="D34" s="12"/>
      <c r="E34" s="12"/>
      <c r="F34" s="122"/>
      <c r="G34" s="119"/>
      <c r="H34" s="119"/>
      <c r="I34" s="119"/>
      <c r="J34" s="119"/>
      <c r="K34" s="119"/>
      <c r="L34" s="121">
        <v>0.18</v>
      </c>
      <c r="M34" s="121">
        <v>0.18</v>
      </c>
      <c r="N34" s="121">
        <v>0.18</v>
      </c>
      <c r="O34" s="121">
        <v>0.18</v>
      </c>
      <c r="P34" s="121">
        <v>0.18</v>
      </c>
    </row>
    <row r="35" spans="1:16">
      <c r="B35" s="11" t="str">
        <f>"Current Case - "&amp; CHOOSE($K$5,$B$14,$B$15,$B$16)</f>
        <v>Current Case - Management Case</v>
      </c>
      <c r="C35" s="12"/>
      <c r="D35" s="12"/>
      <c r="E35" s="12"/>
      <c r="F35" s="123"/>
      <c r="G35" s="15"/>
      <c r="H35" s="15"/>
      <c r="I35" s="15"/>
      <c r="J35" s="15"/>
      <c r="K35" s="15"/>
      <c r="L35" s="15">
        <f t="shared" ref="L35:N35" si="5">CHOOSE($K$5,L32,L33,L34)</f>
        <v>0.18</v>
      </c>
      <c r="M35" s="15">
        <f t="shared" si="5"/>
        <v>0.18</v>
      </c>
      <c r="N35" s="15">
        <f t="shared" si="5"/>
        <v>0.18</v>
      </c>
      <c r="O35" s="15">
        <f>CHOOSE($K$5,O32,O33,O34)</f>
        <v>0.18</v>
      </c>
      <c r="P35" s="15">
        <f>CHOOSE($K$5,P32,P33,P34)</f>
        <v>0.18</v>
      </c>
    </row>
    <row r="36" spans="1:16">
      <c r="B36" s="23"/>
      <c r="C36" s="285"/>
      <c r="D36" s="285"/>
      <c r="E36" s="285"/>
      <c r="F36" s="368"/>
      <c r="G36" s="120"/>
      <c r="H36" s="120"/>
      <c r="I36" s="120"/>
      <c r="J36" s="120"/>
      <c r="K36" s="120"/>
      <c r="L36" s="120"/>
      <c r="M36" s="120"/>
      <c r="N36" s="120"/>
      <c r="O36" s="120"/>
      <c r="P36" s="17"/>
    </row>
    <row r="37" spans="1:16">
      <c r="B37" s="9" t="s">
        <v>712</v>
      </c>
      <c r="C37" s="10"/>
      <c r="D37" s="10"/>
      <c r="E37" s="10"/>
      <c r="F37" s="10"/>
      <c r="G37" s="10"/>
      <c r="H37" s="10"/>
      <c r="I37" s="10"/>
      <c r="J37" s="10"/>
      <c r="K37" s="10"/>
      <c r="L37" s="10"/>
      <c r="M37" s="10"/>
      <c r="N37" s="10"/>
      <c r="O37" s="10"/>
      <c r="P37" s="10"/>
    </row>
    <row r="38" spans="1:16">
      <c r="B38" s="13" t="s">
        <v>7</v>
      </c>
      <c r="C38" s="12"/>
      <c r="D38" s="12"/>
      <c r="E38" s="12"/>
      <c r="F38" s="122"/>
      <c r="G38" s="119"/>
      <c r="H38" s="119"/>
      <c r="I38" s="119"/>
      <c r="J38" s="119"/>
      <c r="K38" s="119"/>
      <c r="L38" s="121">
        <v>0.1</v>
      </c>
      <c r="M38" s="121">
        <v>0.1</v>
      </c>
      <c r="N38" s="121">
        <v>0.1</v>
      </c>
      <c r="O38" s="121">
        <v>0.1</v>
      </c>
      <c r="P38" s="121">
        <v>0.1</v>
      </c>
    </row>
    <row r="39" spans="1:16">
      <c r="B39" s="13" t="s">
        <v>8</v>
      </c>
      <c r="C39" s="12"/>
      <c r="D39" s="12"/>
      <c r="E39" s="12"/>
      <c r="F39" s="122"/>
      <c r="G39" s="119"/>
      <c r="H39" s="119"/>
      <c r="I39" s="119"/>
      <c r="J39" s="119"/>
      <c r="K39" s="119"/>
      <c r="L39" s="121">
        <v>0.1</v>
      </c>
      <c r="M39" s="121">
        <v>0.1</v>
      </c>
      <c r="N39" s="121">
        <v>0.1</v>
      </c>
      <c r="O39" s="121">
        <v>0.1</v>
      </c>
      <c r="P39" s="121">
        <v>0.1</v>
      </c>
    </row>
    <row r="40" spans="1:16">
      <c r="B40" s="13" t="s">
        <v>9</v>
      </c>
      <c r="C40" s="12"/>
      <c r="D40" s="12"/>
      <c r="E40" s="12"/>
      <c r="F40" s="122"/>
      <c r="G40" s="119"/>
      <c r="H40" s="119"/>
      <c r="I40" s="119"/>
      <c r="J40" s="119"/>
      <c r="K40" s="119"/>
      <c r="L40" s="121">
        <v>0.1</v>
      </c>
      <c r="M40" s="121">
        <v>0.1</v>
      </c>
      <c r="N40" s="121">
        <v>0.1</v>
      </c>
      <c r="O40" s="121">
        <v>0.1</v>
      </c>
      <c r="P40" s="121">
        <v>0.1</v>
      </c>
    </row>
    <row r="41" spans="1:16">
      <c r="B41" s="11" t="str">
        <f>"Current Case - "&amp; CHOOSE($K$5,$B$14,$B$15,$B$16)</f>
        <v>Current Case - Management Case</v>
      </c>
      <c r="C41" s="12"/>
      <c r="D41" s="12"/>
      <c r="E41" s="12"/>
      <c r="F41" s="123"/>
      <c r="G41" s="15"/>
      <c r="H41" s="15"/>
      <c r="I41" s="15"/>
      <c r="J41" s="15"/>
      <c r="K41" s="15"/>
      <c r="L41" s="15">
        <f t="shared" ref="L41:N41" si="6">CHOOSE($K$5,L38,L39,L40)</f>
        <v>0.1</v>
      </c>
      <c r="M41" s="15">
        <f t="shared" si="6"/>
        <v>0.1</v>
      </c>
      <c r="N41" s="15">
        <f t="shared" si="6"/>
        <v>0.1</v>
      </c>
      <c r="O41" s="15">
        <f>CHOOSE($K$5,O38,O39,O40)</f>
        <v>0.1</v>
      </c>
      <c r="P41" s="15">
        <f>CHOOSE($K$5,P38,P39,P40)</f>
        <v>0.1</v>
      </c>
    </row>
    <row r="42" spans="1:16" ht="15.6" customHeight="1">
      <c r="B42" s="23"/>
      <c r="C42" s="23"/>
      <c r="D42" s="23"/>
      <c r="E42" s="23"/>
      <c r="F42" s="358"/>
      <c r="G42" s="23"/>
      <c r="H42" s="23"/>
      <c r="I42" s="23"/>
      <c r="J42" s="23"/>
      <c r="K42" s="120"/>
      <c r="L42" s="120"/>
      <c r="M42" s="120"/>
      <c r="N42" s="120"/>
      <c r="O42" s="120"/>
    </row>
    <row r="43" spans="1:16" ht="15.6">
      <c r="A43" t="s">
        <v>6</v>
      </c>
      <c r="B43" s="7" t="s">
        <v>441</v>
      </c>
      <c r="C43" s="8"/>
      <c r="D43" s="8"/>
      <c r="E43" s="8"/>
      <c r="F43" s="8"/>
      <c r="G43" s="8"/>
      <c r="H43" s="8"/>
      <c r="I43" s="8"/>
      <c r="J43" s="8"/>
      <c r="K43" s="8"/>
      <c r="L43" s="8"/>
      <c r="M43" s="8"/>
      <c r="N43" s="8"/>
      <c r="O43" s="8"/>
      <c r="P43" s="8"/>
    </row>
    <row r="44" spans="1:16" s="19" customFormat="1" ht="15.6">
      <c r="B44" s="75"/>
      <c r="C44" s="74"/>
      <c r="D44" s="74"/>
      <c r="E44" s="74"/>
      <c r="F44" s="74"/>
      <c r="G44" s="74"/>
      <c r="H44" s="74"/>
      <c r="I44" s="74"/>
      <c r="J44" s="74"/>
      <c r="K44" s="74"/>
      <c r="L44" s="74"/>
      <c r="M44" s="74"/>
      <c r="N44" s="74"/>
      <c r="O44" s="74"/>
      <c r="P44" s="74"/>
    </row>
    <row r="45" spans="1:16" s="19" customFormat="1">
      <c r="B45" s="9" t="s">
        <v>306</v>
      </c>
      <c r="C45" s="10"/>
      <c r="D45" s="10"/>
      <c r="E45" s="10"/>
      <c r="F45" s="10"/>
      <c r="G45" s="10"/>
      <c r="H45" s="10"/>
      <c r="I45" s="10"/>
      <c r="J45" s="10"/>
      <c r="K45" s="10"/>
      <c r="L45" s="10"/>
      <c r="M45" s="10"/>
      <c r="N45" s="10"/>
      <c r="O45" s="10"/>
      <c r="P45" s="10"/>
    </row>
    <row r="46" spans="1:16" s="19" customFormat="1">
      <c r="B46" s="13" t="s">
        <v>7</v>
      </c>
      <c r="C46" s="12"/>
      <c r="D46" s="12"/>
      <c r="E46" s="12"/>
      <c r="F46" s="501">
        <f>'Income Statement'!J$33</f>
        <v>0.35464980983401595</v>
      </c>
      <c r="G46" s="501">
        <f>'Income Statement'!K$33</f>
        <v>0.25028349352878898</v>
      </c>
      <c r="H46" s="501">
        <f>'Income Statement'!L$33</f>
        <v>0.28536409892486475</v>
      </c>
      <c r="I46" s="501">
        <f>'Income Statement'!M$33</f>
        <v>0.41084954059470891</v>
      </c>
      <c r="J46" s="501">
        <f>'Income Statement'!N$33</f>
        <v>0.40373055917547512</v>
      </c>
      <c r="K46" s="501">
        <f>'Income Statement'!O$33</f>
        <v>0.33611654164984539</v>
      </c>
      <c r="L46" s="121">
        <f>K46-(($K$46-$O$46)/($O$9-$K$9))</f>
        <v>0.37708740623738402</v>
      </c>
      <c r="M46" s="121">
        <f>L46-(($K$46-$O$46)/($O$9-$K$9))</f>
        <v>0.41805827082492264</v>
      </c>
      <c r="N46" s="121">
        <f>M46-(($K$46-$O$46)/($O$9-$K$9))</f>
        <v>0.45902913541246126</v>
      </c>
      <c r="O46" s="14">
        <v>0.5</v>
      </c>
      <c r="P46" s="14">
        <v>0.5</v>
      </c>
    </row>
    <row r="47" spans="1:16" s="19" customFormat="1">
      <c r="B47" s="13" t="s">
        <v>8</v>
      </c>
      <c r="C47" s="12"/>
      <c r="D47" s="12"/>
      <c r="E47" s="12"/>
      <c r="F47" s="501">
        <f>'Income Statement'!J$33</f>
        <v>0.35464980983401595</v>
      </c>
      <c r="G47" s="501">
        <f>'Income Statement'!K$33</f>
        <v>0.25028349352878898</v>
      </c>
      <c r="H47" s="501">
        <f>'Income Statement'!L$33</f>
        <v>0.28536409892486475</v>
      </c>
      <c r="I47" s="501">
        <f>'Income Statement'!M$33</f>
        <v>0.41084954059470891</v>
      </c>
      <c r="J47" s="501">
        <f>'Income Statement'!N$33</f>
        <v>0.40373055917547512</v>
      </c>
      <c r="K47" s="501">
        <f>'Income Statement'!O$33</f>
        <v>0.33611654164984539</v>
      </c>
      <c r="L47" s="121">
        <f>K47-(($K$47-$O$47)/($O$9-$K$9))</f>
        <v>0.38958740623738408</v>
      </c>
      <c r="M47" s="121">
        <f>L47-(($K$47-$O$47)/($O$9-$K$9))</f>
        <v>0.44305827082492277</v>
      </c>
      <c r="N47" s="121">
        <f>M47-(($K$47-$O$47)/($O$9-$K$9))</f>
        <v>0.49652913541246146</v>
      </c>
      <c r="O47" s="14">
        <v>0.55000000000000004</v>
      </c>
      <c r="P47" s="14">
        <v>0.55000000000000004</v>
      </c>
    </row>
    <row r="48" spans="1:16" s="19" customFormat="1">
      <c r="B48" s="13" t="s">
        <v>9</v>
      </c>
      <c r="C48" s="12"/>
      <c r="D48" s="12"/>
      <c r="E48" s="12"/>
      <c r="F48" s="501">
        <f>'Income Statement'!J$33</f>
        <v>0.35464980983401595</v>
      </c>
      <c r="G48" s="501">
        <f>'Income Statement'!K$33</f>
        <v>0.25028349352878898</v>
      </c>
      <c r="H48" s="501">
        <f>'Income Statement'!L$33</f>
        <v>0.28536409892486475</v>
      </c>
      <c r="I48" s="501">
        <f>'Income Statement'!M$33</f>
        <v>0.41084954059470891</v>
      </c>
      <c r="J48" s="501">
        <f>'Income Statement'!N$33</f>
        <v>0.40373055917547512</v>
      </c>
      <c r="K48" s="501">
        <f>'Income Statement'!O$33</f>
        <v>0.33611654164984539</v>
      </c>
      <c r="L48" s="121">
        <f>K48-(($K$48-$O$48)/($O$9-$K$9))</f>
        <v>0.33958740623738404</v>
      </c>
      <c r="M48" s="121">
        <f>L48-(($K$48-$O$48)/($O$9-$K$9))</f>
        <v>0.34305827082492268</v>
      </c>
      <c r="N48" s="121">
        <f>M48-(($K$48-$O$48)/($O$9-$K$9))</f>
        <v>0.34652913541246133</v>
      </c>
      <c r="O48" s="14">
        <v>0.35</v>
      </c>
      <c r="P48" s="14">
        <v>0.35</v>
      </c>
    </row>
    <row r="49" spans="2:16" s="19" customFormat="1">
      <c r="B49" s="11" t="str">
        <f>"Current Case - "&amp; CHOOSE($K$5,$B$14,$B$15,$B$16)</f>
        <v>Current Case - Management Case</v>
      </c>
      <c r="C49" s="12"/>
      <c r="D49" s="12"/>
      <c r="E49" s="12"/>
      <c r="F49" s="123">
        <f t="shared" ref="F49:N49" si="7">CHOOSE($K$5,F46,F47,F48)</f>
        <v>0.35464980983401595</v>
      </c>
      <c r="G49" s="15">
        <f t="shared" si="7"/>
        <v>0.25028349352878898</v>
      </c>
      <c r="H49" s="15">
        <f t="shared" si="7"/>
        <v>0.28536409892486475</v>
      </c>
      <c r="I49" s="15">
        <f t="shared" si="7"/>
        <v>0.41084954059470891</v>
      </c>
      <c r="J49" s="15">
        <f t="shared" si="7"/>
        <v>0.40373055917547512</v>
      </c>
      <c r="K49" s="15">
        <f t="shared" si="7"/>
        <v>0.33611654164984539</v>
      </c>
      <c r="L49" s="15">
        <f t="shared" si="7"/>
        <v>0.37708740623738402</v>
      </c>
      <c r="M49" s="15">
        <f>CHOOSE($K$5,M46,M47,M48)</f>
        <v>0.41805827082492264</v>
      </c>
      <c r="N49" s="15">
        <f t="shared" si="7"/>
        <v>0.45902913541246126</v>
      </c>
      <c r="O49" s="15">
        <f>CHOOSE($K$5,O46,O47,O48)</f>
        <v>0.5</v>
      </c>
      <c r="P49" s="15">
        <f>CHOOSE($K$5,P46,P47,P48)</f>
        <v>0.5</v>
      </c>
    </row>
    <row r="51" spans="2:16">
      <c r="B51" s="16" t="s">
        <v>303</v>
      </c>
      <c r="C51" s="16"/>
      <c r="D51" s="16"/>
      <c r="E51" s="16"/>
      <c r="F51" s="132">
        <f>1-F49</f>
        <v>0.64535019016598405</v>
      </c>
      <c r="G51" s="132">
        <f t="shared" ref="G51:J51" si="8">1-G49</f>
        <v>0.74971650647121102</v>
      </c>
      <c r="H51" s="132">
        <f t="shared" si="8"/>
        <v>0.7146359010751353</v>
      </c>
      <c r="I51" s="132">
        <f t="shared" si="8"/>
        <v>0.58915045940529109</v>
      </c>
      <c r="J51" s="132">
        <f t="shared" si="8"/>
        <v>0.59626944082452482</v>
      </c>
      <c r="K51" s="132">
        <f>1-K49</f>
        <v>0.66388345835015461</v>
      </c>
      <c r="L51" s="132">
        <v>0.66</v>
      </c>
      <c r="M51" s="132">
        <v>0.66</v>
      </c>
      <c r="N51" s="132">
        <v>0.66</v>
      </c>
      <c r="O51" s="132">
        <v>0.66</v>
      </c>
      <c r="P51" s="132">
        <v>0.66</v>
      </c>
    </row>
    <row r="52" spans="2:16" hidden="1" outlineLevel="1">
      <c r="B52" s="16"/>
      <c r="C52" s="16"/>
      <c r="D52" s="16"/>
      <c r="E52" s="16"/>
      <c r="F52" s="16"/>
      <c r="G52" s="16"/>
      <c r="H52" s="16"/>
      <c r="I52" s="16"/>
      <c r="J52" s="16"/>
      <c r="K52" s="17"/>
      <c r="L52" s="17"/>
      <c r="M52" s="17"/>
      <c r="N52" s="17"/>
      <c r="O52" s="17"/>
      <c r="P52" s="17"/>
    </row>
    <row r="53" spans="2:16" ht="15.6" collapsed="1">
      <c r="B53" s="7" t="s">
        <v>442</v>
      </c>
      <c r="C53" s="8"/>
      <c r="D53" s="8"/>
      <c r="E53" s="8"/>
      <c r="F53" s="8"/>
      <c r="G53" s="8"/>
      <c r="H53" s="8"/>
      <c r="I53" s="8"/>
      <c r="J53" s="8"/>
      <c r="K53" s="8"/>
      <c r="L53" s="8"/>
      <c r="M53" s="8"/>
      <c r="N53" s="8"/>
      <c r="O53" s="8"/>
      <c r="P53" s="8"/>
    </row>
    <row r="54" spans="2:16" ht="15.6">
      <c r="B54" s="75"/>
      <c r="C54" s="74"/>
      <c r="D54" s="74"/>
      <c r="E54" s="74"/>
      <c r="F54" s="74"/>
      <c r="G54" s="74"/>
      <c r="H54" s="74"/>
      <c r="I54" s="74"/>
      <c r="J54" s="74"/>
      <c r="K54" s="74"/>
      <c r="L54" s="74"/>
      <c r="M54" s="74"/>
      <c r="N54" s="74"/>
      <c r="O54" s="74"/>
      <c r="P54" s="74"/>
    </row>
    <row r="55" spans="2:16">
      <c r="B55" s="9" t="s">
        <v>307</v>
      </c>
      <c r="C55" s="136"/>
      <c r="D55" s="136"/>
      <c r="E55" s="136"/>
      <c r="F55" s="136"/>
      <c r="G55" s="136"/>
      <c r="H55" s="136"/>
      <c r="I55" s="136"/>
      <c r="J55" s="136"/>
      <c r="K55" s="136"/>
      <c r="L55" s="136"/>
      <c r="M55" s="136"/>
      <c r="N55" s="136"/>
      <c r="O55" s="136"/>
      <c r="P55" s="136"/>
    </row>
    <row r="56" spans="2:16">
      <c r="B56" s="13" t="s">
        <v>7</v>
      </c>
      <c r="C56" s="12"/>
      <c r="D56" s="12"/>
      <c r="E56" s="12"/>
      <c r="F56" s="501">
        <f>'Income Statement'!J$39</f>
        <v>0.22509221084801603</v>
      </c>
      <c r="G56" s="501">
        <f>'Income Statement'!K$39</f>
        <v>0.13445115170776578</v>
      </c>
      <c r="H56" s="501">
        <f>'Income Statement'!L$39</f>
        <v>8.8063624640525237E-2</v>
      </c>
      <c r="I56" s="501">
        <f>'Income Statement'!M$39</f>
        <v>9.3779343234021678E-2</v>
      </c>
      <c r="J56" s="501">
        <f>'Income Statement'!N$39</f>
        <v>9.247811650324432E-2</v>
      </c>
      <c r="K56" s="501">
        <f>'Income Statement'!O$39</f>
        <v>9.736364182062783E-2</v>
      </c>
      <c r="L56" s="14">
        <v>0.1</v>
      </c>
      <c r="M56" s="14">
        <v>0.1</v>
      </c>
      <c r="N56" s="14">
        <v>0.1</v>
      </c>
      <c r="O56" s="14">
        <v>0.1</v>
      </c>
      <c r="P56" s="14">
        <v>0.1</v>
      </c>
    </row>
    <row r="57" spans="2:16">
      <c r="B57" s="13" t="s">
        <v>8</v>
      </c>
      <c r="C57" s="12"/>
      <c r="D57" s="12"/>
      <c r="E57" s="12"/>
      <c r="F57" s="501">
        <f>'Income Statement'!J$39</f>
        <v>0.22509221084801603</v>
      </c>
      <c r="G57" s="501">
        <f>'Income Statement'!K$39</f>
        <v>0.13445115170776578</v>
      </c>
      <c r="H57" s="501">
        <f>'Income Statement'!L$39</f>
        <v>8.8063624640525237E-2</v>
      </c>
      <c r="I57" s="501">
        <f>'Income Statement'!M$39</f>
        <v>9.3779343234021678E-2</v>
      </c>
      <c r="J57" s="501">
        <f>'Income Statement'!N$39</f>
        <v>9.247811650324432E-2</v>
      </c>
      <c r="K57" s="501">
        <f>'Income Statement'!O$39</f>
        <v>9.736364182062783E-2</v>
      </c>
      <c r="L57" s="14">
        <v>0.1</v>
      </c>
      <c r="M57" s="14">
        <v>0.1</v>
      </c>
      <c r="N57" s="14">
        <v>0.1</v>
      </c>
      <c r="O57" s="14">
        <v>0.1</v>
      </c>
      <c r="P57" s="14">
        <v>0.1</v>
      </c>
    </row>
    <row r="58" spans="2:16">
      <c r="B58" s="13" t="s">
        <v>9</v>
      </c>
      <c r="C58" s="12"/>
      <c r="D58" s="12"/>
      <c r="E58" s="12"/>
      <c r="F58" s="501">
        <f>'Income Statement'!J$39</f>
        <v>0.22509221084801603</v>
      </c>
      <c r="G58" s="501">
        <f>'Income Statement'!K$39</f>
        <v>0.13445115170776578</v>
      </c>
      <c r="H58" s="501">
        <f>'Income Statement'!L$39</f>
        <v>8.8063624640525237E-2</v>
      </c>
      <c r="I58" s="501">
        <f>'Income Statement'!M$39</f>
        <v>9.3779343234021678E-2</v>
      </c>
      <c r="J58" s="501">
        <f>'Income Statement'!N$39</f>
        <v>9.247811650324432E-2</v>
      </c>
      <c r="K58" s="501">
        <f>'Income Statement'!O$39</f>
        <v>9.736364182062783E-2</v>
      </c>
      <c r="L58" s="14">
        <v>0.1</v>
      </c>
      <c r="M58" s="14">
        <v>0.1</v>
      </c>
      <c r="N58" s="14">
        <v>0.1</v>
      </c>
      <c r="O58" s="14">
        <v>0.1</v>
      </c>
      <c r="P58" s="14">
        <v>0.1</v>
      </c>
    </row>
    <row r="59" spans="2:16">
      <c r="B59" s="11" t="str">
        <f>"Current Case - "&amp; CHOOSE($K$5,$B$14,$B$15,$B$16)</f>
        <v>Current Case - Management Case</v>
      </c>
      <c r="C59" s="12"/>
      <c r="D59" s="12"/>
      <c r="E59" s="12"/>
      <c r="F59" s="123">
        <f t="shared" ref="F59:L59" si="9">CHOOSE($K$5,F56,F57,F58)</f>
        <v>0.22509221084801603</v>
      </c>
      <c r="G59" s="15">
        <f t="shared" si="9"/>
        <v>0.13445115170776578</v>
      </c>
      <c r="H59" s="15">
        <f t="shared" si="9"/>
        <v>8.8063624640525237E-2</v>
      </c>
      <c r="I59" s="15">
        <f t="shared" si="9"/>
        <v>9.3779343234021678E-2</v>
      </c>
      <c r="J59" s="15">
        <f t="shared" si="9"/>
        <v>9.247811650324432E-2</v>
      </c>
      <c r="K59" s="15">
        <f t="shared" si="9"/>
        <v>9.736364182062783E-2</v>
      </c>
      <c r="L59" s="15">
        <f t="shared" si="9"/>
        <v>0.1</v>
      </c>
      <c r="M59" s="15">
        <f>CHOOSE($K$5,M56,M57,M58)</f>
        <v>0.1</v>
      </c>
      <c r="N59" s="15">
        <f t="shared" ref="N59" si="10">CHOOSE($K$5,N56,N57,N58)</f>
        <v>0.1</v>
      </c>
      <c r="O59" s="15">
        <f>CHOOSE($K$5,O56,O57,O58)</f>
        <v>0.1</v>
      </c>
      <c r="P59" s="15">
        <f>CHOOSE($K$5,P56,P57,P58)</f>
        <v>0.1</v>
      </c>
    </row>
    <row r="61" spans="2:16">
      <c r="B61" s="9" t="s">
        <v>310</v>
      </c>
      <c r="C61" s="136"/>
      <c r="D61" s="136"/>
      <c r="E61" s="136"/>
      <c r="F61" s="136"/>
      <c r="G61" s="136"/>
      <c r="H61" s="136"/>
      <c r="I61" s="136"/>
      <c r="J61" s="136"/>
      <c r="K61" s="136"/>
      <c r="L61" s="136"/>
      <c r="M61" s="136"/>
      <c r="N61" s="136"/>
      <c r="O61" s="136"/>
      <c r="P61" s="136"/>
    </row>
    <row r="62" spans="2:16">
      <c r="B62" s="13" t="s">
        <v>7</v>
      </c>
      <c r="C62" s="12"/>
      <c r="D62" s="12"/>
      <c r="E62" s="12"/>
      <c r="F62" s="501">
        <f>'Income Statement'!J$40</f>
        <v>0.13048686221242786</v>
      </c>
      <c r="G62" s="501">
        <f>'Income Statement'!K$40</f>
        <v>9.4724997683268322E-2</v>
      </c>
      <c r="H62" s="501">
        <f>'Income Statement'!L$40</f>
        <v>7.8002528465903914E-2</v>
      </c>
      <c r="I62" s="501">
        <f>'Income Statement'!M$40</f>
        <v>8.0256239450948633E-2</v>
      </c>
      <c r="J62" s="501">
        <f>'Income Statement'!N$40</f>
        <v>8.7766651939472473E-2</v>
      </c>
      <c r="K62" s="501">
        <f>'Income Statement'!O$40</f>
        <v>9.7708502281610932E-2</v>
      </c>
      <c r="L62" s="14">
        <v>0.09</v>
      </c>
      <c r="M62" s="14">
        <v>0.09</v>
      </c>
      <c r="N62" s="14">
        <v>0.09</v>
      </c>
      <c r="O62" s="14">
        <v>0.09</v>
      </c>
      <c r="P62" s="14">
        <v>0.09</v>
      </c>
    </row>
    <row r="63" spans="2:16">
      <c r="B63" s="13" t="s">
        <v>8</v>
      </c>
      <c r="C63" s="12"/>
      <c r="D63" s="12"/>
      <c r="E63" s="12"/>
      <c r="F63" s="501">
        <f>'Income Statement'!J$40</f>
        <v>0.13048686221242786</v>
      </c>
      <c r="G63" s="501">
        <f>'Income Statement'!K$40</f>
        <v>9.4724997683268322E-2</v>
      </c>
      <c r="H63" s="501">
        <f>'Income Statement'!L$40</f>
        <v>7.8002528465903914E-2</v>
      </c>
      <c r="I63" s="501">
        <f>'Income Statement'!M$40</f>
        <v>8.0256239450948633E-2</v>
      </c>
      <c r="J63" s="501">
        <f>'Income Statement'!N$40</f>
        <v>8.7766651939472473E-2</v>
      </c>
      <c r="K63" s="501">
        <f>'Income Statement'!O$40</f>
        <v>9.7708502281610932E-2</v>
      </c>
      <c r="L63" s="14">
        <v>0.09</v>
      </c>
      <c r="M63" s="14">
        <v>0.09</v>
      </c>
      <c r="N63" s="14">
        <v>0.09</v>
      </c>
      <c r="O63" s="14">
        <v>0.09</v>
      </c>
      <c r="P63" s="14">
        <v>0.09</v>
      </c>
    </row>
    <row r="64" spans="2:16">
      <c r="B64" s="13" t="s">
        <v>9</v>
      </c>
      <c r="C64" s="12"/>
      <c r="D64" s="12"/>
      <c r="E64" s="12"/>
      <c r="F64" s="501">
        <f>'Income Statement'!J$40</f>
        <v>0.13048686221242786</v>
      </c>
      <c r="G64" s="501">
        <f>'Income Statement'!K$40</f>
        <v>9.4724997683268322E-2</v>
      </c>
      <c r="H64" s="501">
        <f>'Income Statement'!L$40</f>
        <v>7.8002528465903914E-2</v>
      </c>
      <c r="I64" s="501">
        <f>'Income Statement'!M$40</f>
        <v>8.0256239450948633E-2</v>
      </c>
      <c r="J64" s="501">
        <f>'Income Statement'!N$40</f>
        <v>8.7766651939472473E-2</v>
      </c>
      <c r="K64" s="501">
        <f>'Income Statement'!O$40</f>
        <v>9.7708502281610932E-2</v>
      </c>
      <c r="L64" s="14">
        <v>0.09</v>
      </c>
      <c r="M64" s="14">
        <v>0.09</v>
      </c>
      <c r="N64" s="14">
        <v>0.09</v>
      </c>
      <c r="O64" s="14">
        <v>0.09</v>
      </c>
      <c r="P64" s="14">
        <v>0.09</v>
      </c>
    </row>
    <row r="65" spans="2:16">
      <c r="B65" s="11" t="str">
        <f>"Current Case - "&amp; CHOOSE($K$5,$B$14,$B$15,$B$16)</f>
        <v>Current Case - Management Case</v>
      </c>
      <c r="C65" s="12"/>
      <c r="D65" s="12"/>
      <c r="E65" s="12"/>
      <c r="F65" s="123">
        <f t="shared" ref="F65:L65" si="11">CHOOSE($K$5,F62,F63,F64)</f>
        <v>0.13048686221242786</v>
      </c>
      <c r="G65" s="15">
        <f t="shared" si="11"/>
        <v>9.4724997683268322E-2</v>
      </c>
      <c r="H65" s="15">
        <f t="shared" si="11"/>
        <v>7.8002528465903914E-2</v>
      </c>
      <c r="I65" s="15">
        <f t="shared" si="11"/>
        <v>8.0256239450948633E-2</v>
      </c>
      <c r="J65" s="15">
        <f t="shared" si="11"/>
        <v>8.7766651939472473E-2</v>
      </c>
      <c r="K65" s="15">
        <f t="shared" si="11"/>
        <v>9.7708502281610932E-2</v>
      </c>
      <c r="L65" s="15">
        <f t="shared" si="11"/>
        <v>0.09</v>
      </c>
      <c r="M65" s="15">
        <f>CHOOSE($K$5,M62,M63,M64)</f>
        <v>0.09</v>
      </c>
      <c r="N65" s="15">
        <f t="shared" ref="N65" si="12">CHOOSE($K$5,N62,N63,N64)</f>
        <v>0.09</v>
      </c>
      <c r="O65" s="15">
        <f>CHOOSE($K$5,O62,O63,O64)</f>
        <v>0.09</v>
      </c>
      <c r="P65" s="15">
        <f>CHOOSE($K$5,P62,P63,P64)</f>
        <v>0.09</v>
      </c>
    </row>
    <row r="67" spans="2:16" ht="15.6">
      <c r="B67" s="7" t="s">
        <v>443</v>
      </c>
      <c r="C67" s="8"/>
      <c r="D67" s="8"/>
      <c r="E67" s="8"/>
      <c r="F67" s="8"/>
      <c r="G67" s="8"/>
      <c r="H67" s="8"/>
      <c r="I67" s="8"/>
      <c r="J67" s="8"/>
      <c r="K67" s="8"/>
      <c r="L67" s="8"/>
      <c r="M67" s="8"/>
      <c r="N67" s="8"/>
      <c r="O67" s="8"/>
      <c r="P67" s="8"/>
    </row>
    <row r="69" spans="2:16">
      <c r="B69" s="9" t="s">
        <v>332</v>
      </c>
      <c r="C69" s="10"/>
      <c r="D69" s="10"/>
      <c r="E69" s="10"/>
      <c r="F69" s="10"/>
      <c r="G69" s="10"/>
      <c r="H69" s="10"/>
      <c r="I69" s="10"/>
      <c r="J69" s="10"/>
      <c r="K69" s="10"/>
      <c r="L69" s="10"/>
      <c r="M69" s="10"/>
      <c r="N69" s="10"/>
      <c r="O69" s="10"/>
      <c r="P69" s="10"/>
    </row>
    <row r="70" spans="2:16" s="19" customFormat="1">
      <c r="B70" s="18"/>
    </row>
    <row r="71" spans="2:16">
      <c r="B71" s="11" t="s">
        <v>323</v>
      </c>
      <c r="C71" s="12"/>
      <c r="D71" s="12"/>
      <c r="E71" s="12"/>
      <c r="F71" s="12"/>
      <c r="G71" s="12"/>
      <c r="H71" s="12"/>
      <c r="I71" s="12"/>
      <c r="J71" s="12"/>
      <c r="K71" s="12"/>
      <c r="L71" s="12"/>
      <c r="M71" s="12"/>
      <c r="N71" s="12"/>
      <c r="O71" s="12"/>
      <c r="P71" s="12"/>
    </row>
    <row r="72" spans="2:16">
      <c r="B72" s="13" t="s">
        <v>7</v>
      </c>
      <c r="C72" s="12"/>
      <c r="D72" s="12"/>
      <c r="E72" s="12"/>
      <c r="F72" s="122"/>
      <c r="G72" s="122"/>
      <c r="H72" s="122"/>
      <c r="I72" s="122"/>
      <c r="J72" s="122"/>
      <c r="K72" s="122"/>
      <c r="L72" s="14">
        <v>0.25</v>
      </c>
      <c r="M72" s="14">
        <v>0.25</v>
      </c>
      <c r="N72" s="14">
        <v>0.25</v>
      </c>
      <c r="O72" s="14">
        <v>0.25</v>
      </c>
      <c r="P72" s="14">
        <v>0.25</v>
      </c>
    </row>
    <row r="73" spans="2:16">
      <c r="B73" s="13" t="s">
        <v>8</v>
      </c>
      <c r="C73" s="12"/>
      <c r="D73" s="12"/>
      <c r="E73" s="12"/>
      <c r="F73" s="122"/>
      <c r="G73" s="122"/>
      <c r="H73" s="122"/>
      <c r="I73" s="122"/>
      <c r="J73" s="122"/>
      <c r="K73" s="122"/>
      <c r="L73" s="14">
        <v>0.25</v>
      </c>
      <c r="M73" s="14">
        <v>0.25</v>
      </c>
      <c r="N73" s="14">
        <v>0.25</v>
      </c>
      <c r="O73" s="14">
        <v>0.25</v>
      </c>
      <c r="P73" s="14">
        <v>0.25</v>
      </c>
    </row>
    <row r="74" spans="2:16">
      <c r="B74" s="13" t="s">
        <v>9</v>
      </c>
      <c r="C74" s="12"/>
      <c r="D74" s="12"/>
      <c r="E74" s="12"/>
      <c r="F74" s="122"/>
      <c r="G74" s="122"/>
      <c r="H74" s="122"/>
      <c r="I74" s="122"/>
      <c r="J74" s="122"/>
      <c r="K74" s="122"/>
      <c r="L74" s="14">
        <v>0.25</v>
      </c>
      <c r="M74" s="14">
        <v>0.25</v>
      </c>
      <c r="N74" s="14">
        <v>0.25</v>
      </c>
      <c r="O74" s="14">
        <v>0.25</v>
      </c>
      <c r="P74" s="14">
        <v>0.25</v>
      </c>
    </row>
    <row r="75" spans="2:16">
      <c r="B75" s="11" t="str">
        <f>"Current Case - "&amp; CHOOSE($K$5,$B$14,$B$15,$B$16)</f>
        <v>Current Case - Management Case</v>
      </c>
      <c r="C75" s="11"/>
      <c r="D75" s="11"/>
      <c r="E75" s="11"/>
      <c r="F75" s="15"/>
      <c r="G75" s="15"/>
      <c r="H75" s="15"/>
      <c r="I75" s="15"/>
      <c r="J75" s="15"/>
      <c r="K75" s="15"/>
      <c r="L75" s="15">
        <f>CHOOSE($K$5,L72,L73,L74)</f>
        <v>0.25</v>
      </c>
      <c r="M75" s="15">
        <f t="shared" ref="M75:O75" si="13">CHOOSE($K$5,M72,M73,M74)</f>
        <v>0.25</v>
      </c>
      <c r="N75" s="15">
        <f t="shared" si="13"/>
        <v>0.25</v>
      </c>
      <c r="O75" s="15">
        <f t="shared" si="13"/>
        <v>0.25</v>
      </c>
      <c r="P75" s="15">
        <f>CHOOSE($K$5,P72,P73,P74)</f>
        <v>0.25</v>
      </c>
    </row>
    <row r="77" spans="2:16">
      <c r="B77" s="11" t="s">
        <v>324</v>
      </c>
      <c r="C77" s="12"/>
      <c r="D77" s="12"/>
      <c r="E77" s="12"/>
      <c r="F77" s="12"/>
      <c r="G77" s="12"/>
      <c r="H77" s="12"/>
      <c r="I77" s="12"/>
      <c r="J77" s="12"/>
      <c r="K77" s="12"/>
      <c r="L77" s="12"/>
      <c r="M77" s="12"/>
      <c r="N77" s="12"/>
      <c r="O77" s="12"/>
      <c r="P77" s="12"/>
    </row>
    <row r="78" spans="2:16">
      <c r="B78" s="13" t="s">
        <v>7</v>
      </c>
      <c r="C78" s="12"/>
      <c r="D78" s="12"/>
      <c r="E78" s="12"/>
      <c r="F78" s="122"/>
      <c r="G78" s="122"/>
      <c r="H78" s="122"/>
      <c r="I78" s="122"/>
      <c r="J78" s="122"/>
      <c r="K78" s="122"/>
      <c r="L78" s="14">
        <v>0.25</v>
      </c>
      <c r="M78" s="14">
        <v>0.25</v>
      </c>
      <c r="N78" s="14">
        <v>0.25</v>
      </c>
      <c r="O78" s="14">
        <v>0.25</v>
      </c>
      <c r="P78" s="14">
        <v>0.25</v>
      </c>
    </row>
    <row r="79" spans="2:16">
      <c r="B79" s="13" t="s">
        <v>8</v>
      </c>
      <c r="C79" s="12"/>
      <c r="D79" s="12"/>
      <c r="E79" s="12"/>
      <c r="F79" s="122"/>
      <c r="G79" s="122"/>
      <c r="H79" s="122"/>
      <c r="I79" s="122"/>
      <c r="J79" s="122"/>
      <c r="K79" s="122"/>
      <c r="L79" s="14">
        <v>0.25</v>
      </c>
      <c r="M79" s="14">
        <v>0.25</v>
      </c>
      <c r="N79" s="14">
        <v>0.25</v>
      </c>
      <c r="O79" s="14">
        <v>0.25</v>
      </c>
      <c r="P79" s="14">
        <v>0.25</v>
      </c>
    </row>
    <row r="80" spans="2:16">
      <c r="B80" s="13" t="s">
        <v>9</v>
      </c>
      <c r="C80" s="12"/>
      <c r="D80" s="12"/>
      <c r="E80" s="12"/>
      <c r="F80" s="122"/>
      <c r="G80" s="122"/>
      <c r="H80" s="122"/>
      <c r="I80" s="122"/>
      <c r="J80" s="122"/>
      <c r="K80" s="122"/>
      <c r="L80" s="14">
        <v>0.25</v>
      </c>
      <c r="M80" s="14">
        <v>0.25</v>
      </c>
      <c r="N80" s="14">
        <v>0.25</v>
      </c>
      <c r="O80" s="14">
        <v>0.25</v>
      </c>
      <c r="P80" s="14">
        <v>0.25</v>
      </c>
    </row>
    <row r="81" spans="2:16">
      <c r="B81" s="11" t="str">
        <f>"Current Case - "&amp; CHOOSE($K$5,$B$14,$B$15,$B$16)</f>
        <v>Current Case - Management Case</v>
      </c>
      <c r="C81" s="11"/>
      <c r="D81" s="11"/>
      <c r="E81" s="11"/>
      <c r="F81" s="15"/>
      <c r="G81" s="15"/>
      <c r="H81" s="15"/>
      <c r="I81" s="15"/>
      <c r="J81" s="15"/>
      <c r="K81" s="15"/>
      <c r="L81" s="15">
        <f>CHOOSE($K$5,L78,L79,L80)</f>
        <v>0.25</v>
      </c>
      <c r="M81" s="15">
        <f t="shared" ref="M81:O81" si="14">CHOOSE($K$5,M78,M79,M80)</f>
        <v>0.25</v>
      </c>
      <c r="N81" s="15">
        <f t="shared" si="14"/>
        <v>0.25</v>
      </c>
      <c r="O81" s="15">
        <f t="shared" si="14"/>
        <v>0.25</v>
      </c>
      <c r="P81" s="15">
        <f>CHOOSE($K$5,P78,P79,P80)</f>
        <v>0.25</v>
      </c>
    </row>
    <row r="83" spans="2:16">
      <c r="B83" s="11" t="s">
        <v>325</v>
      </c>
      <c r="C83" s="12"/>
      <c r="D83" s="12"/>
      <c r="E83" s="12"/>
      <c r="F83" s="12"/>
      <c r="G83" s="12"/>
      <c r="H83" s="12"/>
      <c r="I83" s="12"/>
      <c r="J83" s="12"/>
      <c r="K83" s="12"/>
      <c r="L83" s="12"/>
      <c r="M83" s="12"/>
      <c r="N83" s="12"/>
      <c r="O83" s="12"/>
      <c r="P83" s="12"/>
    </row>
    <row r="84" spans="2:16">
      <c r="B84" s="13" t="s">
        <v>7</v>
      </c>
      <c r="C84" s="12"/>
      <c r="D84" s="12"/>
      <c r="E84" s="12"/>
      <c r="F84" s="122"/>
      <c r="G84" s="122"/>
      <c r="H84" s="122"/>
      <c r="I84" s="122"/>
      <c r="J84" s="122"/>
      <c r="K84" s="122"/>
      <c r="L84" s="14">
        <v>0</v>
      </c>
      <c r="M84" s="14">
        <v>0</v>
      </c>
      <c r="N84" s="14">
        <v>0</v>
      </c>
      <c r="O84" s="14">
        <v>0</v>
      </c>
      <c r="P84" s="14">
        <v>0</v>
      </c>
    </row>
    <row r="85" spans="2:16">
      <c r="B85" s="13" t="s">
        <v>8</v>
      </c>
      <c r="C85" s="12"/>
      <c r="D85" s="12"/>
      <c r="E85" s="12"/>
      <c r="F85" s="122"/>
      <c r="G85" s="122"/>
      <c r="H85" s="122"/>
      <c r="I85" s="122"/>
      <c r="J85" s="122"/>
      <c r="K85" s="122"/>
      <c r="L85" s="14">
        <v>0</v>
      </c>
      <c r="M85" s="14">
        <v>0</v>
      </c>
      <c r="N85" s="14">
        <v>0</v>
      </c>
      <c r="O85" s="14">
        <v>0</v>
      </c>
      <c r="P85" s="14">
        <v>0</v>
      </c>
    </row>
    <row r="86" spans="2:16">
      <c r="B86" s="13" t="s">
        <v>9</v>
      </c>
      <c r="C86" s="12"/>
      <c r="D86" s="12"/>
      <c r="E86" s="12"/>
      <c r="F86" s="122"/>
      <c r="G86" s="122"/>
      <c r="H86" s="122"/>
      <c r="I86" s="122"/>
      <c r="J86" s="122"/>
      <c r="K86" s="122"/>
      <c r="L86" s="14">
        <v>0</v>
      </c>
      <c r="M86" s="14">
        <v>0</v>
      </c>
      <c r="N86" s="14">
        <v>0</v>
      </c>
      <c r="O86" s="14">
        <v>0</v>
      </c>
      <c r="P86" s="14">
        <v>0</v>
      </c>
    </row>
    <row r="87" spans="2:16">
      <c r="B87" s="11" t="str">
        <f>"Current Case - "&amp; CHOOSE($K$5,$B$14,$B$15,$B$16)</f>
        <v>Current Case - Management Case</v>
      </c>
      <c r="C87" s="11"/>
      <c r="D87" s="11"/>
      <c r="E87" s="11"/>
      <c r="F87" s="15"/>
      <c r="G87" s="15"/>
      <c r="H87" s="15"/>
      <c r="I87" s="15"/>
      <c r="J87" s="15"/>
      <c r="K87" s="15"/>
      <c r="L87" s="15">
        <f>CHOOSE($K$5,L84,L85,L86)</f>
        <v>0</v>
      </c>
      <c r="M87" s="15">
        <f t="shared" ref="M87:O87" si="15">CHOOSE($K$5,M84,M85,M86)</f>
        <v>0</v>
      </c>
      <c r="N87" s="15">
        <f t="shared" si="15"/>
        <v>0</v>
      </c>
      <c r="O87" s="15">
        <f t="shared" si="15"/>
        <v>0</v>
      </c>
      <c r="P87" s="15">
        <f>CHOOSE($K$5,P84,P85,P86)</f>
        <v>0</v>
      </c>
    </row>
    <row r="89" spans="2:16">
      <c r="B89" s="11" t="s">
        <v>326</v>
      </c>
      <c r="C89" s="12"/>
      <c r="D89" s="12"/>
      <c r="E89" s="12"/>
      <c r="F89" s="12"/>
      <c r="G89" s="12"/>
      <c r="H89" s="12"/>
      <c r="I89" s="12"/>
      <c r="J89" s="12"/>
      <c r="K89" s="12"/>
      <c r="L89" s="12"/>
      <c r="M89" s="12"/>
      <c r="N89" s="12"/>
      <c r="O89" s="12"/>
      <c r="P89" s="12"/>
    </row>
    <row r="90" spans="2:16">
      <c r="B90" s="13" t="s">
        <v>7</v>
      </c>
      <c r="C90" s="12"/>
      <c r="D90" s="12"/>
      <c r="E90" s="12"/>
      <c r="F90" s="122"/>
      <c r="G90" s="122"/>
      <c r="H90" s="122"/>
      <c r="I90" s="122"/>
      <c r="J90" s="122"/>
      <c r="K90" s="122"/>
      <c r="L90" s="14">
        <v>0.1</v>
      </c>
      <c r="M90" s="14">
        <v>0.1</v>
      </c>
      <c r="N90" s="14">
        <v>0.1</v>
      </c>
      <c r="O90" s="14">
        <v>0.1</v>
      </c>
      <c r="P90" s="14">
        <v>0.1</v>
      </c>
    </row>
    <row r="91" spans="2:16">
      <c r="B91" s="13" t="s">
        <v>8</v>
      </c>
      <c r="C91" s="12"/>
      <c r="D91" s="12"/>
      <c r="E91" s="12"/>
      <c r="F91" s="122"/>
      <c r="G91" s="122"/>
      <c r="H91" s="122"/>
      <c r="I91" s="122"/>
      <c r="J91" s="122"/>
      <c r="K91" s="122"/>
      <c r="L91" s="14">
        <v>0.1</v>
      </c>
      <c r="M91" s="14">
        <v>0.1</v>
      </c>
      <c r="N91" s="14">
        <v>0.1</v>
      </c>
      <c r="O91" s="14">
        <v>0.1</v>
      </c>
      <c r="P91" s="14">
        <v>0.1</v>
      </c>
    </row>
    <row r="92" spans="2:16">
      <c r="B92" s="13" t="s">
        <v>9</v>
      </c>
      <c r="C92" s="12"/>
      <c r="D92" s="12"/>
      <c r="E92" s="12"/>
      <c r="F92" s="122"/>
      <c r="G92" s="122"/>
      <c r="H92" s="122"/>
      <c r="I92" s="122"/>
      <c r="J92" s="122"/>
      <c r="K92" s="122"/>
      <c r="L92" s="14">
        <v>0.1</v>
      </c>
      <c r="M92" s="14">
        <v>0.1</v>
      </c>
      <c r="N92" s="14">
        <v>0.1</v>
      </c>
      <c r="O92" s="14">
        <v>0.1</v>
      </c>
      <c r="P92" s="14">
        <v>0.1</v>
      </c>
    </row>
    <row r="93" spans="2:16">
      <c r="B93" s="11" t="str">
        <f>"Current Case - "&amp; CHOOSE($K$5,$B$14,$B$15,$B$16)</f>
        <v>Current Case - Management Case</v>
      </c>
      <c r="C93" s="11"/>
      <c r="D93" s="11"/>
      <c r="E93" s="11"/>
      <c r="F93" s="15"/>
      <c r="G93" s="15"/>
      <c r="H93" s="15"/>
      <c r="I93" s="15"/>
      <c r="J93" s="15"/>
      <c r="K93" s="15"/>
      <c r="L93" s="15">
        <f>CHOOSE($K$5,L90,L91,L92)</f>
        <v>0.1</v>
      </c>
      <c r="M93" s="15">
        <f t="shared" ref="M93:O93" si="16">CHOOSE($K$5,M90,M91,M92)</f>
        <v>0.1</v>
      </c>
      <c r="N93" s="15">
        <f t="shared" si="16"/>
        <v>0.1</v>
      </c>
      <c r="O93" s="15">
        <f t="shared" si="16"/>
        <v>0.1</v>
      </c>
      <c r="P93" s="15">
        <f>CHOOSE($K$5,P90,P91,P92)</f>
        <v>0.1</v>
      </c>
    </row>
    <row r="95" spans="2:16">
      <c r="B95" s="11" t="s">
        <v>339</v>
      </c>
      <c r="C95" s="12"/>
      <c r="D95" s="12"/>
      <c r="E95" s="12"/>
      <c r="F95" s="12"/>
      <c r="G95" s="12"/>
      <c r="H95" s="12"/>
      <c r="I95" s="12"/>
      <c r="J95" s="12"/>
      <c r="K95" s="12"/>
    </row>
    <row r="96" spans="2:16">
      <c r="B96" s="13" t="s">
        <v>7</v>
      </c>
      <c r="C96" s="12"/>
      <c r="D96" s="12"/>
      <c r="E96" s="12"/>
      <c r="F96" s="122"/>
      <c r="G96" s="122"/>
      <c r="H96" s="122"/>
      <c r="I96" s="122"/>
      <c r="J96" s="122"/>
      <c r="K96" s="122"/>
      <c r="L96" s="14">
        <v>0</v>
      </c>
      <c r="M96" s="14">
        <v>0</v>
      </c>
      <c r="N96" s="14">
        <v>0</v>
      </c>
      <c r="O96" s="14">
        <v>0</v>
      </c>
      <c r="P96" s="14">
        <v>0</v>
      </c>
    </row>
    <row r="97" spans="2:16">
      <c r="B97" s="13" t="s">
        <v>8</v>
      </c>
      <c r="C97" s="12"/>
      <c r="D97" s="12"/>
      <c r="E97" s="12"/>
      <c r="F97" s="122"/>
      <c r="G97" s="122"/>
      <c r="H97" s="122"/>
      <c r="I97" s="122"/>
      <c r="J97" s="122"/>
      <c r="K97" s="122"/>
      <c r="L97" s="14">
        <v>0</v>
      </c>
      <c r="M97" s="14">
        <v>0</v>
      </c>
      <c r="N97" s="14">
        <v>0</v>
      </c>
      <c r="O97" s="14">
        <v>0</v>
      </c>
      <c r="P97" s="14">
        <v>0</v>
      </c>
    </row>
    <row r="98" spans="2:16">
      <c r="B98" s="13" t="s">
        <v>9</v>
      </c>
      <c r="C98" s="12"/>
      <c r="D98" s="12"/>
      <c r="E98" s="12"/>
      <c r="F98" s="122"/>
      <c r="G98" s="122"/>
      <c r="H98" s="122"/>
      <c r="I98" s="122"/>
      <c r="J98" s="122"/>
      <c r="K98" s="122"/>
      <c r="L98" s="14">
        <v>0</v>
      </c>
      <c r="M98" s="14">
        <v>0</v>
      </c>
      <c r="N98" s="14">
        <v>0</v>
      </c>
      <c r="O98" s="14">
        <v>0</v>
      </c>
      <c r="P98" s="14">
        <v>0</v>
      </c>
    </row>
    <row r="99" spans="2:16">
      <c r="B99" s="11" t="str">
        <f>"Current Case - "&amp; CHOOSE($K$5,$B$14,$B$15,$B$16)</f>
        <v>Current Case - Management Case</v>
      </c>
      <c r="C99" s="11"/>
      <c r="D99" s="11"/>
      <c r="E99" s="11"/>
      <c r="F99" s="15"/>
      <c r="G99" s="15"/>
      <c r="H99" s="15"/>
      <c r="I99" s="15"/>
      <c r="J99" s="15"/>
      <c r="K99" s="15"/>
      <c r="L99" s="15">
        <f>CHOOSE($K$5,L96,L97,L98)</f>
        <v>0</v>
      </c>
      <c r="M99" s="15">
        <f t="shared" ref="M99:O99" si="17">CHOOSE($K$5,M96,M97,M98)</f>
        <v>0</v>
      </c>
      <c r="N99" s="15">
        <f t="shared" si="17"/>
        <v>0</v>
      </c>
      <c r="O99" s="15">
        <f t="shared" si="17"/>
        <v>0</v>
      </c>
      <c r="P99" s="15">
        <f>CHOOSE($K$5,P96,P97,P98)</f>
        <v>0</v>
      </c>
    </row>
    <row r="101" spans="2:16">
      <c r="B101" s="11" t="s">
        <v>340</v>
      </c>
      <c r="C101" s="12"/>
      <c r="D101" s="12"/>
      <c r="E101" s="12"/>
      <c r="F101" s="12"/>
      <c r="G101" s="12"/>
      <c r="H101" s="12"/>
      <c r="I101" s="12"/>
      <c r="J101" s="12"/>
      <c r="K101" s="12"/>
      <c r="L101" s="12"/>
      <c r="M101" s="12"/>
      <c r="N101" s="12"/>
      <c r="O101" s="12"/>
      <c r="P101" s="12"/>
    </row>
    <row r="102" spans="2:16">
      <c r="B102" s="13" t="s">
        <v>7</v>
      </c>
      <c r="C102" s="12"/>
      <c r="D102" s="12"/>
      <c r="E102" s="12"/>
      <c r="F102" s="122"/>
      <c r="G102" s="122"/>
      <c r="H102" s="122"/>
      <c r="I102" s="122"/>
      <c r="J102" s="122"/>
      <c r="K102" s="122"/>
      <c r="L102" s="14">
        <v>0.25</v>
      </c>
      <c r="M102" s="14">
        <v>0.25</v>
      </c>
      <c r="N102" s="14">
        <v>0.25</v>
      </c>
      <c r="O102" s="14">
        <v>0.25</v>
      </c>
      <c r="P102" s="14">
        <v>0.25</v>
      </c>
    </row>
    <row r="103" spans="2:16">
      <c r="B103" s="13" t="s">
        <v>8</v>
      </c>
      <c r="C103" s="12"/>
      <c r="D103" s="12"/>
      <c r="E103" s="12"/>
      <c r="F103" s="122"/>
      <c r="G103" s="122"/>
      <c r="H103" s="122"/>
      <c r="I103" s="122"/>
      <c r="J103" s="122"/>
      <c r="K103" s="122"/>
      <c r="L103" s="14">
        <v>0.25</v>
      </c>
      <c r="M103" s="14">
        <v>0.25</v>
      </c>
      <c r="N103" s="14">
        <v>0.25</v>
      </c>
      <c r="O103" s="14">
        <v>0.25</v>
      </c>
      <c r="P103" s="14">
        <v>0.25</v>
      </c>
    </row>
    <row r="104" spans="2:16">
      <c r="B104" s="13" t="s">
        <v>9</v>
      </c>
      <c r="C104" s="12"/>
      <c r="D104" s="12"/>
      <c r="E104" s="12"/>
      <c r="F104" s="122"/>
      <c r="G104" s="122"/>
      <c r="H104" s="122"/>
      <c r="I104" s="122"/>
      <c r="J104" s="122"/>
      <c r="K104" s="122"/>
      <c r="L104" s="14">
        <v>0.25</v>
      </c>
      <c r="M104" s="14">
        <v>0.25</v>
      </c>
      <c r="N104" s="14">
        <v>0.25</v>
      </c>
      <c r="O104" s="14">
        <v>0.25</v>
      </c>
      <c r="P104" s="14">
        <v>0.25</v>
      </c>
    </row>
    <row r="105" spans="2:16">
      <c r="B105" s="11" t="str">
        <f>"Current Case - "&amp; CHOOSE($K$5,$B$14,$B$15,$B$16)</f>
        <v>Current Case - Management Case</v>
      </c>
      <c r="C105" s="11"/>
      <c r="D105" s="11"/>
      <c r="E105" s="11"/>
      <c r="F105" s="15"/>
      <c r="G105" s="15"/>
      <c r="H105" s="15"/>
      <c r="I105" s="15"/>
      <c r="J105" s="15"/>
      <c r="K105" s="15"/>
      <c r="L105" s="15">
        <f>CHOOSE($K$5,L102,L103,L104)</f>
        <v>0.25</v>
      </c>
      <c r="M105" s="15">
        <f t="shared" ref="M105:O105" si="18">CHOOSE($K$5,M102,M103,M104)</f>
        <v>0.25</v>
      </c>
      <c r="N105" s="15">
        <f t="shared" si="18"/>
        <v>0.25</v>
      </c>
      <c r="O105" s="15">
        <f t="shared" si="18"/>
        <v>0.25</v>
      </c>
      <c r="P105" s="15">
        <f>CHOOSE($K$5,P102,P103,P104)</f>
        <v>0.25</v>
      </c>
    </row>
    <row r="107" spans="2:16">
      <c r="B107" s="11" t="s">
        <v>335</v>
      </c>
      <c r="C107" s="12"/>
      <c r="D107" s="12"/>
      <c r="E107" s="12"/>
      <c r="F107" s="12"/>
      <c r="G107" s="12"/>
      <c r="H107" s="12"/>
      <c r="I107" s="12"/>
      <c r="J107" s="12"/>
      <c r="K107" s="12"/>
      <c r="L107" s="12"/>
      <c r="M107" s="12"/>
      <c r="N107" s="12"/>
      <c r="O107" s="12"/>
      <c r="P107" s="12"/>
    </row>
    <row r="108" spans="2:16">
      <c r="B108" s="13" t="s">
        <v>7</v>
      </c>
      <c r="C108" s="12"/>
      <c r="D108" s="12"/>
      <c r="E108" s="12"/>
      <c r="F108" s="122"/>
      <c r="G108" s="122"/>
      <c r="H108" s="122"/>
      <c r="I108" s="122"/>
      <c r="J108" s="122"/>
      <c r="K108" s="122"/>
      <c r="L108" s="14">
        <v>0.03</v>
      </c>
      <c r="M108" s="14">
        <v>0.03</v>
      </c>
      <c r="N108" s="14">
        <v>0.03</v>
      </c>
      <c r="O108" s="14">
        <v>0.03</v>
      </c>
      <c r="P108" s="14">
        <v>0.03</v>
      </c>
    </row>
    <row r="109" spans="2:16">
      <c r="B109" s="13" t="s">
        <v>8</v>
      </c>
      <c r="C109" s="12"/>
      <c r="D109" s="12"/>
      <c r="E109" s="12"/>
      <c r="F109" s="122"/>
      <c r="G109" s="122"/>
      <c r="H109" s="122"/>
      <c r="I109" s="122"/>
      <c r="J109" s="122"/>
      <c r="K109" s="122"/>
      <c r="L109" s="14">
        <v>0.03</v>
      </c>
      <c r="M109" s="14">
        <v>0.03</v>
      </c>
      <c r="N109" s="14">
        <v>0.03</v>
      </c>
      <c r="O109" s="14">
        <v>0.03</v>
      </c>
      <c r="P109" s="14">
        <v>0.03</v>
      </c>
    </row>
    <row r="110" spans="2:16">
      <c r="B110" s="13" t="s">
        <v>9</v>
      </c>
      <c r="C110" s="12"/>
      <c r="D110" s="12"/>
      <c r="E110" s="12"/>
      <c r="F110" s="122"/>
      <c r="G110" s="122"/>
      <c r="H110" s="122"/>
      <c r="I110" s="122"/>
      <c r="J110" s="122"/>
      <c r="K110" s="122"/>
      <c r="L110" s="14">
        <v>0.03</v>
      </c>
      <c r="M110" s="14">
        <v>0.03</v>
      </c>
      <c r="N110" s="14">
        <v>0.03</v>
      </c>
      <c r="O110" s="14">
        <v>0.03</v>
      </c>
      <c r="P110" s="14">
        <v>0.03</v>
      </c>
    </row>
    <row r="111" spans="2:16">
      <c r="B111" s="11" t="str">
        <f>"Current Case - "&amp; CHOOSE($K$5,$B$14,$B$15,$B$16)</f>
        <v>Current Case - Management Case</v>
      </c>
      <c r="C111" s="11"/>
      <c r="D111" s="11"/>
      <c r="E111" s="11"/>
      <c r="F111" s="15"/>
      <c r="G111" s="15"/>
      <c r="H111" s="15"/>
      <c r="I111" s="15"/>
      <c r="J111" s="15"/>
      <c r="K111" s="15"/>
      <c r="L111" s="15">
        <f>CHOOSE($K$5,L108,L109,L110)</f>
        <v>0.03</v>
      </c>
      <c r="M111" s="15">
        <f t="shared" ref="M111:O111" si="19">CHOOSE($K$5,M108,M109,M110)</f>
        <v>0.03</v>
      </c>
      <c r="N111" s="15">
        <f t="shared" si="19"/>
        <v>0.03</v>
      </c>
      <c r="O111" s="15">
        <f t="shared" si="19"/>
        <v>0.03</v>
      </c>
      <c r="P111" s="15">
        <f>CHOOSE($K$5,P108,P109,P110)</f>
        <v>0.03</v>
      </c>
    </row>
    <row r="113" spans="2:16">
      <c r="B113" s="9" t="s">
        <v>333</v>
      </c>
      <c r="C113" s="10"/>
      <c r="D113" s="10"/>
      <c r="E113" s="10"/>
      <c r="F113" s="10"/>
      <c r="G113" s="10"/>
      <c r="H113" s="10"/>
      <c r="I113" s="10"/>
      <c r="J113" s="10"/>
      <c r="K113" s="10"/>
      <c r="L113" s="10"/>
      <c r="M113" s="10"/>
      <c r="N113" s="10"/>
      <c r="O113" s="10"/>
      <c r="P113" s="10"/>
    </row>
    <row r="114" spans="2:16">
      <c r="B114" s="18"/>
      <c r="C114" s="19"/>
      <c r="D114" s="19"/>
      <c r="E114" s="19"/>
      <c r="F114" s="19"/>
      <c r="G114" s="19"/>
      <c r="H114" s="19"/>
      <c r="I114" s="19"/>
      <c r="J114" s="19"/>
      <c r="K114" s="19"/>
      <c r="L114" s="19"/>
      <c r="M114" s="19"/>
      <c r="N114" s="19"/>
      <c r="O114" s="19"/>
      <c r="P114" s="19"/>
    </row>
    <row r="115" spans="2:16">
      <c r="B115" s="11" t="s">
        <v>327</v>
      </c>
      <c r="C115" s="12"/>
      <c r="D115" s="12"/>
      <c r="E115" s="12"/>
      <c r="F115" s="12"/>
      <c r="G115" s="12"/>
      <c r="H115" s="12"/>
      <c r="I115" s="12"/>
      <c r="J115" s="12"/>
      <c r="K115" s="12"/>
      <c r="L115" s="12"/>
      <c r="M115" s="12"/>
      <c r="N115" s="12"/>
      <c r="O115" s="12"/>
      <c r="P115" s="12"/>
    </row>
    <row r="116" spans="2:16">
      <c r="B116" s="13" t="s">
        <v>7</v>
      </c>
      <c r="C116" s="12"/>
      <c r="D116" s="12"/>
      <c r="E116" s="12"/>
      <c r="F116" s="122"/>
      <c r="G116" s="122"/>
      <c r="H116" s="122"/>
      <c r="I116" s="122"/>
      <c r="J116" s="122"/>
      <c r="K116" s="122"/>
      <c r="L116" s="14">
        <v>0</v>
      </c>
      <c r="M116" s="14">
        <v>0</v>
      </c>
      <c r="N116" s="14">
        <v>0</v>
      </c>
      <c r="O116" s="14">
        <v>0</v>
      </c>
      <c r="P116" s="14">
        <v>0</v>
      </c>
    </row>
    <row r="117" spans="2:16">
      <c r="B117" s="13" t="s">
        <v>8</v>
      </c>
      <c r="C117" s="12"/>
      <c r="D117" s="12"/>
      <c r="E117" s="12"/>
      <c r="F117" s="122"/>
      <c r="G117" s="122"/>
      <c r="H117" s="122"/>
      <c r="I117" s="122"/>
      <c r="J117" s="122"/>
      <c r="K117" s="122"/>
      <c r="L117" s="14">
        <v>0</v>
      </c>
      <c r="M117" s="14">
        <v>0</v>
      </c>
      <c r="N117" s="14">
        <v>0</v>
      </c>
      <c r="O117" s="14">
        <v>0</v>
      </c>
      <c r="P117" s="14">
        <v>0</v>
      </c>
    </row>
    <row r="118" spans="2:16">
      <c r="B118" s="13" t="s">
        <v>9</v>
      </c>
      <c r="C118" s="12"/>
      <c r="D118" s="12"/>
      <c r="E118" s="12"/>
      <c r="F118" s="122"/>
      <c r="G118" s="122"/>
      <c r="H118" s="122"/>
      <c r="I118" s="122"/>
      <c r="J118" s="122"/>
      <c r="K118" s="122"/>
      <c r="L118" s="14">
        <v>0</v>
      </c>
      <c r="M118" s="14">
        <v>0</v>
      </c>
      <c r="N118" s="14">
        <v>0</v>
      </c>
      <c r="O118" s="14">
        <v>0</v>
      </c>
      <c r="P118" s="14">
        <v>0</v>
      </c>
    </row>
    <row r="119" spans="2:16">
      <c r="B119" s="11" t="str">
        <f>"Current Case - "&amp; CHOOSE($K$5,$B$14,$B$15,$B$16)</f>
        <v>Current Case - Management Case</v>
      </c>
      <c r="C119" s="11"/>
      <c r="D119" s="11"/>
      <c r="E119" s="11"/>
      <c r="F119" s="15"/>
      <c r="G119" s="15"/>
      <c r="H119" s="15"/>
      <c r="I119" s="15"/>
      <c r="J119" s="15"/>
      <c r="K119" s="15"/>
      <c r="L119" s="15">
        <f>CHOOSE($K$5,L116,L117,L118)</f>
        <v>0</v>
      </c>
      <c r="M119" s="15">
        <f t="shared" ref="M119:O119" si="20">CHOOSE($K$5,M116,M117,M118)</f>
        <v>0</v>
      </c>
      <c r="N119" s="15">
        <f t="shared" si="20"/>
        <v>0</v>
      </c>
      <c r="O119" s="15">
        <f t="shared" si="20"/>
        <v>0</v>
      </c>
      <c r="P119" s="15">
        <f>CHOOSE($K$5,P116,P117,P118)</f>
        <v>0</v>
      </c>
    </row>
    <row r="120" spans="2:16">
      <c r="B120" s="16"/>
      <c r="C120" s="16"/>
      <c r="D120" s="16"/>
      <c r="E120" s="16"/>
      <c r="F120" s="17"/>
      <c r="G120" s="17"/>
      <c r="H120" s="17"/>
      <c r="I120" s="17"/>
      <c r="J120" s="17"/>
      <c r="K120" s="17"/>
      <c r="L120" s="17"/>
      <c r="M120" s="17"/>
      <c r="N120" s="17"/>
      <c r="O120" s="17"/>
      <c r="P120" s="17"/>
    </row>
    <row r="121" spans="2:16">
      <c r="B121" s="11" t="s">
        <v>353</v>
      </c>
      <c r="C121" s="12"/>
      <c r="D121" s="12"/>
      <c r="E121" s="12"/>
      <c r="F121" s="12"/>
      <c r="G121" s="12"/>
      <c r="H121" s="12"/>
      <c r="I121" s="12"/>
      <c r="J121" s="12"/>
      <c r="K121" s="12"/>
      <c r="L121" s="12"/>
      <c r="M121" s="12"/>
      <c r="N121" s="12"/>
      <c r="O121" s="12"/>
      <c r="P121" s="12"/>
    </row>
    <row r="122" spans="2:16">
      <c r="B122" s="13" t="s">
        <v>7</v>
      </c>
      <c r="C122" s="12"/>
      <c r="D122" s="12"/>
      <c r="E122" s="12"/>
      <c r="F122" s="122"/>
      <c r="G122" s="122"/>
      <c r="H122" s="122"/>
      <c r="I122" s="122"/>
      <c r="J122" s="122"/>
      <c r="K122" s="122"/>
      <c r="L122" s="14">
        <v>0</v>
      </c>
      <c r="M122" s="14">
        <v>0</v>
      </c>
      <c r="N122" s="14">
        <v>0</v>
      </c>
      <c r="O122" s="14">
        <v>0</v>
      </c>
      <c r="P122" s="14">
        <v>0</v>
      </c>
    </row>
    <row r="123" spans="2:16">
      <c r="B123" s="13" t="s">
        <v>8</v>
      </c>
      <c r="C123" s="12"/>
      <c r="D123" s="12"/>
      <c r="E123" s="12"/>
      <c r="F123" s="122"/>
      <c r="G123" s="122"/>
      <c r="H123" s="122"/>
      <c r="I123" s="122"/>
      <c r="J123" s="122"/>
      <c r="K123" s="122"/>
      <c r="L123" s="14">
        <v>0</v>
      </c>
      <c r="M123" s="14">
        <v>0</v>
      </c>
      <c r="N123" s="14">
        <v>0</v>
      </c>
      <c r="O123" s="14">
        <v>0</v>
      </c>
      <c r="P123" s="14">
        <v>0</v>
      </c>
    </row>
    <row r="124" spans="2:16">
      <c r="B124" s="13" t="s">
        <v>9</v>
      </c>
      <c r="C124" s="12"/>
      <c r="D124" s="12"/>
      <c r="E124" s="12"/>
      <c r="F124" s="122"/>
      <c r="G124" s="122"/>
      <c r="H124" s="122"/>
      <c r="I124" s="122"/>
      <c r="J124" s="122"/>
      <c r="K124" s="122"/>
      <c r="L124" s="14">
        <v>0</v>
      </c>
      <c r="M124" s="14">
        <v>0</v>
      </c>
      <c r="N124" s="14">
        <v>0</v>
      </c>
      <c r="O124" s="14">
        <v>0</v>
      </c>
      <c r="P124" s="14">
        <v>0</v>
      </c>
    </row>
    <row r="125" spans="2:16">
      <c r="B125" s="11" t="str">
        <f>"Current Case - "&amp; CHOOSE($K$5,$B$14,$B$15,$B$16)</f>
        <v>Current Case - Management Case</v>
      </c>
      <c r="C125" s="11"/>
      <c r="D125" s="11"/>
      <c r="E125" s="11"/>
      <c r="F125" s="15"/>
      <c r="G125" s="15"/>
      <c r="H125" s="15"/>
      <c r="I125" s="15"/>
      <c r="J125" s="15"/>
      <c r="K125" s="15"/>
      <c r="L125" s="15">
        <f>CHOOSE($K$5,L122,L123,L124)</f>
        <v>0</v>
      </c>
      <c r="M125" s="15">
        <f t="shared" ref="M125:O125" si="21">CHOOSE($K$5,M122,M123,M124)</f>
        <v>0</v>
      </c>
      <c r="N125" s="15">
        <f t="shared" si="21"/>
        <v>0</v>
      </c>
      <c r="O125" s="15">
        <f t="shared" si="21"/>
        <v>0</v>
      </c>
      <c r="P125" s="15">
        <f>CHOOSE($K$5,P122,P123,P124)</f>
        <v>0</v>
      </c>
    </row>
    <row r="126" spans="2:16">
      <c r="B126" s="16"/>
      <c r="C126" s="16"/>
      <c r="D126" s="16"/>
      <c r="E126" s="16"/>
      <c r="F126" s="17"/>
      <c r="G126" s="17"/>
      <c r="H126" s="17"/>
      <c r="I126" s="17"/>
      <c r="J126" s="17"/>
      <c r="K126" s="17"/>
      <c r="L126" s="17"/>
      <c r="M126" s="17"/>
      <c r="N126" s="17"/>
      <c r="O126" s="17"/>
      <c r="P126" s="17"/>
    </row>
    <row r="127" spans="2:16" ht="15.6">
      <c r="B127" s="7" t="s">
        <v>444</v>
      </c>
      <c r="C127" s="8"/>
      <c r="D127" s="8"/>
      <c r="E127" s="8"/>
      <c r="F127" s="8"/>
      <c r="G127" s="8"/>
      <c r="H127" s="8"/>
      <c r="I127" s="8"/>
      <c r="J127" s="8"/>
      <c r="K127" s="8"/>
      <c r="L127" s="8"/>
      <c r="M127" s="8"/>
      <c r="N127" s="8"/>
      <c r="O127" s="8"/>
      <c r="P127" s="8"/>
    </row>
    <row r="129" spans="2:16">
      <c r="B129" s="11" t="s">
        <v>10</v>
      </c>
      <c r="C129" s="12"/>
      <c r="D129" s="12"/>
      <c r="E129" s="12"/>
      <c r="F129" s="12"/>
      <c r="G129" s="12"/>
      <c r="H129" s="12"/>
      <c r="I129" s="12"/>
      <c r="J129" s="12"/>
      <c r="K129" s="12"/>
      <c r="L129" s="12"/>
      <c r="M129" s="12"/>
      <c r="N129" s="12"/>
      <c r="O129" s="12"/>
      <c r="P129" s="12"/>
    </row>
    <row r="130" spans="2:16">
      <c r="B130" s="13" t="s">
        <v>7</v>
      </c>
      <c r="C130" s="12"/>
      <c r="D130" s="12"/>
      <c r="E130" s="12"/>
      <c r="F130" s="12"/>
      <c r="G130" s="12"/>
      <c r="H130" s="12"/>
      <c r="I130" s="12"/>
      <c r="J130" s="12"/>
      <c r="K130" s="12"/>
      <c r="L130" s="14">
        <v>0.25</v>
      </c>
      <c r="M130" s="14">
        <v>0.25</v>
      </c>
      <c r="N130" s="14">
        <v>0.25</v>
      </c>
      <c r="O130" s="14">
        <v>0.25</v>
      </c>
      <c r="P130" s="14">
        <v>0.25</v>
      </c>
    </row>
    <row r="131" spans="2:16">
      <c r="B131" s="13" t="s">
        <v>8</v>
      </c>
      <c r="C131" s="12"/>
      <c r="D131" s="12"/>
      <c r="E131" s="12"/>
      <c r="F131" s="12"/>
      <c r="G131" s="12"/>
      <c r="H131" s="12"/>
      <c r="I131" s="12"/>
      <c r="J131" s="12"/>
      <c r="K131" s="12"/>
      <c r="L131" s="14">
        <v>0.25</v>
      </c>
      <c r="M131" s="14">
        <v>0.25</v>
      </c>
      <c r="N131" s="14">
        <v>0.25</v>
      </c>
      <c r="O131" s="14">
        <v>0.25</v>
      </c>
      <c r="P131" s="14">
        <v>0.25</v>
      </c>
    </row>
    <row r="132" spans="2:16">
      <c r="B132" s="13" t="s">
        <v>9</v>
      </c>
      <c r="C132" s="12"/>
      <c r="D132" s="12"/>
      <c r="E132" s="12"/>
      <c r="F132" s="12"/>
      <c r="G132" s="12"/>
      <c r="H132" s="12"/>
      <c r="I132" s="12"/>
      <c r="J132" s="12"/>
      <c r="K132" s="12"/>
      <c r="L132" s="14">
        <v>0.25</v>
      </c>
      <c r="M132" s="14">
        <v>0.25</v>
      </c>
      <c r="N132" s="14">
        <v>0.25</v>
      </c>
      <c r="O132" s="14">
        <v>0.25</v>
      </c>
      <c r="P132" s="14">
        <v>0.25</v>
      </c>
    </row>
    <row r="133" spans="2:16">
      <c r="B133" s="11" t="str">
        <f>"Current Case - "&amp; CHOOSE($K$5,$B$14,$B$15,$B$16)</f>
        <v>Current Case - Management Case</v>
      </c>
      <c r="C133" s="11"/>
      <c r="D133" s="11"/>
      <c r="E133" s="11"/>
      <c r="F133" s="11"/>
      <c r="G133" s="11"/>
      <c r="H133" s="11"/>
      <c r="I133" s="11"/>
      <c r="J133" s="11"/>
      <c r="K133" s="11"/>
      <c r="L133" s="15">
        <f>CHOOSE($K$5,L130,L131,L132)</f>
        <v>0.25</v>
      </c>
      <c r="M133" s="15">
        <f t="shared" ref="M133:O133" si="22">CHOOSE($K$5,M130,M131,M132)</f>
        <v>0.25</v>
      </c>
      <c r="N133" s="15">
        <f t="shared" si="22"/>
        <v>0.25</v>
      </c>
      <c r="O133" s="15">
        <f t="shared" si="22"/>
        <v>0.25</v>
      </c>
      <c r="P133" s="15">
        <f>CHOOSE($K$5,P130,P131,P132)</f>
        <v>0.25</v>
      </c>
    </row>
    <row r="135" spans="2:16" ht="15.6">
      <c r="B135" s="7" t="s">
        <v>445</v>
      </c>
      <c r="C135" s="8"/>
      <c r="D135" s="8"/>
      <c r="E135" s="8"/>
      <c r="F135" s="8"/>
      <c r="G135" s="8"/>
      <c r="H135" s="8"/>
      <c r="I135" s="8"/>
      <c r="J135" s="8"/>
      <c r="K135" s="8"/>
      <c r="L135" s="8"/>
      <c r="M135" s="8"/>
      <c r="N135" s="8"/>
      <c r="O135" s="8"/>
      <c r="P135" s="8"/>
    </row>
    <row r="137" spans="2:16">
      <c r="B137" s="11" t="s">
        <v>446</v>
      </c>
      <c r="C137" s="12"/>
      <c r="D137" s="12"/>
      <c r="E137" s="12"/>
      <c r="F137" s="12"/>
      <c r="G137" s="12"/>
      <c r="H137" s="12"/>
      <c r="I137" s="12"/>
      <c r="J137" s="12"/>
      <c r="K137" s="12"/>
      <c r="L137" s="12"/>
      <c r="M137" s="12"/>
      <c r="N137" s="12"/>
      <c r="O137" s="12"/>
      <c r="P137" s="12"/>
    </row>
    <row r="138" spans="2:16">
      <c r="B138" s="13" t="s">
        <v>7</v>
      </c>
      <c r="C138" s="12"/>
      <c r="D138" s="12"/>
      <c r="E138" s="12"/>
      <c r="F138" s="12"/>
      <c r="G138" s="12"/>
      <c r="H138" s="12"/>
      <c r="I138" s="12"/>
      <c r="J138" s="12"/>
      <c r="K138" s="12"/>
      <c r="L138" s="14">
        <v>0.08</v>
      </c>
      <c r="M138" s="14">
        <v>0.08</v>
      </c>
      <c r="N138" s="14">
        <v>0.1</v>
      </c>
      <c r="O138" s="14">
        <v>0.1</v>
      </c>
      <c r="P138" s="14">
        <v>0.1</v>
      </c>
    </row>
    <row r="139" spans="2:16">
      <c r="B139" s="13" t="s">
        <v>8</v>
      </c>
      <c r="C139" s="12"/>
      <c r="D139" s="12"/>
      <c r="E139" s="12"/>
      <c r="F139" s="12"/>
      <c r="G139" s="12"/>
      <c r="H139" s="12"/>
      <c r="I139" s="12"/>
      <c r="J139" s="12"/>
      <c r="K139" s="12"/>
      <c r="L139" s="14">
        <v>0.08</v>
      </c>
      <c r="M139" s="14">
        <v>0.08</v>
      </c>
      <c r="N139" s="14">
        <v>0.1</v>
      </c>
      <c r="O139" s="14">
        <v>0.1</v>
      </c>
      <c r="P139" s="14">
        <v>0.1</v>
      </c>
    </row>
    <row r="140" spans="2:16">
      <c r="B140" s="13" t="s">
        <v>9</v>
      </c>
      <c r="C140" s="12"/>
      <c r="D140" s="12"/>
      <c r="E140" s="12"/>
      <c r="F140" s="12"/>
      <c r="G140" s="12"/>
      <c r="H140" s="12"/>
      <c r="I140" s="12"/>
      <c r="J140" s="12"/>
      <c r="K140" s="12"/>
      <c r="L140" s="14">
        <v>0.08</v>
      </c>
      <c r="M140" s="14">
        <v>0.08</v>
      </c>
      <c r="N140" s="14">
        <v>0.1</v>
      </c>
      <c r="O140" s="14">
        <v>0.1</v>
      </c>
      <c r="P140" s="14">
        <v>0.1</v>
      </c>
    </row>
    <row r="141" spans="2:16">
      <c r="B141" s="11" t="str">
        <f>"Current Case - "&amp; CHOOSE($K$5,$B$14,$B$15,$B$16)</f>
        <v>Current Case - Management Case</v>
      </c>
      <c r="C141" s="11"/>
      <c r="D141" s="11"/>
      <c r="E141" s="11"/>
      <c r="F141" s="11"/>
      <c r="G141" s="11"/>
      <c r="H141" s="11"/>
      <c r="I141" s="11"/>
      <c r="J141" s="11"/>
      <c r="K141" s="11"/>
      <c r="L141" s="15">
        <f>CHOOSE($K$5,L138,L139,L140)</f>
        <v>0.08</v>
      </c>
      <c r="M141" s="15">
        <f t="shared" ref="M141:O141" si="23">CHOOSE($K$5,M138,M139,M140)</f>
        <v>0.08</v>
      </c>
      <c r="N141" s="15">
        <f t="shared" si="23"/>
        <v>0.1</v>
      </c>
      <c r="O141" s="15">
        <f t="shared" si="23"/>
        <v>0.1</v>
      </c>
      <c r="P141" s="15">
        <f>CHOOSE($K$5,P138,P139,P140)</f>
        <v>0.1</v>
      </c>
    </row>
    <row r="143" spans="2:16" ht="15.6">
      <c r="B143" s="7" t="s">
        <v>447</v>
      </c>
      <c r="C143" s="8"/>
      <c r="D143" s="8"/>
      <c r="E143" s="8"/>
      <c r="F143" s="8"/>
      <c r="G143" s="8"/>
      <c r="H143" s="8"/>
      <c r="I143" s="8"/>
      <c r="J143" s="8"/>
      <c r="K143" s="8"/>
      <c r="L143" s="8"/>
      <c r="M143" s="8"/>
      <c r="N143" s="8"/>
      <c r="O143" s="8"/>
      <c r="P143" s="8"/>
    </row>
    <row r="145" spans="2:16">
      <c r="B145" s="11" t="s">
        <v>11</v>
      </c>
      <c r="C145" s="12"/>
      <c r="D145" s="12"/>
      <c r="E145" s="12"/>
      <c r="F145" s="12"/>
      <c r="G145" s="12"/>
      <c r="H145" s="12"/>
      <c r="I145" s="12"/>
      <c r="J145" s="12"/>
      <c r="K145" s="12"/>
      <c r="L145" s="12"/>
      <c r="M145" s="12"/>
      <c r="N145" s="12"/>
      <c r="O145" s="12"/>
      <c r="P145" s="12"/>
    </row>
    <row r="146" spans="2:16">
      <c r="B146" s="13" t="s">
        <v>7</v>
      </c>
      <c r="C146" s="12"/>
      <c r="D146" s="12"/>
      <c r="E146" s="12"/>
      <c r="F146" s="12"/>
      <c r="G146" s="12"/>
      <c r="H146" s="12"/>
      <c r="I146" s="12"/>
      <c r="J146" s="12"/>
      <c r="K146" s="12"/>
      <c r="L146" s="20">
        <v>0</v>
      </c>
      <c r="M146" s="20">
        <v>0</v>
      </c>
      <c r="N146" s="20">
        <v>0</v>
      </c>
      <c r="O146" s="20">
        <v>0</v>
      </c>
      <c r="P146" s="20">
        <v>0</v>
      </c>
    </row>
    <row r="147" spans="2:16">
      <c r="B147" s="13" t="s">
        <v>8</v>
      </c>
      <c r="C147" s="12"/>
      <c r="D147" s="12"/>
      <c r="E147" s="12"/>
      <c r="F147" s="12"/>
      <c r="G147" s="12"/>
      <c r="H147" s="12"/>
      <c r="I147" s="12"/>
      <c r="J147" s="12"/>
      <c r="K147" s="12"/>
      <c r="L147" s="20">
        <v>0</v>
      </c>
      <c r="M147" s="20">
        <v>0</v>
      </c>
      <c r="N147" s="20">
        <v>0</v>
      </c>
      <c r="O147" s="20">
        <v>0</v>
      </c>
      <c r="P147" s="20">
        <v>0</v>
      </c>
    </row>
    <row r="148" spans="2:16">
      <c r="B148" s="13" t="s">
        <v>9</v>
      </c>
      <c r="C148" s="12"/>
      <c r="D148" s="12"/>
      <c r="E148" s="12"/>
      <c r="F148" s="12"/>
      <c r="G148" s="12"/>
      <c r="H148" s="12"/>
      <c r="I148" s="12"/>
      <c r="J148" s="12"/>
      <c r="K148" s="12"/>
      <c r="L148" s="20">
        <v>0</v>
      </c>
      <c r="M148" s="20">
        <v>0</v>
      </c>
      <c r="N148" s="20">
        <v>0</v>
      </c>
      <c r="O148" s="20">
        <v>0</v>
      </c>
      <c r="P148" s="20">
        <v>0</v>
      </c>
    </row>
    <row r="149" spans="2:16">
      <c r="B149" s="11" t="str">
        <f>"Current Case - "&amp; CHOOSE($K$5,$B$14,$B$15,$B$16)</f>
        <v>Current Case - Management Case</v>
      </c>
      <c r="C149" s="11"/>
      <c r="D149" s="11"/>
      <c r="E149" s="11"/>
      <c r="F149" s="11"/>
      <c r="G149" s="11"/>
      <c r="H149" s="11"/>
      <c r="I149" s="11"/>
      <c r="J149" s="11"/>
      <c r="K149" s="11"/>
      <c r="L149" s="21">
        <f>CHOOSE($K$5,L146,L147,L148)</f>
        <v>0</v>
      </c>
      <c r="M149" s="21">
        <f t="shared" ref="M149:O149" si="24">CHOOSE($K$5,M146,M147,M148)</f>
        <v>0</v>
      </c>
      <c r="N149" s="21">
        <f t="shared" si="24"/>
        <v>0</v>
      </c>
      <c r="O149" s="21">
        <f t="shared" si="24"/>
        <v>0</v>
      </c>
      <c r="P149" s="21">
        <f>CHOOSE($K$5,P146,P147,P148)</f>
        <v>0</v>
      </c>
    </row>
    <row r="151" spans="2:16" ht="15.6">
      <c r="B151" s="7" t="s">
        <v>448</v>
      </c>
      <c r="C151" s="8"/>
      <c r="D151" s="8"/>
      <c r="E151" s="8"/>
      <c r="F151" s="8"/>
      <c r="G151" s="8"/>
      <c r="H151" s="8"/>
      <c r="I151" s="8"/>
      <c r="J151" s="8"/>
      <c r="K151" s="8"/>
      <c r="L151" s="8"/>
      <c r="M151" s="8"/>
      <c r="N151" s="8"/>
      <c r="O151" s="8"/>
      <c r="P151" s="8"/>
    </row>
    <row r="153" spans="2:16">
      <c r="B153" s="11" t="s">
        <v>382</v>
      </c>
      <c r="C153" s="12"/>
      <c r="D153" s="12"/>
      <c r="E153" s="12"/>
      <c r="F153" s="12"/>
      <c r="G153" s="12"/>
      <c r="H153" s="12"/>
      <c r="I153" s="12"/>
      <c r="J153" s="12"/>
      <c r="K153" s="12"/>
      <c r="L153" s="12"/>
      <c r="M153" s="12"/>
      <c r="N153" s="12"/>
      <c r="O153" s="12"/>
      <c r="P153" s="12"/>
    </row>
    <row r="154" spans="2:16">
      <c r="B154" s="13" t="s">
        <v>7</v>
      </c>
      <c r="C154" s="12"/>
      <c r="D154" s="12"/>
      <c r="E154" s="12"/>
      <c r="F154" s="12"/>
      <c r="G154" s="12"/>
      <c r="H154" s="12"/>
      <c r="I154" s="12"/>
      <c r="J154" s="12"/>
      <c r="K154" s="12"/>
      <c r="L154" s="20">
        <v>4.2000000000000003E-2</v>
      </c>
      <c r="M154" s="20">
        <v>0.05</v>
      </c>
      <c r="N154" s="20">
        <v>7.0000000000000007E-2</v>
      </c>
      <c r="O154" s="20">
        <v>7.0000000000000007E-2</v>
      </c>
      <c r="P154" s="20">
        <v>0.06</v>
      </c>
    </row>
    <row r="155" spans="2:16">
      <c r="B155" s="13" t="s">
        <v>8</v>
      </c>
      <c r="C155" s="12"/>
      <c r="D155" s="12"/>
      <c r="E155" s="12"/>
      <c r="F155" s="12"/>
      <c r="G155" s="12"/>
      <c r="H155" s="12"/>
      <c r="I155" s="12"/>
      <c r="J155" s="12"/>
      <c r="K155" s="12"/>
      <c r="L155" s="20">
        <v>4.2000000000000003E-2</v>
      </c>
      <c r="M155" s="20">
        <v>0.05</v>
      </c>
      <c r="N155" s="20">
        <v>7.0000000000000007E-2</v>
      </c>
      <c r="O155" s="20">
        <v>7.0000000000000007E-2</v>
      </c>
      <c r="P155" s="20">
        <v>0.06</v>
      </c>
    </row>
    <row r="156" spans="2:16">
      <c r="B156" s="13" t="s">
        <v>9</v>
      </c>
      <c r="C156" s="12"/>
      <c r="D156" s="12"/>
      <c r="E156" s="12"/>
      <c r="F156" s="12"/>
      <c r="G156" s="12"/>
      <c r="H156" s="12"/>
      <c r="I156" s="12"/>
      <c r="J156" s="12"/>
      <c r="K156" s="12"/>
      <c r="L156" s="20">
        <v>4.2000000000000003E-2</v>
      </c>
      <c r="M156" s="20">
        <v>0.05</v>
      </c>
      <c r="N156" s="20">
        <v>7.0000000000000007E-2</v>
      </c>
      <c r="O156" s="20">
        <v>7.0000000000000007E-2</v>
      </c>
      <c r="P156" s="20">
        <v>0.06</v>
      </c>
    </row>
    <row r="157" spans="2:16">
      <c r="B157" s="11" t="str">
        <f>"Current Case - "&amp; CHOOSE($K$5,$B$14,$B$15,$B$16)</f>
        <v>Current Case - Management Case</v>
      </c>
      <c r="C157" s="11"/>
      <c r="D157" s="11"/>
      <c r="E157" s="11"/>
      <c r="F157" s="11"/>
      <c r="G157" s="11"/>
      <c r="H157" s="11"/>
      <c r="I157" s="11"/>
      <c r="J157" s="11"/>
      <c r="K157" s="11"/>
      <c r="L157" s="21">
        <f>CHOOSE($K$5,L154,L155,L156)</f>
        <v>4.2000000000000003E-2</v>
      </c>
      <c r="M157" s="21">
        <f t="shared" ref="M157:O157" si="25">CHOOSE($K$5,M154,M155,M156)</f>
        <v>0.05</v>
      </c>
      <c r="N157" s="21">
        <f t="shared" si="25"/>
        <v>7.0000000000000007E-2</v>
      </c>
      <c r="O157" s="21">
        <f t="shared" si="25"/>
        <v>7.0000000000000007E-2</v>
      </c>
      <c r="P157" s="21">
        <f>CHOOSE($K$5,P154,P155,P156)</f>
        <v>0.06</v>
      </c>
    </row>
  </sheetData>
  <mergeCells count="2">
    <mergeCell ref="J8:K8"/>
    <mergeCell ref="L8:P8"/>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Drop Down 1">
              <controlPr defaultSize="0" autoLine="0" autoPict="0">
                <anchor moveWithCells="1">
                  <from>
                    <xdr:col>10</xdr:col>
                    <xdr:colOff>60960</xdr:colOff>
                    <xdr:row>4</xdr:row>
                    <xdr:rowOff>45720</xdr:rowOff>
                  </from>
                  <to>
                    <xdr:col>12</xdr:col>
                    <xdr:colOff>190500</xdr:colOff>
                    <xdr:row>5</xdr:row>
                    <xdr:rowOff>22860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D1502-2289-4E27-804C-1C6B596861AF}">
  <dimension ref="A1:N253"/>
  <sheetViews>
    <sheetView showGridLines="0" tabSelected="1" zoomScale="80" zoomScaleNormal="80" workbookViewId="0">
      <pane ySplit="9" topLeftCell="A66" activePane="bottomLeft" state="frozen"/>
      <selection pane="bottomLeft" activeCell="P76" sqref="P76"/>
    </sheetView>
  </sheetViews>
  <sheetFormatPr defaultRowHeight="14.4" outlineLevelRow="1"/>
  <cols>
    <col min="1" max="1" width="1.88671875" customWidth="1"/>
    <col min="2" max="2" width="46.33203125" customWidth="1"/>
    <col min="3" max="3" width="19.21875" customWidth="1"/>
    <col min="4" max="9" width="12.77734375" customWidth="1"/>
    <col min="10" max="10" width="16.77734375" customWidth="1"/>
    <col min="11" max="11" width="15.5546875" customWidth="1"/>
    <col min="12" max="12" width="15.6640625" customWidth="1"/>
    <col min="13" max="13" width="15.77734375" customWidth="1"/>
    <col min="14" max="14" width="15.5546875" customWidth="1"/>
  </cols>
  <sheetData>
    <row r="1" spans="2:14">
      <c r="D1" t="s">
        <v>685</v>
      </c>
    </row>
    <row r="2" spans="2:14" ht="21">
      <c r="B2" s="282" t="str">
        <f>'Control Sheet'!B2</f>
        <v xml:space="preserve">InterGlobe Aviation </v>
      </c>
    </row>
    <row r="3" spans="2:14" ht="18">
      <c r="B3" s="2" t="s">
        <v>322</v>
      </c>
    </row>
    <row r="4" spans="2:14" ht="18">
      <c r="B4" s="2"/>
    </row>
    <row r="5" spans="2:14" ht="18">
      <c r="B5" s="2"/>
      <c r="I5" t="s">
        <v>1</v>
      </c>
      <c r="J5">
        <v>0</v>
      </c>
    </row>
    <row r="8" spans="2:14">
      <c r="D8" s="495" t="s">
        <v>3</v>
      </c>
      <c r="E8" s="495"/>
      <c r="F8" s="495"/>
      <c r="G8" s="495"/>
      <c r="H8" s="495"/>
      <c r="I8" s="495"/>
      <c r="J8" s="496" t="s">
        <v>4</v>
      </c>
      <c r="K8" s="496"/>
      <c r="L8" s="496"/>
      <c r="M8" s="496"/>
      <c r="N8" s="496"/>
    </row>
    <row r="9" spans="2:14">
      <c r="B9" s="4" t="s">
        <v>5</v>
      </c>
      <c r="D9" s="134">
        <v>2021</v>
      </c>
      <c r="E9" s="134">
        <f>D9+1</f>
        <v>2022</v>
      </c>
      <c r="F9" s="134">
        <f t="shared" ref="F9:G9" si="0">E9+1</f>
        <v>2023</v>
      </c>
      <c r="G9" s="134">
        <f t="shared" si="0"/>
        <v>2024</v>
      </c>
      <c r="H9" s="134">
        <v>2025</v>
      </c>
      <c r="I9" s="134">
        <f>H9+1</f>
        <v>2026</v>
      </c>
      <c r="J9" s="5">
        <f t="shared" ref="J9:N9" si="1">I9+1</f>
        <v>2027</v>
      </c>
      <c r="K9" s="5">
        <f t="shared" si="1"/>
        <v>2028</v>
      </c>
      <c r="L9" s="5">
        <f t="shared" si="1"/>
        <v>2029</v>
      </c>
      <c r="M9" s="5">
        <f t="shared" si="1"/>
        <v>2030</v>
      </c>
      <c r="N9" s="5">
        <f t="shared" si="1"/>
        <v>2031</v>
      </c>
    </row>
    <row r="10" spans="2:14">
      <c r="B10" s="6"/>
      <c r="C10" s="6"/>
      <c r="D10" s="6"/>
      <c r="E10" s="6"/>
      <c r="F10" s="6"/>
      <c r="G10" s="6"/>
      <c r="H10" s="6"/>
      <c r="I10" s="6"/>
      <c r="J10" s="6"/>
      <c r="K10" s="6"/>
      <c r="L10" s="6"/>
      <c r="M10" s="6"/>
    </row>
    <row r="11" spans="2:14" ht="15.6">
      <c r="B11" s="7" t="s">
        <v>12</v>
      </c>
      <c r="C11" s="8"/>
      <c r="D11" s="8"/>
      <c r="E11" s="8"/>
      <c r="F11" s="8"/>
      <c r="G11" s="8"/>
      <c r="H11" s="8"/>
      <c r="I11" s="8"/>
      <c r="J11" s="8"/>
      <c r="K11" s="8"/>
      <c r="L11" s="8"/>
      <c r="M11" s="8"/>
      <c r="N11" s="8"/>
    </row>
    <row r="12" spans="2:14" s="19" customFormat="1" ht="15.6">
      <c r="B12" s="75"/>
      <c r="C12" s="74"/>
      <c r="D12" s="74"/>
      <c r="E12" s="74"/>
      <c r="F12" s="74"/>
      <c r="G12" s="74"/>
      <c r="H12" s="74"/>
      <c r="I12" s="74"/>
      <c r="J12" s="74"/>
      <c r="K12" s="74"/>
      <c r="L12" s="74"/>
      <c r="M12" s="74"/>
      <c r="N12" s="74"/>
    </row>
    <row r="13" spans="2:14">
      <c r="B13" s="16" t="s">
        <v>22</v>
      </c>
      <c r="C13" s="16"/>
      <c r="D13" s="138">
        <f>'Income Statement'!J12</f>
        <v>146406.31</v>
      </c>
      <c r="E13" s="138">
        <f>'Income Statement'!K12</f>
        <v>259309.27</v>
      </c>
      <c r="F13" s="138">
        <f>'Income Statement'!L12</f>
        <v>544464.53</v>
      </c>
      <c r="G13" s="138">
        <f>'Income Statement'!M12</f>
        <v>689043</v>
      </c>
      <c r="H13" s="138">
        <f>'Income Statement'!N12</f>
        <v>808029</v>
      </c>
      <c r="I13" s="138">
        <f>'Income Statement'!O12</f>
        <v>849619</v>
      </c>
      <c r="J13" s="143">
        <f>SUM(J14,J16,J18,J20)</f>
        <v>1015783.43</v>
      </c>
      <c r="K13" s="143">
        <f t="shared" ref="K13:N13" si="2">SUM(K14,K16,K18,K20)</f>
        <v>1214721.5549000001</v>
      </c>
      <c r="L13" s="143">
        <f t="shared" si="2"/>
        <v>1452929.0716069997</v>
      </c>
      <c r="M13" s="143">
        <f t="shared" si="2"/>
        <v>1738192.8294850097</v>
      </c>
      <c r="N13" s="143">
        <f t="shared" si="2"/>
        <v>2079847.9291773739</v>
      </c>
    </row>
    <row r="14" spans="2:14">
      <c r="B14" t="s">
        <v>708</v>
      </c>
      <c r="C14" s="16"/>
      <c r="D14" s="111">
        <v>129619.69</v>
      </c>
      <c r="E14" s="111">
        <v>239102.72</v>
      </c>
      <c r="F14" s="111">
        <v>512577.6</v>
      </c>
      <c r="G14" s="111">
        <v>646089.29</v>
      </c>
      <c r="H14" s="111">
        <v>742111</v>
      </c>
      <c r="I14" s="111">
        <v>789026</v>
      </c>
      <c r="J14" s="111">
        <f>I14*J15+I14</f>
        <v>946831.2</v>
      </c>
      <c r="K14" s="111">
        <f t="shared" ref="K14:N14" si="3">J14*K15+J14</f>
        <v>1136197.44</v>
      </c>
      <c r="L14" s="111">
        <f t="shared" si="3"/>
        <v>1363436.9279999998</v>
      </c>
      <c r="M14" s="111">
        <f t="shared" si="3"/>
        <v>1636124.3135999998</v>
      </c>
      <c r="N14" s="111">
        <f t="shared" si="3"/>
        <v>1963349.1763199996</v>
      </c>
    </row>
    <row r="15" spans="2:14">
      <c r="C15" s="16"/>
      <c r="D15" s="111"/>
      <c r="E15" s="111"/>
      <c r="F15" s="111"/>
      <c r="G15" s="111"/>
      <c r="H15" s="111"/>
      <c r="I15" s="111"/>
      <c r="J15" s="369">
        <f>'Control Sheet'!L23</f>
        <v>0.2</v>
      </c>
      <c r="K15" s="369">
        <f>'Control Sheet'!M23</f>
        <v>0.2</v>
      </c>
      <c r="L15" s="369">
        <f>'Control Sheet'!N23</f>
        <v>0.2</v>
      </c>
      <c r="M15" s="369">
        <f>'Control Sheet'!O23</f>
        <v>0.2</v>
      </c>
      <c r="N15" s="369">
        <f>'Control Sheet'!P23</f>
        <v>0.2</v>
      </c>
    </row>
    <row r="16" spans="2:14">
      <c r="B16" t="s">
        <v>709</v>
      </c>
      <c r="C16" s="16"/>
      <c r="D16" s="111">
        <v>11451.02</v>
      </c>
      <c r="E16" s="111">
        <v>14974.65</v>
      </c>
      <c r="F16" s="111">
        <v>15837.01</v>
      </c>
      <c r="G16" s="111">
        <v>17943.97</v>
      </c>
      <c r="H16" s="111">
        <v>22651</v>
      </c>
      <c r="I16" s="111">
        <v>24837</v>
      </c>
      <c r="J16" s="111">
        <f t="shared" ref="J16:N16" si="4">I16*J17+I16</f>
        <v>28562.55</v>
      </c>
      <c r="K16" s="111">
        <f t="shared" si="4"/>
        <v>32846.932499999995</v>
      </c>
      <c r="L16" s="111">
        <f t="shared" si="4"/>
        <v>37773.972374999998</v>
      </c>
      <c r="M16" s="111">
        <f t="shared" si="4"/>
        <v>43440.068231249999</v>
      </c>
      <c r="N16" s="111">
        <f t="shared" si="4"/>
        <v>49956.078465937499</v>
      </c>
    </row>
    <row r="17" spans="2:14">
      <c r="C17" s="16"/>
      <c r="D17" s="111"/>
      <c r="E17" s="111"/>
      <c r="F17" s="111"/>
      <c r="G17" s="111"/>
      <c r="H17" s="111"/>
      <c r="I17" s="111"/>
      <c r="J17" s="369">
        <f>'Control Sheet'!L29</f>
        <v>0.15</v>
      </c>
      <c r="K17" s="369">
        <f>'Control Sheet'!M29</f>
        <v>0.15</v>
      </c>
      <c r="L17" s="369">
        <f>'Control Sheet'!N29</f>
        <v>0.15</v>
      </c>
      <c r="M17" s="369">
        <f>'Control Sheet'!O29</f>
        <v>0.15</v>
      </c>
      <c r="N17" s="369">
        <f>'Control Sheet'!P29</f>
        <v>0.15</v>
      </c>
    </row>
    <row r="18" spans="2:14">
      <c r="B18" t="s">
        <v>710</v>
      </c>
      <c r="C18" s="16"/>
      <c r="D18" s="111">
        <v>1028.25</v>
      </c>
      <c r="E18" s="111">
        <v>2462.31</v>
      </c>
      <c r="F18" s="111">
        <v>7662.06</v>
      </c>
      <c r="G18" s="111">
        <v>9835.39</v>
      </c>
      <c r="H18" s="111">
        <v>11424</v>
      </c>
      <c r="I18" s="111">
        <v>13226</v>
      </c>
      <c r="J18" s="111">
        <f t="shared" ref="J18:N18" si="5">I18*J19+I18</f>
        <v>15606.68</v>
      </c>
      <c r="K18" s="111">
        <f t="shared" si="5"/>
        <v>18415.882400000002</v>
      </c>
      <c r="L18" s="111">
        <f t="shared" si="5"/>
        <v>21730.741232000004</v>
      </c>
      <c r="M18" s="111">
        <f t="shared" si="5"/>
        <v>25642.274653760003</v>
      </c>
      <c r="N18" s="111">
        <f t="shared" si="5"/>
        <v>30257.884091436805</v>
      </c>
    </row>
    <row r="19" spans="2:14">
      <c r="C19" s="16"/>
      <c r="D19" s="111"/>
      <c r="E19" s="111"/>
      <c r="F19" s="111"/>
      <c r="G19" s="111"/>
      <c r="H19" s="111"/>
      <c r="I19" s="111"/>
      <c r="J19" s="369">
        <f>'Control Sheet'!L35</f>
        <v>0.18</v>
      </c>
      <c r="K19" s="369">
        <f>'Control Sheet'!M35</f>
        <v>0.18</v>
      </c>
      <c r="L19" s="369">
        <f>'Control Sheet'!N35</f>
        <v>0.18</v>
      </c>
      <c r="M19" s="369">
        <f>'Control Sheet'!O35</f>
        <v>0.18</v>
      </c>
      <c r="N19" s="369">
        <f>'Control Sheet'!P35</f>
        <v>0.18</v>
      </c>
    </row>
    <row r="20" spans="2:14">
      <c r="B20" t="s">
        <v>711</v>
      </c>
      <c r="C20" s="16"/>
      <c r="D20" s="111">
        <v>4307.3499999999949</v>
      </c>
      <c r="E20" s="111">
        <v>2769.5899999999888</v>
      </c>
      <c r="F20" s="111">
        <v>8387.8600000000515</v>
      </c>
      <c r="G20" s="111">
        <v>15174.349999999962</v>
      </c>
      <c r="H20" s="111">
        <v>31843</v>
      </c>
      <c r="I20" s="111">
        <v>22530</v>
      </c>
      <c r="J20" s="111">
        <f t="shared" ref="J20:N20" si="6">I20*J21+I20</f>
        <v>24783</v>
      </c>
      <c r="K20" s="111">
        <f t="shared" si="6"/>
        <v>27261.3</v>
      </c>
      <c r="L20" s="111">
        <f t="shared" si="6"/>
        <v>29987.43</v>
      </c>
      <c r="M20" s="111">
        <f t="shared" si="6"/>
        <v>32986.173000000003</v>
      </c>
      <c r="N20" s="111">
        <f t="shared" si="6"/>
        <v>36284.790300000001</v>
      </c>
    </row>
    <row r="21" spans="2:14">
      <c r="C21" s="16"/>
      <c r="D21" s="111"/>
      <c r="E21" s="111"/>
      <c r="F21" s="111"/>
      <c r="G21" s="111"/>
      <c r="H21" s="111"/>
      <c r="I21" s="111"/>
      <c r="J21" s="369">
        <f>'Control Sheet'!L41</f>
        <v>0.1</v>
      </c>
      <c r="K21" s="369">
        <f>'Control Sheet'!M41</f>
        <v>0.1</v>
      </c>
      <c r="L21" s="369">
        <f>'Control Sheet'!N41</f>
        <v>0.1</v>
      </c>
      <c r="M21" s="369">
        <f>'Control Sheet'!O41</f>
        <v>0.1</v>
      </c>
      <c r="N21" s="369">
        <f>'Control Sheet'!P41</f>
        <v>0.1</v>
      </c>
    </row>
    <row r="23" spans="2:14" ht="15.6">
      <c r="B23" s="7" t="s">
        <v>15</v>
      </c>
      <c r="C23" s="8"/>
      <c r="D23" s="232"/>
      <c r="E23" s="232"/>
      <c r="F23" s="232"/>
      <c r="G23" s="232"/>
      <c r="H23" s="232"/>
      <c r="I23" s="232"/>
      <c r="J23" s="8"/>
      <c r="K23" s="8"/>
      <c r="L23" s="8"/>
      <c r="M23" s="8"/>
      <c r="N23" s="8"/>
    </row>
    <row r="25" spans="2:14">
      <c r="B25" t="s">
        <v>303</v>
      </c>
      <c r="I25" s="56"/>
      <c r="J25" s="139">
        <f>'Control Sheet'!L51</f>
        <v>0.66</v>
      </c>
      <c r="K25" s="139">
        <f>'Control Sheet'!M51</f>
        <v>0.66</v>
      </c>
      <c r="L25" s="139">
        <f>'Control Sheet'!N51</f>
        <v>0.66</v>
      </c>
      <c r="M25" s="139">
        <f>'Control Sheet'!O51</f>
        <v>0.66</v>
      </c>
      <c r="N25" s="139">
        <f>'Control Sheet'!P51</f>
        <v>0.66</v>
      </c>
    </row>
    <row r="26" spans="2:14">
      <c r="B26" s="28" t="s">
        <v>40</v>
      </c>
      <c r="C26" s="28"/>
      <c r="D26" s="124">
        <f>'Income Statement'!J25</f>
        <v>94483.340000000011</v>
      </c>
      <c r="E26" s="124">
        <f>'Income Statement'!K25</f>
        <v>194408.44</v>
      </c>
      <c r="F26" s="124">
        <f>'Income Statement'!L25</f>
        <v>389093.9</v>
      </c>
      <c r="G26" s="124">
        <f>'Income Statement'!M25</f>
        <v>405950</v>
      </c>
      <c r="H26" s="124">
        <f>'Income Statement'!N25</f>
        <v>481803</v>
      </c>
      <c r="I26" s="124">
        <f>'Income Statement'!O25</f>
        <v>564048</v>
      </c>
      <c r="J26" s="142">
        <f>J13*J25</f>
        <v>670417.06380000012</v>
      </c>
      <c r="K26" s="142">
        <f t="shared" ref="K26:M26" si="7">K13*K25</f>
        <v>801716.22623400006</v>
      </c>
      <c r="L26" s="142">
        <f t="shared" si="7"/>
        <v>958933.18726061983</v>
      </c>
      <c r="M26" s="142">
        <f t="shared" si="7"/>
        <v>1147207.2674601064</v>
      </c>
      <c r="N26" s="142">
        <f t="shared" ref="N26" si="8">N13*N25</f>
        <v>1372699.6332570668</v>
      </c>
    </row>
    <row r="27" spans="2:14">
      <c r="D27" s="56">
        <f>D26/D13</f>
        <v>0.64535019016598405</v>
      </c>
      <c r="E27" s="56">
        <f t="shared" ref="E27:I27" si="9">E26/E13</f>
        <v>0.74971650647121102</v>
      </c>
      <c r="F27" s="56">
        <f t="shared" si="9"/>
        <v>0.71463590107513519</v>
      </c>
      <c r="G27" s="56">
        <f t="shared" si="9"/>
        <v>0.58915045940529109</v>
      </c>
      <c r="H27" s="56">
        <f t="shared" si="9"/>
        <v>0.59626944082452482</v>
      </c>
      <c r="I27" s="56">
        <f t="shared" si="9"/>
        <v>0.66388345835015461</v>
      </c>
    </row>
    <row r="28" spans="2:14" ht="15.6" outlineLevel="1">
      <c r="B28" s="7" t="s">
        <v>16</v>
      </c>
      <c r="C28" s="8"/>
      <c r="D28" s="232"/>
      <c r="E28" s="232"/>
      <c r="F28" s="232"/>
      <c r="G28" s="232"/>
      <c r="H28" s="232"/>
      <c r="I28" s="232"/>
      <c r="J28" s="8"/>
      <c r="K28" s="8"/>
      <c r="L28" s="8"/>
      <c r="M28" s="8"/>
      <c r="N28" s="8"/>
    </row>
    <row r="29" spans="2:14" outlineLevel="1">
      <c r="D29" s="34">
        <f>AVERAGE(D27:I27)</f>
        <v>0.65983432604871683</v>
      </c>
    </row>
    <row r="30" spans="2:14" outlineLevel="1">
      <c r="B30" s="16" t="s">
        <v>311</v>
      </c>
      <c r="D30" s="138">
        <f>'Income Statement'!J36</f>
        <v>32954.92</v>
      </c>
      <c r="E30" s="138">
        <f>'Income Statement'!K36</f>
        <v>34864.43</v>
      </c>
      <c r="F30" s="138">
        <f>'Income Statement'!L36</f>
        <v>47947.519999999997</v>
      </c>
      <c r="G30" s="138">
        <f>'Income Statement'!M36</f>
        <v>64618</v>
      </c>
      <c r="H30" s="138">
        <f>'Income Statement'!N36</f>
        <v>74725</v>
      </c>
      <c r="I30" s="138">
        <f>'Income Statement'!O36</f>
        <v>82722</v>
      </c>
      <c r="J30" s="143">
        <f t="shared" ref="J30:M30" si="10">J13*J31</f>
        <v>101578.34300000001</v>
      </c>
      <c r="K30" s="143">
        <f t="shared" si="10"/>
        <v>121472.15549000002</v>
      </c>
      <c r="L30" s="143">
        <f t="shared" si="10"/>
        <v>188880.77930890996</v>
      </c>
      <c r="M30" s="143">
        <f t="shared" si="10"/>
        <v>260728.92442275144</v>
      </c>
      <c r="N30" s="143">
        <f t="shared" ref="N30" si="11">N13*N31</f>
        <v>311977.18937660608</v>
      </c>
    </row>
    <row r="31" spans="2:14">
      <c r="B31" t="s">
        <v>313</v>
      </c>
      <c r="D31" s="56">
        <f>D30/D13</f>
        <v>0.22509221084801603</v>
      </c>
      <c r="E31" s="56">
        <f t="shared" ref="E31:H31" si="12">E30/E13</f>
        <v>0.13445115170776578</v>
      </c>
      <c r="F31" s="56">
        <f t="shared" si="12"/>
        <v>8.8063624640525237E-2</v>
      </c>
      <c r="G31" s="56">
        <f t="shared" si="12"/>
        <v>9.3779343234021678E-2</v>
      </c>
      <c r="H31" s="56">
        <f t="shared" si="12"/>
        <v>9.247811650324432E-2</v>
      </c>
      <c r="I31" s="56">
        <f>'Control Sheet'!K59</f>
        <v>9.736364182062783E-2</v>
      </c>
      <c r="J31" s="139">
        <v>0.1</v>
      </c>
      <c r="K31" s="139">
        <v>0.1</v>
      </c>
      <c r="L31" s="139">
        <v>0.13</v>
      </c>
      <c r="M31" s="139">
        <v>0.15</v>
      </c>
      <c r="N31" s="139">
        <v>0.15</v>
      </c>
    </row>
    <row r="32" spans="2:14" outlineLevel="1"/>
    <row r="33" spans="2:14" outlineLevel="1">
      <c r="B33" s="16" t="s">
        <v>312</v>
      </c>
      <c r="D33" s="138">
        <f>'Income Statement'!J37</f>
        <v>19104.099999999999</v>
      </c>
      <c r="E33" s="138">
        <f>'Income Statement'!K37</f>
        <v>24563.07</v>
      </c>
      <c r="F33" s="138">
        <f>'Income Statement'!L37</f>
        <v>42469.61</v>
      </c>
      <c r="G33" s="138">
        <f>'Income Statement'!M37</f>
        <v>55300</v>
      </c>
      <c r="H33" s="138">
        <f>'Income Statement'!N37</f>
        <v>70918</v>
      </c>
      <c r="I33" s="138">
        <f>'Income Statement'!O37</f>
        <v>83015</v>
      </c>
      <c r="J33" s="143">
        <f>J13*J34</f>
        <v>91420.508700000006</v>
      </c>
      <c r="K33" s="143">
        <f>K13*K34</f>
        <v>109324.939941</v>
      </c>
      <c r="L33" s="143">
        <f>L13*L34</f>
        <v>130763.61644462997</v>
      </c>
      <c r="M33" s="143">
        <f>M13*M34</f>
        <v>156437.35465365087</v>
      </c>
      <c r="N33" s="143">
        <f>N13*N34</f>
        <v>187186.31362596364</v>
      </c>
    </row>
    <row r="34" spans="2:14" outlineLevel="1">
      <c r="B34" t="s">
        <v>314</v>
      </c>
      <c r="D34" s="56">
        <f t="shared" ref="D34:I34" si="13">D33/D13</f>
        <v>0.13048686221242786</v>
      </c>
      <c r="E34" s="56">
        <f t="shared" si="13"/>
        <v>9.4724997683268322E-2</v>
      </c>
      <c r="F34" s="56">
        <f t="shared" si="13"/>
        <v>7.8002528465903914E-2</v>
      </c>
      <c r="G34" s="56">
        <f t="shared" si="13"/>
        <v>8.0256239450948633E-2</v>
      </c>
      <c r="H34" s="56">
        <f t="shared" si="13"/>
        <v>8.7766651939472473E-2</v>
      </c>
      <c r="I34" s="56">
        <f t="shared" si="13"/>
        <v>9.7708502281610932E-2</v>
      </c>
      <c r="J34" s="139">
        <f>'Control Sheet'!L65</f>
        <v>0.09</v>
      </c>
      <c r="K34" s="139">
        <f>'Control Sheet'!M65</f>
        <v>0.09</v>
      </c>
      <c r="L34" s="139">
        <f>'Control Sheet'!N65</f>
        <v>0.09</v>
      </c>
      <c r="M34" s="139">
        <f>'Control Sheet'!O65</f>
        <v>0.09</v>
      </c>
      <c r="N34" s="139">
        <f>'Control Sheet'!P65</f>
        <v>0.09</v>
      </c>
    </row>
    <row r="35" spans="2:14" outlineLevel="1"/>
    <row r="36" spans="2:14" ht="15" outlineLevel="1" thickBot="1">
      <c r="B36" s="31" t="s">
        <v>315</v>
      </c>
      <c r="C36" s="58"/>
      <c r="D36" s="140">
        <f>D33+D30</f>
        <v>52059.02</v>
      </c>
      <c r="E36" s="140">
        <f t="shared" ref="E36:M36" si="14">E33+E30</f>
        <v>59427.5</v>
      </c>
      <c r="F36" s="140">
        <f t="shared" si="14"/>
        <v>90417.13</v>
      </c>
      <c r="G36" s="140">
        <f t="shared" si="14"/>
        <v>119918</v>
      </c>
      <c r="H36" s="140">
        <f t="shared" si="14"/>
        <v>145643</v>
      </c>
      <c r="I36" s="140">
        <f t="shared" si="14"/>
        <v>165737</v>
      </c>
      <c r="J36" s="140">
        <f t="shared" si="14"/>
        <v>192998.8517</v>
      </c>
      <c r="K36" s="140">
        <f t="shared" si="14"/>
        <v>230797.09543100002</v>
      </c>
      <c r="L36" s="140">
        <f t="shared" si="14"/>
        <v>319644.39575353992</v>
      </c>
      <c r="M36" s="140">
        <f t="shared" si="14"/>
        <v>417166.27907640231</v>
      </c>
      <c r="N36" s="140">
        <f t="shared" ref="N36" si="15">N33+N30</f>
        <v>499163.50300256972</v>
      </c>
    </row>
    <row r="37" spans="2:14" outlineLevel="1">
      <c r="B37" t="s">
        <v>316</v>
      </c>
      <c r="D37" s="56">
        <f>D36/D13</f>
        <v>0.3555790730604439</v>
      </c>
      <c r="E37" s="56">
        <f t="shared" ref="E37:M37" si="16">E36/E13</f>
        <v>0.22917614939103412</v>
      </c>
      <c r="F37" s="56">
        <f t="shared" si="16"/>
        <v>0.16606615310642917</v>
      </c>
      <c r="G37" s="56">
        <f t="shared" si="16"/>
        <v>0.17403558268497032</v>
      </c>
      <c r="H37" s="56">
        <f t="shared" si="16"/>
        <v>0.18024476844271678</v>
      </c>
      <c r="I37" s="56">
        <f t="shared" si="16"/>
        <v>0.19507214410223878</v>
      </c>
      <c r="J37" s="56">
        <f t="shared" si="16"/>
        <v>0.19</v>
      </c>
      <c r="K37" s="56">
        <f t="shared" si="16"/>
        <v>0.19</v>
      </c>
      <c r="L37" s="56">
        <f t="shared" si="16"/>
        <v>0.22</v>
      </c>
      <c r="M37" s="56">
        <f t="shared" si="16"/>
        <v>0.24</v>
      </c>
      <c r="N37" s="56">
        <f t="shared" ref="N37" si="17">N36/N13</f>
        <v>0.24</v>
      </c>
    </row>
    <row r="38" spans="2:14" outlineLevel="1"/>
    <row r="39" spans="2:14" ht="15.6" outlineLevel="1">
      <c r="B39" s="7" t="s">
        <v>331</v>
      </c>
      <c r="C39" s="8"/>
      <c r="D39" s="8"/>
      <c r="E39" s="8"/>
      <c r="F39" s="8"/>
      <c r="G39" s="8"/>
      <c r="H39" s="8"/>
      <c r="I39" s="8"/>
      <c r="J39" s="8"/>
      <c r="K39" s="8"/>
      <c r="L39" s="8"/>
      <c r="M39" s="8"/>
      <c r="N39" s="8"/>
    </row>
    <row r="40" spans="2:14" s="19" customFormat="1" ht="15.6" outlineLevel="1">
      <c r="B40" s="75"/>
      <c r="C40" s="74"/>
      <c r="D40" s="74"/>
      <c r="E40" s="74"/>
      <c r="F40" s="74"/>
      <c r="G40" s="74"/>
      <c r="H40" s="74"/>
      <c r="I40" s="74"/>
      <c r="J40" s="74"/>
      <c r="K40" s="74"/>
      <c r="L40" s="74"/>
      <c r="M40" s="74"/>
      <c r="N40" s="74"/>
    </row>
    <row r="41" spans="2:14" outlineLevel="1">
      <c r="B41" s="9" t="str">
        <f>'Control Sheet'!B71</f>
        <v>Plant, machinery and equipment Growth %</v>
      </c>
      <c r="C41" s="10"/>
      <c r="D41" s="10"/>
      <c r="E41" s="10"/>
      <c r="F41" s="10"/>
      <c r="G41" s="10"/>
      <c r="H41" s="10"/>
      <c r="I41" s="10"/>
      <c r="J41" s="10"/>
      <c r="K41" s="10"/>
      <c r="L41" s="10"/>
      <c r="M41" s="10"/>
      <c r="N41" s="10"/>
    </row>
    <row r="42" spans="2:14" s="19" customFormat="1" ht="15.6" outlineLevel="1">
      <c r="B42" s="73"/>
      <c r="C42" s="18"/>
      <c r="D42" s="18"/>
      <c r="E42" s="18"/>
      <c r="F42" s="18"/>
      <c r="G42" s="18"/>
      <c r="H42" s="18"/>
      <c r="I42" s="18"/>
      <c r="K42" s="18"/>
      <c r="L42" s="18"/>
      <c r="M42" s="18"/>
      <c r="N42" s="18"/>
    </row>
    <row r="43" spans="2:14" s="19" customFormat="1" ht="15.6" outlineLevel="1">
      <c r="B43" s="180" t="s">
        <v>373</v>
      </c>
      <c r="I43" s="158"/>
      <c r="J43" s="227">
        <f>'Balance Sheet'!O9</f>
        <v>110871</v>
      </c>
      <c r="K43" s="191">
        <f>J46</f>
        <v>117767.32549768752</v>
      </c>
      <c r="L43" s="191">
        <f t="shared" ref="L43:M43" si="18">K46</f>
        <v>124424.94361150212</v>
      </c>
      <c r="M43" s="191">
        <f t="shared" si="18"/>
        <v>130673.21719357869</v>
      </c>
      <c r="N43" s="191">
        <f>M46</f>
        <v>136305.67221794807</v>
      </c>
    </row>
    <row r="44" spans="2:14" s="19" customFormat="1" ht="15.6" outlineLevel="1">
      <c r="B44" s="180" t="s">
        <v>366</v>
      </c>
      <c r="J44" s="191">
        <f>I46*J47</f>
        <v>27717.75</v>
      </c>
      <c r="K44" s="191">
        <f>J46*K47</f>
        <v>29441.831374421879</v>
      </c>
      <c r="L44" s="191">
        <f>K46*L47</f>
        <v>31106.235902875531</v>
      </c>
      <c r="M44" s="191">
        <f>L46*M47</f>
        <v>32668.304298394673</v>
      </c>
      <c r="N44" s="191">
        <f>M46*N47</f>
        <v>34076.418054487018</v>
      </c>
    </row>
    <row r="45" spans="2:14" s="19" customFormat="1" ht="15.6" outlineLevel="1">
      <c r="B45" s="181" t="s">
        <v>19</v>
      </c>
      <c r="C45" s="182"/>
      <c r="D45" s="182"/>
      <c r="E45" s="182"/>
      <c r="F45" s="182"/>
      <c r="G45" s="182"/>
      <c r="H45" s="182"/>
      <c r="I45" s="183">
        <f>('Income Statement'!O48)/SUM('Balance Sheet'!O9,'Balance Sheet'!O10,'Balance Sheet'!O12)*'Balance Sheet'!O9</f>
        <v>18973.574502312487</v>
      </c>
      <c r="J45" s="233">
        <f>I45+J44/$C$90</f>
        <v>20821.424502312486</v>
      </c>
      <c r="K45" s="233">
        <f>J45+K44/$C$90</f>
        <v>22784.213260607277</v>
      </c>
      <c r="L45" s="233">
        <f>K45+L44/$C$90</f>
        <v>24857.962320798979</v>
      </c>
      <c r="M45" s="233">
        <f>L45+M44/$C$90</f>
        <v>27035.849274025291</v>
      </c>
      <c r="N45" s="233">
        <f>M45+N44/$C$90</f>
        <v>29307.610477657759</v>
      </c>
    </row>
    <row r="46" spans="2:14" s="19" customFormat="1" ht="15.6" outlineLevel="1">
      <c r="B46" s="73" t="s">
        <v>374</v>
      </c>
      <c r="C46" s="18"/>
      <c r="D46" s="192"/>
      <c r="E46" s="192"/>
      <c r="F46" s="192"/>
      <c r="G46" s="192"/>
      <c r="H46" s="192"/>
      <c r="I46" s="192">
        <f>'Balance Sheet'!O9</f>
        <v>110871</v>
      </c>
      <c r="J46" s="163">
        <f>J43+J44-J45</f>
        <v>117767.32549768752</v>
      </c>
      <c r="K46" s="163">
        <f t="shared" ref="K46:N46" si="19">K43+K44-K45</f>
        <v>124424.94361150212</v>
      </c>
      <c r="L46" s="163">
        <f t="shared" si="19"/>
        <v>130673.21719357869</v>
      </c>
      <c r="M46" s="163">
        <f t="shared" si="19"/>
        <v>136305.67221794807</v>
      </c>
      <c r="N46" s="163">
        <f t="shared" si="19"/>
        <v>141074.47979477735</v>
      </c>
    </row>
    <row r="47" spans="2:14" s="19" customFormat="1">
      <c r="J47" s="397">
        <f>'Control Sheet'!L75</f>
        <v>0.25</v>
      </c>
      <c r="K47" s="397">
        <f>'Control Sheet'!M75</f>
        <v>0.25</v>
      </c>
      <c r="L47" s="397">
        <f>'Control Sheet'!N75</f>
        <v>0.25</v>
      </c>
      <c r="M47" s="397">
        <f>'Control Sheet'!O75</f>
        <v>0.25</v>
      </c>
      <c r="N47" s="397">
        <f>'Control Sheet'!P75</f>
        <v>0.25</v>
      </c>
    </row>
    <row r="48" spans="2:14" s="19" customFormat="1">
      <c r="J48" s="52"/>
      <c r="K48" s="52"/>
      <c r="L48" s="52"/>
      <c r="M48" s="52"/>
      <c r="N48" s="52"/>
    </row>
    <row r="49" spans="2:14" s="19" customFormat="1" outlineLevel="1">
      <c r="B49" t="s">
        <v>187</v>
      </c>
      <c r="C49"/>
      <c r="J49" s="191">
        <f>'Balance Sheet'!O10</f>
        <v>520540</v>
      </c>
      <c r="K49" s="191">
        <f>J52</f>
        <v>552918.2889535249</v>
      </c>
      <c r="L49" s="191">
        <f>K52</f>
        <v>584175.84532953892</v>
      </c>
      <c r="M49" s="191">
        <f>L52</f>
        <v>613511.52671073074</v>
      </c>
      <c r="N49" s="191">
        <f>M52</f>
        <v>639955.93632537511</v>
      </c>
    </row>
    <row r="50" spans="2:14" s="19" customFormat="1" ht="15.6" outlineLevel="1">
      <c r="B50" s="180" t="s">
        <v>375</v>
      </c>
      <c r="J50" s="191">
        <f>I52*J53</f>
        <v>130135</v>
      </c>
      <c r="K50" s="191">
        <f>J52*K53</f>
        <v>138229.57223838122</v>
      </c>
      <c r="L50" s="191">
        <f>K52*L53</f>
        <v>146043.96133238473</v>
      </c>
      <c r="M50" s="191">
        <f>L52*M53</f>
        <v>153377.88167768269</v>
      </c>
      <c r="N50" s="191">
        <f>M52*N53</f>
        <v>159988.98408134378</v>
      </c>
    </row>
    <row r="51" spans="2:14" s="19" customFormat="1" ht="15.6" outlineLevel="1">
      <c r="B51" s="181" t="s">
        <v>19</v>
      </c>
      <c r="C51" s="182"/>
      <c r="D51" s="182"/>
      <c r="E51" s="182"/>
      <c r="F51" s="182"/>
      <c r="G51" s="182"/>
      <c r="H51" s="182"/>
      <c r="I51" s="183">
        <f>'Income Statement'!O48/SUM('Balance Sheet'!O9,'Balance Sheet'!O10,'Balance Sheet'!O12)*'Balance Sheet'!O10</f>
        <v>89081.044379808445</v>
      </c>
      <c r="J51" s="233">
        <f>I51+J50/$C$90</f>
        <v>97756.711046475117</v>
      </c>
      <c r="K51" s="233">
        <f>J51+K50/$C$90</f>
        <v>106972.0158623672</v>
      </c>
      <c r="L51" s="233">
        <f>K51+L50/$C$90</f>
        <v>116708.27995119285</v>
      </c>
      <c r="M51" s="233">
        <f>L51+M50/$C$90</f>
        <v>126933.47206303835</v>
      </c>
      <c r="N51" s="233">
        <f>M51+N50/$C$90</f>
        <v>137599.40433512794</v>
      </c>
    </row>
    <row r="52" spans="2:14" s="19" customFormat="1" ht="15.6" outlineLevel="1">
      <c r="B52" s="73" t="s">
        <v>692</v>
      </c>
      <c r="C52" s="18"/>
      <c r="D52" s="138"/>
      <c r="E52" s="138"/>
      <c r="F52" s="138"/>
      <c r="G52" s="138"/>
      <c r="H52" s="138"/>
      <c r="I52" s="138">
        <f>'Balance Sheet'!O10</f>
        <v>520540</v>
      </c>
      <c r="J52" s="163">
        <f>J49+J50-J51</f>
        <v>552918.2889535249</v>
      </c>
      <c r="K52" s="163">
        <f t="shared" ref="K52" si="20">K49+K50-K51</f>
        <v>584175.84532953892</v>
      </c>
      <c r="L52" s="163">
        <f t="shared" ref="L52" si="21">L49+L50-L51</f>
        <v>613511.52671073074</v>
      </c>
      <c r="M52" s="163">
        <f t="shared" ref="M52" si="22">M49+M50-M51</f>
        <v>639955.93632537511</v>
      </c>
      <c r="N52" s="163">
        <f t="shared" ref="N52" si="23">N49+N50-N51</f>
        <v>662345.51607159094</v>
      </c>
    </row>
    <row r="53" spans="2:14" s="19" customFormat="1" outlineLevel="1">
      <c r="B53" s="24" t="s">
        <v>328</v>
      </c>
      <c r="C53" s="24"/>
      <c r="D53" s="24"/>
      <c r="E53" s="36"/>
      <c r="F53" s="36"/>
      <c r="G53" s="36"/>
      <c r="H53" s="36"/>
      <c r="I53" s="36"/>
      <c r="J53" s="234">
        <f>'Control Sheet'!L81</f>
        <v>0.25</v>
      </c>
      <c r="K53" s="234">
        <f>'Control Sheet'!M81</f>
        <v>0.25</v>
      </c>
      <c r="L53" s="234">
        <f>'Control Sheet'!N81</f>
        <v>0.25</v>
      </c>
      <c r="M53" s="234">
        <f>'Control Sheet'!O81</f>
        <v>0.25</v>
      </c>
      <c r="N53" s="234">
        <f>'Control Sheet'!P81</f>
        <v>0.25</v>
      </c>
    </row>
    <row r="54" spans="2:14" s="19" customFormat="1" outlineLevel="1">
      <c r="H54" s="153"/>
      <c r="I54" s="52"/>
      <c r="J54" s="52"/>
      <c r="K54" s="52"/>
      <c r="L54" s="52"/>
      <c r="M54" s="52"/>
      <c r="N54" s="52"/>
    </row>
    <row r="55" spans="2:14" s="19" customFormat="1" outlineLevel="1">
      <c r="B55" s="9" t="str">
        <f>'Control Sheet'!B83</f>
        <v>Capital Work in progress Growth %</v>
      </c>
      <c r="C55" s="10"/>
      <c r="D55" s="10"/>
      <c r="E55" s="10"/>
      <c r="F55" s="10"/>
      <c r="G55" s="10"/>
      <c r="H55" s="10"/>
      <c r="I55" s="10"/>
      <c r="J55" s="10"/>
      <c r="K55" s="10"/>
      <c r="L55" s="10"/>
      <c r="M55" s="10"/>
      <c r="N55" s="10"/>
    </row>
    <row r="56" spans="2:14" s="19" customFormat="1" outlineLevel="1">
      <c r="B56" s="19" t="s">
        <v>329</v>
      </c>
      <c r="C56"/>
      <c r="D56" s="246">
        <f>'Balance Sheet'!J$11</f>
        <v>663.51</v>
      </c>
      <c r="E56" s="246">
        <f>'Balance Sheet'!K$11</f>
        <v>1193.18</v>
      </c>
      <c r="F56" s="246">
        <v>0</v>
      </c>
      <c r="G56" s="246">
        <f>'Balance Sheet'!M$11</f>
        <v>1</v>
      </c>
      <c r="H56" s="246">
        <f>'Balance Sheet'!N$11</f>
        <v>7</v>
      </c>
      <c r="I56" s="246">
        <f>'Balance Sheet'!O$11</f>
        <v>387</v>
      </c>
      <c r="J56" s="191">
        <v>0</v>
      </c>
      <c r="K56" s="191">
        <f t="shared" ref="K56:N56" si="24">J56*(1+K57)</f>
        <v>0</v>
      </c>
      <c r="L56" s="191">
        <f t="shared" si="24"/>
        <v>0</v>
      </c>
      <c r="M56" s="191">
        <f t="shared" si="24"/>
        <v>0</v>
      </c>
      <c r="N56" s="191">
        <f t="shared" si="24"/>
        <v>0</v>
      </c>
    </row>
    <row r="57" spans="2:14" s="19" customFormat="1" outlineLevel="1">
      <c r="B57" s="24" t="s">
        <v>328</v>
      </c>
      <c r="C57" s="24"/>
      <c r="D57" s="240"/>
      <c r="E57" s="241">
        <f t="shared" ref="E57:F57" si="25">E56/D56-1</f>
        <v>0.79828487890159927</v>
      </c>
      <c r="F57" s="241">
        <f t="shared" si="25"/>
        <v>-1</v>
      </c>
      <c r="G57" s="241">
        <v>0</v>
      </c>
      <c r="H57" s="241">
        <f>H56/G56-1</f>
        <v>6</v>
      </c>
      <c r="I57" s="241">
        <f>I56/H56-1</f>
        <v>54.285714285714285</v>
      </c>
      <c r="J57" s="234">
        <f>'Control Sheet'!L$87</f>
        <v>0</v>
      </c>
      <c r="K57" s="234">
        <f>'Control Sheet'!M$87</f>
        <v>0</v>
      </c>
      <c r="L57" s="234">
        <f>'Control Sheet'!N$87</f>
        <v>0</v>
      </c>
      <c r="M57" s="234">
        <f>'Control Sheet'!O$87</f>
        <v>0</v>
      </c>
      <c r="N57" s="234">
        <f>'Control Sheet'!P$87</f>
        <v>0</v>
      </c>
    </row>
    <row r="58" spans="2:14" s="19" customFormat="1" outlineLevel="1">
      <c r="D58" s="242"/>
      <c r="E58" s="243"/>
      <c r="F58" s="243"/>
      <c r="G58" s="243"/>
      <c r="H58" s="243"/>
      <c r="I58" s="244"/>
      <c r="J58" s="52"/>
      <c r="K58" s="52"/>
      <c r="L58" s="52"/>
      <c r="M58" s="52"/>
      <c r="N58" s="52"/>
    </row>
    <row r="59" spans="2:14" s="19" customFormat="1" outlineLevel="1">
      <c r="B59" s="9" t="str">
        <f>'Control Sheet'!B89</f>
        <v>Financial Assets Growth %</v>
      </c>
      <c r="C59" s="10"/>
      <c r="D59" s="245"/>
      <c r="E59" s="245"/>
      <c r="F59" s="245"/>
      <c r="G59" s="245"/>
      <c r="H59" s="245"/>
      <c r="I59" s="245"/>
      <c r="J59" s="10"/>
      <c r="K59" s="10"/>
      <c r="L59" s="10"/>
      <c r="M59" s="10"/>
      <c r="N59" s="10"/>
    </row>
    <row r="60" spans="2:14" s="19" customFormat="1" outlineLevel="1">
      <c r="B60" t="s">
        <v>341</v>
      </c>
      <c r="C60"/>
      <c r="D60" s="246">
        <f>SUM('Balance Sheet'!J15:J17)</f>
        <v>15823.74</v>
      </c>
      <c r="E60" s="246">
        <f>SUM('Balance Sheet'!K15:K17)</f>
        <v>20911.34</v>
      </c>
      <c r="F60" s="246">
        <f>SUM('Balance Sheet'!L15:L17)</f>
        <v>24500.34</v>
      </c>
      <c r="G60" s="246">
        <f>SUM('Balance Sheet'!M15:M17)</f>
        <v>62711</v>
      </c>
      <c r="H60" s="246">
        <f>SUM('Balance Sheet'!N15:N17)</f>
        <v>88116</v>
      </c>
      <c r="I60" s="246">
        <f>SUM('Balance Sheet'!O15:O17)</f>
        <v>90417</v>
      </c>
      <c r="J60" s="191">
        <f t="shared" ref="J60" si="26">I60*(1+J61)</f>
        <v>99458.700000000012</v>
      </c>
      <c r="K60" s="191">
        <f t="shared" ref="K60" si="27">J60*(1+K61)</f>
        <v>109404.57000000002</v>
      </c>
      <c r="L60" s="191">
        <f t="shared" ref="L60" si="28">K60*(1+L61)</f>
        <v>119250.98130000003</v>
      </c>
      <c r="M60" s="191">
        <f t="shared" ref="M60:N60" si="29">L60*(1+M61)</f>
        <v>128791.05980400003</v>
      </c>
      <c r="N60" s="191">
        <f t="shared" si="29"/>
        <v>139094.34458832003</v>
      </c>
    </row>
    <row r="61" spans="2:14" s="19" customFormat="1" outlineLevel="1">
      <c r="B61" s="24" t="s">
        <v>328</v>
      </c>
      <c r="C61" s="24"/>
      <c r="D61" s="240"/>
      <c r="E61" s="241">
        <f t="shared" ref="E61" si="30">E60/D60-1</f>
        <v>0.32151691066713695</v>
      </c>
      <c r="F61" s="241">
        <f t="shared" ref="F61" si="31">F60/E60-1</f>
        <v>0.17162936473702795</v>
      </c>
      <c r="G61" s="241">
        <f t="shared" ref="G61" si="32">G60/F60-1</f>
        <v>1.5595971321214317</v>
      </c>
      <c r="H61" s="241">
        <f t="shared" ref="H61" si="33">H60/G60-1</f>
        <v>0.40511234073766955</v>
      </c>
      <c r="I61" s="241">
        <f>I60/H60-1</f>
        <v>2.6113305188615099E-2</v>
      </c>
      <c r="J61" s="234">
        <f>'Control Sheet'!L$93</f>
        <v>0.1</v>
      </c>
      <c r="K61" s="234">
        <f>'Control Sheet'!M$93</f>
        <v>0.1</v>
      </c>
      <c r="L61" s="234">
        <v>0.09</v>
      </c>
      <c r="M61" s="234">
        <v>0.08</v>
      </c>
      <c r="N61" s="234">
        <v>0.08</v>
      </c>
    </row>
    <row r="62" spans="2:14" s="19" customFormat="1" outlineLevel="1">
      <c r="D62" s="242"/>
      <c r="E62" s="243"/>
      <c r="F62" s="243"/>
      <c r="G62" s="243"/>
      <c r="H62" s="243"/>
      <c r="I62" s="244"/>
      <c r="J62" s="52"/>
      <c r="K62" s="52"/>
      <c r="L62" s="52"/>
      <c r="M62" s="52"/>
      <c r="N62" s="52"/>
    </row>
    <row r="63" spans="2:14" s="19" customFormat="1" outlineLevel="1">
      <c r="B63" s="9" t="str">
        <f>'Control Sheet'!B95</f>
        <v>Deferred Tax Growth %</v>
      </c>
      <c r="C63" s="10"/>
      <c r="D63" s="245"/>
      <c r="E63" s="245"/>
      <c r="F63" s="245"/>
      <c r="G63" s="245"/>
      <c r="H63" s="245"/>
      <c r="I63" s="245"/>
      <c r="J63" s="10"/>
      <c r="K63" s="10"/>
      <c r="L63" s="10"/>
      <c r="M63" s="10"/>
      <c r="N63" s="10"/>
    </row>
    <row r="64" spans="2:14" s="19" customFormat="1" outlineLevel="1">
      <c r="B64" t="s">
        <v>342</v>
      </c>
      <c r="C64"/>
      <c r="D64" s="246">
        <f>'Balance Sheet'!J19</f>
        <v>3026.93</v>
      </c>
      <c r="E64" s="246">
        <f>'Balance Sheet'!K19</f>
        <v>2949.44</v>
      </c>
      <c r="F64" s="246">
        <f>'Balance Sheet'!L19</f>
        <v>2949.44</v>
      </c>
      <c r="G64" s="246">
        <f>'Balance Sheet'!M19</f>
        <v>4192</v>
      </c>
      <c r="H64" s="246">
        <f>'Balance Sheet'!N19</f>
        <v>4192</v>
      </c>
      <c r="I64" s="246">
        <f>'Balance Sheet'!O19</f>
        <v>0</v>
      </c>
      <c r="J64" s="191">
        <f t="shared" ref="J64" si="34">I64*(1+J65)</f>
        <v>0</v>
      </c>
      <c r="K64" s="191">
        <f t="shared" ref="K64" si="35">J64*(1+K65)</f>
        <v>0</v>
      </c>
      <c r="L64" s="191">
        <f t="shared" ref="L64" si="36">K64*(1+L65)</f>
        <v>0</v>
      </c>
      <c r="M64" s="191">
        <f t="shared" ref="M64:N64" si="37">L64*(1+M65)</f>
        <v>0</v>
      </c>
      <c r="N64" s="191">
        <f t="shared" si="37"/>
        <v>0</v>
      </c>
    </row>
    <row r="65" spans="2:14" s="19" customFormat="1" outlineLevel="1">
      <c r="B65" s="24" t="s">
        <v>328</v>
      </c>
      <c r="C65" s="24"/>
      <c r="D65" s="240"/>
      <c r="E65" s="241">
        <f t="shared" ref="E65" si="38">E64/D64-1</f>
        <v>-2.5600195577697438E-2</v>
      </c>
      <c r="F65" s="241">
        <f t="shared" ref="F65" si="39">F64/E64-1</f>
        <v>0</v>
      </c>
      <c r="G65" s="241">
        <f t="shared" ref="G65" si="40">G64/F64-1</f>
        <v>0.421286752739503</v>
      </c>
      <c r="H65" s="241">
        <f>H64/G64-1</f>
        <v>0</v>
      </c>
      <c r="I65" s="241">
        <f>I64/H64-1</f>
        <v>-1</v>
      </c>
      <c r="J65" s="234">
        <f>'Control Sheet'!L$99</f>
        <v>0</v>
      </c>
      <c r="K65" s="234">
        <f>'Control Sheet'!M$99</f>
        <v>0</v>
      </c>
      <c r="L65" s="234">
        <f>'Control Sheet'!N$99</f>
        <v>0</v>
      </c>
      <c r="M65" s="234">
        <f>'Control Sheet'!O$99</f>
        <v>0</v>
      </c>
      <c r="N65" s="234">
        <f>'Control Sheet'!P$99</f>
        <v>0</v>
      </c>
    </row>
    <row r="66" spans="2:14" s="19" customFormat="1" outlineLevel="1">
      <c r="D66" s="242"/>
      <c r="E66" s="243"/>
      <c r="F66" s="243"/>
      <c r="G66" s="243"/>
      <c r="H66" s="243"/>
      <c r="I66" s="244"/>
      <c r="J66" s="52"/>
      <c r="K66" s="52"/>
      <c r="L66" s="52"/>
      <c r="M66" s="52"/>
      <c r="N66" s="52"/>
    </row>
    <row r="67" spans="2:14" s="19" customFormat="1" outlineLevel="1">
      <c r="B67" s="9" t="str">
        <f>'Control Sheet'!B101</f>
        <v>Income Tax  Growth %</v>
      </c>
      <c r="C67" s="10"/>
      <c r="D67" s="245"/>
      <c r="E67" s="245"/>
      <c r="F67" s="245"/>
      <c r="G67" s="245"/>
      <c r="H67" s="245"/>
      <c r="I67" s="245"/>
      <c r="J67" s="10"/>
      <c r="K67" s="10"/>
      <c r="L67" s="10"/>
      <c r="M67" s="10"/>
      <c r="N67" s="10"/>
    </row>
    <row r="68" spans="2:14" s="19" customFormat="1" outlineLevel="1">
      <c r="B68" t="s">
        <v>343</v>
      </c>
      <c r="C68"/>
      <c r="D68" s="246">
        <f>'Balance Sheet'!J20</f>
        <v>5139.53</v>
      </c>
      <c r="E68" s="246">
        <f>'Balance Sheet'!K20</f>
        <v>7119.22</v>
      </c>
      <c r="F68" s="246">
        <f>'Balance Sheet'!L20</f>
        <v>10997.87</v>
      </c>
      <c r="G68" s="246">
        <f>'Balance Sheet'!M20</f>
        <v>16101</v>
      </c>
      <c r="H68" s="246">
        <f>'Balance Sheet'!N20</f>
        <v>17080</v>
      </c>
      <c r="I68" s="246">
        <f>'Balance Sheet'!O20</f>
        <v>19775</v>
      </c>
      <c r="J68" s="191">
        <f t="shared" ref="J68" si="41">I68*(1+J69)</f>
        <v>24718.75</v>
      </c>
      <c r="K68" s="191">
        <f t="shared" ref="K68" si="42">J68*(1+K69)</f>
        <v>30898.4375</v>
      </c>
      <c r="L68" s="191">
        <f t="shared" ref="L68" si="43">K68*(1+L69)</f>
        <v>38623.046875</v>
      </c>
      <c r="M68" s="191">
        <f t="shared" ref="M68:N68" si="44">L68*(1+M69)</f>
        <v>48278.80859375</v>
      </c>
      <c r="N68" s="191">
        <f t="shared" si="44"/>
        <v>60348.5107421875</v>
      </c>
    </row>
    <row r="69" spans="2:14" s="19" customFormat="1" outlineLevel="1">
      <c r="B69" s="24" t="s">
        <v>328</v>
      </c>
      <c r="C69" s="24"/>
      <c r="D69" s="240"/>
      <c r="E69" s="241">
        <f t="shared" ref="E69" si="45">E68/D68-1</f>
        <v>0.38518891805281807</v>
      </c>
      <c r="F69" s="241">
        <f t="shared" ref="F69" si="46">F68/E68-1</f>
        <v>0.54481389815176384</v>
      </c>
      <c r="G69" s="241">
        <f t="shared" ref="G69" si="47">G68/F68-1</f>
        <v>0.46401075844686268</v>
      </c>
      <c r="H69" s="241">
        <f t="shared" ref="H69" si="48">H68/G68-1</f>
        <v>6.0803676790261552E-2</v>
      </c>
      <c r="I69" s="241">
        <f>I68/H68-1</f>
        <v>0.15778688524590168</v>
      </c>
      <c r="J69" s="234">
        <f>'Control Sheet'!L$105</f>
        <v>0.25</v>
      </c>
      <c r="K69" s="234">
        <f>'Control Sheet'!M$105</f>
        <v>0.25</v>
      </c>
      <c r="L69" s="234">
        <f>'Control Sheet'!N$105</f>
        <v>0.25</v>
      </c>
      <c r="M69" s="234">
        <f>'Control Sheet'!O$105</f>
        <v>0.25</v>
      </c>
      <c r="N69" s="234">
        <f>'Control Sheet'!P$105</f>
        <v>0.25</v>
      </c>
    </row>
    <row r="70" spans="2:14" s="19" customFormat="1" outlineLevel="1">
      <c r="D70" s="242"/>
      <c r="E70" s="243"/>
      <c r="F70" s="243"/>
      <c r="G70" s="243"/>
      <c r="H70" s="243"/>
      <c r="I70" s="244"/>
      <c r="J70" s="52"/>
      <c r="K70" s="52"/>
      <c r="L70" s="52"/>
      <c r="M70" s="52"/>
      <c r="N70" s="52"/>
    </row>
    <row r="71" spans="2:14" s="19" customFormat="1" outlineLevel="1">
      <c r="B71" s="9" t="str">
        <f>'Control Sheet'!B107</f>
        <v>Other Non-Current Assets % Revenue</v>
      </c>
      <c r="C71" s="10"/>
      <c r="D71" s="245"/>
      <c r="E71" s="245"/>
      <c r="F71" s="245"/>
      <c r="G71" s="245"/>
      <c r="H71" s="245"/>
      <c r="I71" s="245"/>
      <c r="J71" s="10"/>
      <c r="K71" s="10"/>
      <c r="L71" s="10"/>
      <c r="M71" s="10"/>
      <c r="N71" s="10"/>
    </row>
    <row r="72" spans="2:14" s="19" customFormat="1" outlineLevel="1">
      <c r="B72" t="s">
        <v>330</v>
      </c>
      <c r="C72"/>
      <c r="D72" s="246">
        <f>'Balance Sheet'!J21</f>
        <v>9498.1299999999992</v>
      </c>
      <c r="E72" s="246">
        <f>'Balance Sheet'!K$21</f>
        <v>12266.99</v>
      </c>
      <c r="F72" s="246">
        <f>'Balance Sheet'!L$21</f>
        <v>14971.32</v>
      </c>
      <c r="G72" s="246">
        <f>'Balance Sheet'!M$21</f>
        <v>19161</v>
      </c>
      <c r="H72" s="246">
        <f>'Balance Sheet'!N$21</f>
        <v>24169</v>
      </c>
      <c r="I72" s="246">
        <f>'Balance Sheet'!O$21</f>
        <v>38373</v>
      </c>
      <c r="J72" s="191">
        <f t="shared" ref="J72:N72" si="49">I72*(1+J73)</f>
        <v>42210.3</v>
      </c>
      <c r="K72" s="191">
        <f t="shared" si="49"/>
        <v>46431.330000000009</v>
      </c>
      <c r="L72" s="191">
        <f t="shared" si="49"/>
        <v>51074.463000000011</v>
      </c>
      <c r="M72" s="191">
        <f t="shared" si="49"/>
        <v>56181.909300000014</v>
      </c>
      <c r="N72" s="191">
        <f t="shared" si="49"/>
        <v>61800.100230000018</v>
      </c>
    </row>
    <row r="73" spans="2:14" s="19" customFormat="1" outlineLevel="1">
      <c r="B73" s="24" t="s">
        <v>335</v>
      </c>
      <c r="C73" s="24"/>
      <c r="D73" s="236">
        <f t="shared" ref="D73:I73" si="50">D72/D13</f>
        <v>6.4875140968992384E-2</v>
      </c>
      <c r="E73" s="236">
        <f t="shared" si="50"/>
        <v>4.7306407518713081E-2</v>
      </c>
      <c r="F73" s="236">
        <f t="shared" si="50"/>
        <v>2.7497328430191769E-2</v>
      </c>
      <c r="G73" s="236">
        <f t="shared" si="50"/>
        <v>2.78081338900475E-2</v>
      </c>
      <c r="H73" s="236">
        <f t="shared" si="50"/>
        <v>2.9911055172524747E-2</v>
      </c>
      <c r="I73" s="236">
        <f t="shared" si="50"/>
        <v>4.5164950407182512E-2</v>
      </c>
      <c r="J73" s="234">
        <v>0.1</v>
      </c>
      <c r="K73" s="234">
        <v>0.1</v>
      </c>
      <c r="L73" s="234">
        <v>0.1</v>
      </c>
      <c r="M73" s="234">
        <v>0.1</v>
      </c>
      <c r="N73" s="234">
        <v>0.1</v>
      </c>
    </row>
    <row r="74" spans="2:14" s="19" customFormat="1" outlineLevel="1">
      <c r="H74" s="153"/>
      <c r="I74" s="52"/>
      <c r="J74" s="52"/>
      <c r="K74" s="52"/>
      <c r="L74" s="52"/>
      <c r="M74" s="52"/>
      <c r="N74" s="52"/>
    </row>
    <row r="75" spans="2:14" outlineLevel="1">
      <c r="B75" s="9" t="str">
        <f>'Control Sheet'!B115</f>
        <v>Intangible Non Current Asset Growth %</v>
      </c>
      <c r="C75" s="10"/>
      <c r="D75" s="10"/>
      <c r="E75" s="10"/>
      <c r="F75" s="10"/>
      <c r="G75" s="10"/>
      <c r="H75" s="10"/>
      <c r="I75" s="10"/>
      <c r="J75" s="10"/>
      <c r="K75" s="10"/>
      <c r="L75" s="10"/>
      <c r="M75" s="10"/>
      <c r="N75" s="10"/>
    </row>
    <row r="76" spans="2:14" outlineLevel="1">
      <c r="B76" t="s">
        <v>17</v>
      </c>
      <c r="J76" s="191">
        <f>'Balance Sheet'!O12</f>
        <v>160</v>
      </c>
      <c r="K76" s="191">
        <f>J79</f>
        <v>159.99893042508285</v>
      </c>
      <c r="L76" s="191">
        <f t="shared" ref="L76:N76" si="51">K79</f>
        <v>159.99786085016569</v>
      </c>
      <c r="M76" s="191">
        <f t="shared" si="51"/>
        <v>159.99679127524854</v>
      </c>
      <c r="N76" s="191">
        <f t="shared" si="51"/>
        <v>159.99572170033139</v>
      </c>
    </row>
    <row r="77" spans="2:14" ht="15.6" outlineLevel="1">
      <c r="B77" s="180" t="s">
        <v>375</v>
      </c>
      <c r="C77" s="19"/>
      <c r="D77" s="19"/>
      <c r="E77" s="19"/>
      <c r="F77" s="19"/>
      <c r="G77" s="19"/>
      <c r="H77" s="19"/>
      <c r="I77" s="19"/>
      <c r="J77" s="158">
        <f>I79*(J82)</f>
        <v>0</v>
      </c>
      <c r="K77" s="158">
        <f t="shared" ref="K77:N77" si="52">J76*(K82)</f>
        <v>0</v>
      </c>
      <c r="L77" s="158">
        <f t="shared" si="52"/>
        <v>0</v>
      </c>
      <c r="M77" s="158">
        <f t="shared" si="52"/>
        <v>0</v>
      </c>
      <c r="N77" s="158">
        <f t="shared" si="52"/>
        <v>0</v>
      </c>
    </row>
    <row r="78" spans="2:14" ht="15.6" outlineLevel="1">
      <c r="B78" s="181" t="s">
        <v>19</v>
      </c>
      <c r="C78" s="182"/>
      <c r="D78" s="182"/>
      <c r="E78" s="182"/>
      <c r="F78" s="182"/>
      <c r="G78" s="182"/>
      <c r="H78" s="182"/>
      <c r="I78" s="183">
        <f>'Income Statement'!O48/SUM('Balance Sheet'!O9,'Balance Sheet'!O10,'Balance Sheet'!O12)/'Balance Sheet'!O12</f>
        <v>1.0695749171510407E-3</v>
      </c>
      <c r="J78" s="183">
        <f>I78+J77/$C$90</f>
        <v>1.0695749171510407E-3</v>
      </c>
      <c r="K78" s="183">
        <f>J78+K77/$C$90</f>
        <v>1.0695749171510407E-3</v>
      </c>
      <c r="L78" s="183">
        <f>K78+L77/$C$90</f>
        <v>1.0695749171510407E-3</v>
      </c>
      <c r="M78" s="183">
        <f>L78+M77/$C$90</f>
        <v>1.0695749171510407E-3</v>
      </c>
      <c r="N78" s="183">
        <f>M78+N77/$C$90</f>
        <v>1.0695749171510407E-3</v>
      </c>
    </row>
    <row r="79" spans="2:14" ht="15.6" outlineLevel="1">
      <c r="B79" s="73" t="s">
        <v>691</v>
      </c>
      <c r="C79" s="18"/>
      <c r="D79" s="138">
        <f>'Balance Sheet'!J12</f>
        <v>334.96</v>
      </c>
      <c r="E79" s="138">
        <f>'Balance Sheet'!K12</f>
        <v>215.62</v>
      </c>
      <c r="F79" s="138">
        <f>'Balance Sheet'!L12</f>
        <v>107.27</v>
      </c>
      <c r="G79" s="138">
        <f>'Balance Sheet'!M12</f>
        <v>483</v>
      </c>
      <c r="H79" s="138">
        <f>'Balance Sheet'!N12</f>
        <v>299</v>
      </c>
      <c r="I79" s="138">
        <f>'Balance Sheet'!O12</f>
        <v>160</v>
      </c>
      <c r="J79" s="163">
        <f>J76+J77-J78</f>
        <v>159.99893042508285</v>
      </c>
      <c r="K79" s="163">
        <f t="shared" ref="K79:N79" si="53">K76+K77-K78</f>
        <v>159.99786085016569</v>
      </c>
      <c r="L79" s="163">
        <f t="shared" si="53"/>
        <v>159.99679127524854</v>
      </c>
      <c r="M79" s="163">
        <f t="shared" si="53"/>
        <v>159.99572170033139</v>
      </c>
      <c r="N79" s="163">
        <f t="shared" si="53"/>
        <v>159.99465212541423</v>
      </c>
    </row>
    <row r="80" spans="2:14" outlineLevel="1">
      <c r="D80" s="143"/>
      <c r="E80" s="143"/>
      <c r="F80" s="143"/>
      <c r="G80" s="143"/>
      <c r="H80" s="143"/>
      <c r="I80" s="143"/>
      <c r="J80" s="35"/>
      <c r="K80" s="184">
        <f>K79/J79-1</f>
        <v>-6.6848879196612643E-6</v>
      </c>
      <c r="L80" s="184">
        <f t="shared" ref="L80:N80" si="54">L79/K79-1</f>
        <v>-6.6849326076923177E-6</v>
      </c>
      <c r="M80" s="184">
        <f t="shared" si="54"/>
        <v>-6.6849772962784826E-6</v>
      </c>
      <c r="N80" s="184">
        <f t="shared" si="54"/>
        <v>-6.6850219855307813E-6</v>
      </c>
    </row>
    <row r="81" spans="2:14" outlineLevel="1">
      <c r="D81" s="143"/>
      <c r="E81" s="143"/>
      <c r="F81" s="143"/>
      <c r="G81" s="143"/>
      <c r="H81" s="143"/>
      <c r="I81" s="143"/>
      <c r="J81" s="35"/>
      <c r="K81" s="35"/>
      <c r="L81" s="35"/>
      <c r="M81" s="35"/>
      <c r="N81" s="35"/>
    </row>
    <row r="82" spans="2:14" outlineLevel="1">
      <c r="B82" s="24" t="s">
        <v>328</v>
      </c>
      <c r="C82" s="24"/>
      <c r="D82" s="24"/>
      <c r="E82" s="154">
        <f>E79/D79-1</f>
        <v>-0.3562813470265106</v>
      </c>
      <c r="F82" s="154">
        <f>F79/E79-1</f>
        <v>-0.50250440589926726</v>
      </c>
      <c r="G82" s="154">
        <f>G79/F79-1</f>
        <v>3.5026568472079802</v>
      </c>
      <c r="H82" s="154">
        <f>H79/G79-1</f>
        <v>-0.38095238095238093</v>
      </c>
      <c r="I82" s="154">
        <f>J76/H79-1</f>
        <v>-0.46488294314381273</v>
      </c>
      <c r="J82" s="234">
        <f>'Control Sheet'!L$119</f>
        <v>0</v>
      </c>
      <c r="K82" s="234">
        <f>'Control Sheet'!M$119</f>
        <v>0</v>
      </c>
      <c r="L82" s="234">
        <f>'Control Sheet'!N$119</f>
        <v>0</v>
      </c>
      <c r="M82" s="234">
        <f>'Control Sheet'!O$119</f>
        <v>0</v>
      </c>
      <c r="N82" s="234">
        <f>'Control Sheet'!P$119</f>
        <v>0</v>
      </c>
    </row>
    <row r="83" spans="2:14" outlineLevel="1"/>
    <row r="84" spans="2:14" outlineLevel="1">
      <c r="B84" s="9" t="str">
        <f>'Control Sheet'!B121</f>
        <v>Intangible Non Current Asset (Under Development) Growth %</v>
      </c>
      <c r="C84" s="10"/>
      <c r="D84" s="10"/>
      <c r="E84" s="10"/>
      <c r="F84" s="10"/>
      <c r="G84" s="10"/>
      <c r="H84" s="10"/>
      <c r="I84" s="10"/>
      <c r="J84" s="10"/>
      <c r="K84" s="10"/>
      <c r="L84" s="10"/>
      <c r="M84" s="10"/>
      <c r="N84" s="10"/>
    </row>
    <row r="85" spans="2:14" outlineLevel="1">
      <c r="B85" t="s">
        <v>354</v>
      </c>
      <c r="D85" s="246">
        <f>'Balance Sheet'!J13</f>
        <v>54.19</v>
      </c>
      <c r="E85" s="246">
        <f>'Balance Sheet'!K13</f>
        <v>60.39</v>
      </c>
      <c r="F85" s="246">
        <f>'Balance Sheet'!L13</f>
        <v>208.17</v>
      </c>
      <c r="G85" s="246">
        <f>'Balance Sheet'!M13</f>
        <v>13</v>
      </c>
      <c r="H85" s="246">
        <f>'Balance Sheet'!N13</f>
        <v>23</v>
      </c>
      <c r="I85" s="246">
        <f>'Balance Sheet'!O13</f>
        <v>206</v>
      </c>
      <c r="J85" s="191">
        <f t="shared" ref="J85" si="55">I85*(1+J86)</f>
        <v>206</v>
      </c>
      <c r="K85" s="191">
        <f t="shared" ref="K85" si="56">J85*(1+K86)</f>
        <v>206</v>
      </c>
      <c r="L85" s="191">
        <f t="shared" ref="L85" si="57">K85*(1+L86)</f>
        <v>206</v>
      </c>
      <c r="M85" s="191">
        <f t="shared" ref="M85:N85" si="58">L85*(1+M86)</f>
        <v>206</v>
      </c>
      <c r="N85" s="191">
        <f t="shared" si="58"/>
        <v>206</v>
      </c>
    </row>
    <row r="86" spans="2:14" outlineLevel="1">
      <c r="B86" s="24" t="s">
        <v>328</v>
      </c>
      <c r="C86" s="24"/>
      <c r="D86" s="24"/>
      <c r="E86" s="154">
        <f t="shared" ref="E86" si="59">E85/D85-1</f>
        <v>0.11441225318324411</v>
      </c>
      <c r="F86" s="154">
        <f t="shared" ref="F86" si="60">F85/E85-1</f>
        <v>2.4470938897168404</v>
      </c>
      <c r="G86" s="154">
        <f t="shared" ref="G86" si="61">G85/F85-1</f>
        <v>-0.93755104001537204</v>
      </c>
      <c r="H86" s="154">
        <f t="shared" ref="H86" si="62">H85/G85-1</f>
        <v>0.76923076923076916</v>
      </c>
      <c r="I86" s="154">
        <f>I85/H85-1</f>
        <v>7.9565217391304355</v>
      </c>
      <c r="J86" s="234">
        <f>'Control Sheet'!L$125</f>
        <v>0</v>
      </c>
      <c r="K86" s="234">
        <f>'Control Sheet'!M$125</f>
        <v>0</v>
      </c>
      <c r="L86" s="234">
        <f>'Control Sheet'!N$125</f>
        <v>0</v>
      </c>
      <c r="M86" s="234">
        <f>'Control Sheet'!O$125</f>
        <v>0</v>
      </c>
      <c r="N86" s="234">
        <f>'Control Sheet'!P$125</f>
        <v>0</v>
      </c>
    </row>
    <row r="87" spans="2:14" outlineLevel="1"/>
    <row r="88" spans="2:14" ht="15.6" outlineLevel="1">
      <c r="B88" s="7" t="s">
        <v>18</v>
      </c>
      <c r="C88" s="8"/>
      <c r="D88" s="8"/>
      <c r="E88" s="8"/>
      <c r="F88" s="8"/>
      <c r="G88" s="8"/>
      <c r="H88" s="8"/>
      <c r="I88" s="8"/>
      <c r="J88" s="8"/>
      <c r="K88" s="8"/>
      <c r="L88" s="8"/>
      <c r="M88" s="8"/>
      <c r="N88" s="8"/>
    </row>
    <row r="89" spans="2:14" outlineLevel="1"/>
    <row r="90" spans="2:14" outlineLevel="1">
      <c r="B90" s="40"/>
      <c r="C90" s="189">
        <v>15</v>
      </c>
      <c r="D90" s="160"/>
      <c r="E90" s="161"/>
      <c r="F90" s="161"/>
      <c r="G90" s="161"/>
      <c r="H90" s="161"/>
      <c r="I90" s="161"/>
      <c r="J90" s="161"/>
      <c r="K90" s="161"/>
      <c r="L90" s="161"/>
      <c r="M90" s="161"/>
      <c r="N90" s="161"/>
    </row>
    <row r="91" spans="2:14" outlineLevel="1">
      <c r="B91" s="40" t="s">
        <v>20</v>
      </c>
      <c r="C91" s="159"/>
      <c r="D91" s="160"/>
      <c r="E91" s="161"/>
      <c r="F91" s="161"/>
      <c r="G91" s="161"/>
      <c r="H91" s="161"/>
      <c r="I91" s="161"/>
      <c r="J91" s="247">
        <f>J51+J45+J78</f>
        <v>118578.13661836252</v>
      </c>
      <c r="K91" s="247">
        <f>K51+K45+K78</f>
        <v>129756.2301925494</v>
      </c>
      <c r="L91" s="247">
        <f>L51+L45+L78</f>
        <v>141566.24334156673</v>
      </c>
      <c r="M91" s="247">
        <f>M51+M45+M78</f>
        <v>153969.32240663856</v>
      </c>
      <c r="N91" s="247">
        <f>N51+N45+N78</f>
        <v>166907.0158823606</v>
      </c>
    </row>
    <row r="92" spans="2:14" outlineLevel="1">
      <c r="B92" s="185" t="s">
        <v>376</v>
      </c>
      <c r="C92" s="186"/>
      <c r="D92" s="187"/>
      <c r="E92" s="188"/>
      <c r="F92" s="188"/>
      <c r="G92" s="188"/>
      <c r="H92" s="188"/>
      <c r="I92" s="188"/>
      <c r="J92" s="248">
        <f>J46+J52+J79</f>
        <v>670845.61338163749</v>
      </c>
      <c r="K92" s="248">
        <f>K46+K52+K79</f>
        <v>708760.78680189128</v>
      </c>
      <c r="L92" s="248">
        <f>L46+L52+L79</f>
        <v>744344.74069558468</v>
      </c>
      <c r="M92" s="248">
        <f>M46+M52+M79</f>
        <v>776421.60426502349</v>
      </c>
      <c r="N92" s="248">
        <f>N46+N52+N79</f>
        <v>803579.99051849369</v>
      </c>
    </row>
    <row r="93" spans="2:14" outlineLevel="1">
      <c r="B93" s="40"/>
      <c r="C93" s="159"/>
      <c r="D93" s="160"/>
      <c r="E93" s="161"/>
      <c r="F93" s="161"/>
      <c r="G93" s="161"/>
      <c r="H93" s="161"/>
      <c r="I93" s="161"/>
      <c r="J93" s="161"/>
      <c r="K93" s="161"/>
      <c r="L93" s="161"/>
      <c r="M93" s="161"/>
      <c r="N93" s="161"/>
    </row>
    <row r="94" spans="2:14" outlineLevel="1">
      <c r="B94" s="164" t="s">
        <v>377</v>
      </c>
      <c r="C94" s="164"/>
      <c r="D94" s="165"/>
      <c r="E94" s="165"/>
      <c r="F94" s="165"/>
      <c r="G94" s="165"/>
      <c r="H94" s="165"/>
      <c r="I94" s="165"/>
      <c r="J94" s="165">
        <f>J91/J13</f>
        <v>0.11673564769447216</v>
      </c>
      <c r="K94" s="165">
        <f>K91/K13</f>
        <v>0.10681973137723019</v>
      </c>
      <c r="L94" s="165">
        <f>L91/L13</f>
        <v>9.7435068309968231E-2</v>
      </c>
      <c r="M94" s="165">
        <f>M91/M13</f>
        <v>8.8580115965762249E-2</v>
      </c>
      <c r="N94" s="165">
        <f>N91/N13</f>
        <v>8.0249624763852834E-2</v>
      </c>
    </row>
    <row r="95" spans="2:14" outlineLevel="1">
      <c r="B95" s="164" t="s">
        <v>378</v>
      </c>
      <c r="C95" s="164"/>
      <c r="D95" s="165"/>
      <c r="E95" s="165"/>
      <c r="F95" s="165"/>
      <c r="G95" s="165"/>
      <c r="H95" s="165"/>
      <c r="I95" s="165"/>
      <c r="J95" s="165">
        <f>J91/J92</f>
        <v>0.17675920398529099</v>
      </c>
      <c r="K95" s="165">
        <f t="shared" ref="K95:N95" si="63">K91/K92</f>
        <v>0.18307478716203032</v>
      </c>
      <c r="L95" s="165">
        <f t="shared" si="63"/>
        <v>0.19018908256041969</v>
      </c>
      <c r="M95" s="165">
        <f t="shared" si="63"/>
        <v>0.19830633454924151</v>
      </c>
      <c r="N95" s="165">
        <f t="shared" si="63"/>
        <v>0.20770429559186415</v>
      </c>
    </row>
    <row r="96" spans="2:14" outlineLevel="1"/>
    <row r="97" spans="2:14" outlineLevel="1">
      <c r="B97" s="41" t="s">
        <v>367</v>
      </c>
    </row>
    <row r="98" spans="2:14" outlineLevel="1"/>
    <row r="99" spans="2:14" outlineLevel="1">
      <c r="B99" s="42">
        <v>2026</v>
      </c>
      <c r="I99" s="161">
        <f>I45+I51+I78</f>
        <v>108054.61995169586</v>
      </c>
      <c r="J99" s="161">
        <f>I99</f>
        <v>108054.61995169586</v>
      </c>
      <c r="K99" s="161">
        <f t="shared" ref="K99:N101" si="64">J99</f>
        <v>108054.61995169586</v>
      </c>
      <c r="L99" s="161">
        <f t="shared" si="64"/>
        <v>108054.61995169586</v>
      </c>
      <c r="M99" s="161">
        <f t="shared" si="64"/>
        <v>108054.61995169586</v>
      </c>
      <c r="N99" s="161">
        <f t="shared" si="64"/>
        <v>108054.61995169586</v>
      </c>
    </row>
    <row r="100" spans="2:14" outlineLevel="1">
      <c r="B100" s="42">
        <f>B99+1</f>
        <v>2027</v>
      </c>
      <c r="I100" s="24"/>
      <c r="J100" s="247">
        <f>J91-J99</f>
        <v>10523.516666666663</v>
      </c>
      <c r="K100" s="247">
        <f>J100</f>
        <v>10523.516666666663</v>
      </c>
      <c r="L100" s="247">
        <f t="shared" si="64"/>
        <v>10523.516666666663</v>
      </c>
      <c r="M100" s="247">
        <f t="shared" si="64"/>
        <v>10523.516666666663</v>
      </c>
      <c r="N100" s="247">
        <f t="shared" si="64"/>
        <v>10523.516666666663</v>
      </c>
    </row>
    <row r="101" spans="2:14" outlineLevel="1">
      <c r="B101" s="42">
        <f t="shared" ref="B101:B102" si="65">B100+1</f>
        <v>2028</v>
      </c>
      <c r="I101" s="24"/>
      <c r="J101" s="24"/>
      <c r="K101" s="247">
        <f>K91-K99-K100</f>
        <v>11178.093574186874</v>
      </c>
      <c r="L101" s="247">
        <f>K101</f>
        <v>11178.093574186874</v>
      </c>
      <c r="M101" s="247">
        <f t="shared" si="64"/>
        <v>11178.093574186874</v>
      </c>
      <c r="N101" s="247">
        <f t="shared" si="64"/>
        <v>11178.093574186874</v>
      </c>
    </row>
    <row r="102" spans="2:14" outlineLevel="1">
      <c r="B102" s="42">
        <f t="shared" si="65"/>
        <v>2029</v>
      </c>
      <c r="I102" s="24"/>
      <c r="J102" s="24"/>
      <c r="K102" s="24"/>
      <c r="L102" s="247">
        <f>L91-L99-L100-L101</f>
        <v>11810.013149017337</v>
      </c>
      <c r="M102" s="247">
        <f>L102</f>
        <v>11810.013149017337</v>
      </c>
      <c r="N102" s="247">
        <f>M102</f>
        <v>11810.013149017337</v>
      </c>
    </row>
    <row r="103" spans="2:14">
      <c r="B103" s="42">
        <f>B102+1</f>
        <v>2030</v>
      </c>
      <c r="I103" s="24"/>
      <c r="J103" s="24"/>
      <c r="K103" s="24"/>
      <c r="L103" s="24"/>
      <c r="M103" s="247">
        <f>M91-M99-M100-M101-M102</f>
        <v>12403.079065071826</v>
      </c>
      <c r="N103" s="247">
        <f>M103</f>
        <v>12403.079065071826</v>
      </c>
    </row>
    <row r="104" spans="2:14">
      <c r="B104" s="42">
        <f>B103+1</f>
        <v>2031</v>
      </c>
      <c r="I104" s="24"/>
      <c r="J104" s="24"/>
      <c r="K104" s="24"/>
      <c r="L104" s="24"/>
      <c r="M104" s="249"/>
      <c r="N104" s="247">
        <f>N91-N99-N100-N102-N103-N101</f>
        <v>12937.693475722044</v>
      </c>
    </row>
    <row r="105" spans="2:14" outlineLevel="1">
      <c r="B105" s="30" t="s">
        <v>20</v>
      </c>
      <c r="C105" s="30"/>
      <c r="D105" s="30"/>
      <c r="E105" s="30"/>
      <c r="F105" s="30"/>
      <c r="G105" s="30"/>
      <c r="H105" s="30"/>
      <c r="I105" s="43">
        <f>SUM(I99:I103)</f>
        <v>108054.61995169586</v>
      </c>
      <c r="J105" s="43">
        <f>SUM(J99:J103)</f>
        <v>118578.13661836252</v>
      </c>
      <c r="K105" s="43">
        <f>SUM(K99:K103)</f>
        <v>129756.2301925494</v>
      </c>
      <c r="L105" s="43">
        <f>SUM(L99:L103)</f>
        <v>141566.24334156673</v>
      </c>
      <c r="M105" s="43">
        <f>SUM(M99:M103)</f>
        <v>153969.32240663856</v>
      </c>
      <c r="N105" s="43">
        <f>SUM(N99:N104)</f>
        <v>166907.0158823606</v>
      </c>
    </row>
    <row r="106" spans="2:14" outlineLevel="1">
      <c r="B106" s="16"/>
      <c r="C106" s="16"/>
      <c r="D106" s="16"/>
      <c r="E106" s="16"/>
      <c r="F106" s="16"/>
      <c r="G106" s="16"/>
      <c r="H106" s="162"/>
      <c r="I106" s="162"/>
      <c r="J106" s="162"/>
      <c r="K106" s="162"/>
      <c r="L106" s="162"/>
      <c r="M106" s="162"/>
    </row>
    <row r="107" spans="2:14" outlineLevel="1"/>
    <row r="108" spans="2:14" ht="15.6" outlineLevel="1">
      <c r="B108" s="7" t="s">
        <v>21</v>
      </c>
      <c r="C108" s="8"/>
      <c r="D108" s="8"/>
      <c r="E108" s="8"/>
      <c r="F108" s="8"/>
      <c r="G108" s="8"/>
      <c r="H108" s="8"/>
      <c r="I108" s="8"/>
      <c r="J108" s="8"/>
      <c r="K108" s="8"/>
      <c r="L108" s="8"/>
      <c r="M108" s="8"/>
      <c r="N108" s="8"/>
    </row>
    <row r="109" spans="2:14" outlineLevel="1"/>
    <row r="110" spans="2:14" outlineLevel="1">
      <c r="B110" t="s">
        <v>22</v>
      </c>
      <c r="D110" s="111">
        <f t="shared" ref="D110:N110" si="66">D13</f>
        <v>146406.31</v>
      </c>
      <c r="E110" s="111">
        <f t="shared" si="66"/>
        <v>259309.27</v>
      </c>
      <c r="F110" s="111">
        <f t="shared" si="66"/>
        <v>544464.53</v>
      </c>
      <c r="G110" s="111">
        <f t="shared" si="66"/>
        <v>689043</v>
      </c>
      <c r="H110" s="111">
        <f t="shared" si="66"/>
        <v>808029</v>
      </c>
      <c r="I110" s="111">
        <f t="shared" si="66"/>
        <v>849619</v>
      </c>
      <c r="J110" s="250">
        <f t="shared" si="66"/>
        <v>1015783.43</v>
      </c>
      <c r="K110" s="250">
        <f t="shared" si="66"/>
        <v>1214721.5549000001</v>
      </c>
      <c r="L110" s="250">
        <f t="shared" si="66"/>
        <v>1452929.0716069997</v>
      </c>
      <c r="M110" s="250">
        <f t="shared" si="66"/>
        <v>1738192.8294850097</v>
      </c>
      <c r="N110" s="250">
        <f t="shared" si="66"/>
        <v>2079847.9291773739</v>
      </c>
    </row>
    <row r="111" spans="2:14" outlineLevel="1">
      <c r="B111" s="44" t="s">
        <v>23</v>
      </c>
      <c r="D111" s="111">
        <f t="shared" ref="D111:N111" si="67">D26</f>
        <v>94483.340000000011</v>
      </c>
      <c r="E111" s="111">
        <f t="shared" si="67"/>
        <v>194408.44</v>
      </c>
      <c r="F111" s="111">
        <f t="shared" si="67"/>
        <v>389093.9</v>
      </c>
      <c r="G111" s="111">
        <f t="shared" si="67"/>
        <v>405950</v>
      </c>
      <c r="H111" s="111">
        <f t="shared" si="67"/>
        <v>481803</v>
      </c>
      <c r="I111" s="111">
        <f t="shared" si="67"/>
        <v>564048</v>
      </c>
      <c r="J111" s="250">
        <f t="shared" si="67"/>
        <v>670417.06380000012</v>
      </c>
      <c r="K111" s="250">
        <f t="shared" si="67"/>
        <v>801716.22623400006</v>
      </c>
      <c r="L111" s="250">
        <f t="shared" si="67"/>
        <v>958933.18726061983</v>
      </c>
      <c r="M111" s="250">
        <f t="shared" si="67"/>
        <v>1147207.2674601064</v>
      </c>
      <c r="N111" s="250">
        <f t="shared" si="67"/>
        <v>1372699.6332570668</v>
      </c>
    </row>
    <row r="112" spans="2:14" outlineLevel="1">
      <c r="B112" s="44" t="s">
        <v>24</v>
      </c>
      <c r="D112" s="111">
        <f t="shared" ref="D112:N112" si="68">D36</f>
        <v>52059.02</v>
      </c>
      <c r="E112" s="111">
        <f t="shared" si="68"/>
        <v>59427.5</v>
      </c>
      <c r="F112" s="111">
        <f t="shared" si="68"/>
        <v>90417.13</v>
      </c>
      <c r="G112" s="111">
        <f t="shared" si="68"/>
        <v>119918</v>
      </c>
      <c r="H112" s="111">
        <f t="shared" si="68"/>
        <v>145643</v>
      </c>
      <c r="I112" s="111">
        <f t="shared" si="68"/>
        <v>165737</v>
      </c>
      <c r="J112" s="250">
        <f t="shared" si="68"/>
        <v>192998.8517</v>
      </c>
      <c r="K112" s="250">
        <f t="shared" si="68"/>
        <v>230797.09543100002</v>
      </c>
      <c r="L112" s="250">
        <f t="shared" si="68"/>
        <v>319644.39575353992</v>
      </c>
      <c r="M112" s="250">
        <f t="shared" si="68"/>
        <v>417166.27907640231</v>
      </c>
      <c r="N112" s="250">
        <f t="shared" si="68"/>
        <v>499163.50300256972</v>
      </c>
    </row>
    <row r="113" spans="2:14" outlineLevel="1">
      <c r="B113" s="44" t="s">
        <v>25</v>
      </c>
      <c r="D113" s="133">
        <f>'Income Statement'!J48</f>
        <v>46994.46</v>
      </c>
      <c r="E113" s="133">
        <f>'Income Statement'!K48</f>
        <v>50686</v>
      </c>
      <c r="F113" s="133">
        <f>'Income Statement'!L48</f>
        <v>51029.69</v>
      </c>
      <c r="G113" s="133">
        <f>'Income Statement'!M48</f>
        <v>64257</v>
      </c>
      <c r="H113" s="133">
        <f>'Income Statement'!N48</f>
        <v>86802</v>
      </c>
      <c r="I113" s="133">
        <f>'Income Statement'!O48</f>
        <v>108082</v>
      </c>
      <c r="J113" s="250">
        <f>J91</f>
        <v>118578.13661836252</v>
      </c>
      <c r="K113" s="250">
        <f>K91</f>
        <v>129756.2301925494</v>
      </c>
      <c r="L113" s="250">
        <f>L91</f>
        <v>141566.24334156673</v>
      </c>
      <c r="M113" s="250">
        <f>M91</f>
        <v>153969.32240663856</v>
      </c>
      <c r="N113" s="250">
        <f>N91</f>
        <v>166907.0158823606</v>
      </c>
    </row>
    <row r="114" spans="2:14" outlineLevel="1">
      <c r="B114" s="40" t="s">
        <v>26</v>
      </c>
      <c r="C114" s="19"/>
      <c r="D114" s="158">
        <f>'Income Statement'!J53*-1-'Income Statement'!J51</f>
        <v>11050.190000000002</v>
      </c>
      <c r="E114" s="158">
        <f>'Income Statement'!K53*-1-'Income Statement'!K51</f>
        <v>16324.170000000002</v>
      </c>
      <c r="F114" s="158">
        <f>'Income Statement'!L53*-1-'Income Statement'!L51</f>
        <v>16967.660000000003</v>
      </c>
      <c r="G114" s="158">
        <f>'Income Statement'!M53*-1-'Income Statement'!M51</f>
        <v>18424.54</v>
      </c>
      <c r="H114" s="158">
        <f>'Income Statement'!N53*-1-'Income Statement'!N51</f>
        <v>17847</v>
      </c>
      <c r="I114" s="158">
        <f>'Income Statement'!O53*-1-'Income Statement'!O51-'Income Statement'!O52</f>
        <v>31357</v>
      </c>
      <c r="J114" s="250">
        <f>J234-J240</f>
        <v>21202.773147999993</v>
      </c>
      <c r="K114" s="250">
        <f>K234-K240</f>
        <v>7263.8506704399988</v>
      </c>
      <c r="L114" s="250">
        <f>L234-L240</f>
        <v>-10175.786220690978</v>
      </c>
      <c r="M114" s="250">
        <f>M234-M240</f>
        <v>-23956.65556818161</v>
      </c>
      <c r="N114" s="250">
        <f>N234-N240</f>
        <v>-21178.021468118241</v>
      </c>
    </row>
    <row r="115" spans="2:14" outlineLevel="1">
      <c r="B115" s="30" t="s">
        <v>27</v>
      </c>
      <c r="C115" s="6"/>
      <c r="D115" s="115">
        <f>D110-D111-D112-D113-D114</f>
        <v>-58180.700000000012</v>
      </c>
      <c r="E115" s="115">
        <f t="shared" ref="E115:H115" si="69">E110-E111-E112-E113-E114</f>
        <v>-61536.840000000011</v>
      </c>
      <c r="F115" s="115">
        <f t="shared" si="69"/>
        <v>-3043.8500000000058</v>
      </c>
      <c r="G115" s="115">
        <f t="shared" si="69"/>
        <v>80493.459999999992</v>
      </c>
      <c r="H115" s="115">
        <f t="shared" si="69"/>
        <v>75934</v>
      </c>
      <c r="I115" s="115">
        <f>I110-I111-I112-I113-I114</f>
        <v>-19605</v>
      </c>
      <c r="J115" s="251">
        <f t="shared" ref="J115:M115" si="70">J110-J111-J112-J113-J114</f>
        <v>12586.604733637418</v>
      </c>
      <c r="K115" s="251">
        <f t="shared" si="70"/>
        <v>45188.152372010627</v>
      </c>
      <c r="L115" s="251">
        <f t="shared" si="70"/>
        <v>42961.031471964219</v>
      </c>
      <c r="M115" s="251">
        <f t="shared" si="70"/>
        <v>43806.616110043993</v>
      </c>
      <c r="N115" s="251">
        <f t="shared" ref="N115" si="71">N110-N111-N112-N113-N114</f>
        <v>62255.798503494967</v>
      </c>
    </row>
    <row r="116" spans="2:14" outlineLevel="1">
      <c r="B116" s="44" t="s">
        <v>28</v>
      </c>
      <c r="D116" s="111">
        <f>'Income Statement'!J59</f>
        <v>-116.43</v>
      </c>
      <c r="E116" s="111">
        <f>'Income Statement'!K59</f>
        <v>81.61</v>
      </c>
      <c r="F116" s="111">
        <f>'Income Statement'!L59</f>
        <v>14.04</v>
      </c>
      <c r="G116" s="111">
        <f>'Income Statement'!M59</f>
        <v>-1232</v>
      </c>
      <c r="H116" s="111">
        <f>'Income Statement'!N59</f>
        <v>3350</v>
      </c>
      <c r="I116" s="111">
        <f>'Income Statement'!O59</f>
        <v>4331</v>
      </c>
      <c r="J116" s="252">
        <f>J115*J119*-1</f>
        <v>-3146.6511834093544</v>
      </c>
      <c r="K116" s="252">
        <f>K115*K119*-1</f>
        <v>-11297.038093002657</v>
      </c>
      <c r="L116" s="252">
        <f>L115*L119*-1</f>
        <v>-10740.257867991055</v>
      </c>
      <c r="M116" s="252">
        <f>M115*M119*-1</f>
        <v>-10951.654027510998</v>
      </c>
      <c r="N116" s="252">
        <f>N115*N119*-1</f>
        <v>-15563.949625873742</v>
      </c>
    </row>
    <row r="117" spans="2:14" outlineLevel="1">
      <c r="B117" s="30" t="s">
        <v>29</v>
      </c>
      <c r="C117" s="6"/>
      <c r="D117" s="115">
        <f>D115-D116</f>
        <v>-58064.270000000011</v>
      </c>
      <c r="E117" s="115">
        <f t="shared" ref="E117:I117" si="72">E115-E116</f>
        <v>-61618.450000000012</v>
      </c>
      <c r="F117" s="115">
        <f t="shared" si="72"/>
        <v>-3057.8900000000058</v>
      </c>
      <c r="G117" s="115">
        <f t="shared" si="72"/>
        <v>81725.459999999992</v>
      </c>
      <c r="H117" s="115">
        <f t="shared" si="72"/>
        <v>72584</v>
      </c>
      <c r="I117" s="115">
        <f t="shared" si="72"/>
        <v>-23936</v>
      </c>
      <c r="J117" s="251">
        <f>J115+J116</f>
        <v>9439.9535502280632</v>
      </c>
      <c r="K117" s="251">
        <f>K115+K116</f>
        <v>33891.114279007968</v>
      </c>
      <c r="L117" s="251">
        <f>L115+L116</f>
        <v>32220.773603973164</v>
      </c>
      <c r="M117" s="251">
        <f>M115+M116</f>
        <v>32854.962082532991</v>
      </c>
      <c r="N117" s="251">
        <f>N115+N116</f>
        <v>46691.848877621225</v>
      </c>
    </row>
    <row r="118" spans="2:14" outlineLevel="1"/>
    <row r="119" spans="2:14" outlineLevel="1">
      <c r="B119" s="24" t="s">
        <v>10</v>
      </c>
      <c r="C119" s="24"/>
      <c r="D119" s="24"/>
      <c r="E119" s="24"/>
      <c r="F119" s="24"/>
      <c r="G119" s="24"/>
      <c r="H119" s="24"/>
      <c r="I119" s="235">
        <v>0.25</v>
      </c>
      <c r="J119" s="234">
        <f>'Control Sheet'!L133</f>
        <v>0.25</v>
      </c>
      <c r="K119" s="234">
        <f>'Control Sheet'!M133</f>
        <v>0.25</v>
      </c>
      <c r="L119" s="234">
        <f>'Control Sheet'!N133</f>
        <v>0.25</v>
      </c>
      <c r="M119" s="234">
        <f>'Control Sheet'!O133</f>
        <v>0.25</v>
      </c>
      <c r="N119" s="234">
        <f>'Control Sheet'!P133</f>
        <v>0.25</v>
      </c>
    </row>
    <row r="120" spans="2:14" outlineLevel="1"/>
    <row r="121" spans="2:14" ht="15.6" outlineLevel="1">
      <c r="B121" s="7" t="s">
        <v>30</v>
      </c>
      <c r="C121" s="8"/>
      <c r="D121" s="8"/>
      <c r="E121" s="8"/>
      <c r="F121" s="8"/>
      <c r="G121" s="8"/>
      <c r="H121" s="8"/>
      <c r="I121" s="8"/>
      <c r="J121" s="8"/>
      <c r="K121" s="8"/>
      <c r="L121" s="8"/>
      <c r="M121" s="8"/>
      <c r="N121" s="8"/>
    </row>
    <row r="122" spans="2:14" outlineLevel="1">
      <c r="N122" s="37"/>
    </row>
    <row r="123" spans="2:14" outlineLevel="1">
      <c r="B123" t="s">
        <v>31</v>
      </c>
      <c r="D123" s="84">
        <f>'Balance Sheet'!I43</f>
        <v>54931.44</v>
      </c>
      <c r="E123" s="111">
        <f>D126</f>
        <v>-2740.5100000000089</v>
      </c>
      <c r="F123" s="111">
        <f t="shared" ref="F123:H123" si="73">E126</f>
        <v>-63733.17000000002</v>
      </c>
      <c r="G123" s="111">
        <f t="shared" si="73"/>
        <v>-65694.840000000026</v>
      </c>
      <c r="H123" s="111">
        <f t="shared" si="73"/>
        <v>16104.999999999965</v>
      </c>
      <c r="I123" s="111">
        <f>H126</f>
        <v>89817.999999999971</v>
      </c>
      <c r="J123" s="250">
        <f>I126</f>
        <v>65844.999999999971</v>
      </c>
      <c r="K123" s="250">
        <f t="shared" ref="K123:N123" si="74">J126</f>
        <v>75284.953550228034</v>
      </c>
      <c r="L123" s="250">
        <f t="shared" si="74"/>
        <v>109176.06782923601</v>
      </c>
      <c r="M123" s="250">
        <f t="shared" si="74"/>
        <v>141396.84143320916</v>
      </c>
      <c r="N123" s="250">
        <f t="shared" si="74"/>
        <v>174251.80351574215</v>
      </c>
    </row>
    <row r="124" spans="2:14" outlineLevel="1">
      <c r="B124" t="s">
        <v>32</v>
      </c>
      <c r="D124" s="111">
        <f>D117</f>
        <v>-58064.270000000011</v>
      </c>
      <c r="E124" s="111">
        <f t="shared" ref="E124:N124" si="75">E117</f>
        <v>-61618.450000000012</v>
      </c>
      <c r="F124" s="111">
        <f t="shared" si="75"/>
        <v>-3057.8900000000058</v>
      </c>
      <c r="G124" s="111">
        <f t="shared" si="75"/>
        <v>81725.459999999992</v>
      </c>
      <c r="H124" s="111">
        <f t="shared" si="75"/>
        <v>72584</v>
      </c>
      <c r="I124" s="111">
        <f t="shared" si="75"/>
        <v>-23936</v>
      </c>
      <c r="J124" s="250">
        <f t="shared" si="75"/>
        <v>9439.9535502280632</v>
      </c>
      <c r="K124" s="250">
        <f>K117</f>
        <v>33891.114279007968</v>
      </c>
      <c r="L124" s="250">
        <f t="shared" si="75"/>
        <v>32220.773603973164</v>
      </c>
      <c r="M124" s="250">
        <f t="shared" si="75"/>
        <v>32854.962082532991</v>
      </c>
      <c r="N124" s="250">
        <f t="shared" si="75"/>
        <v>46691.848877621225</v>
      </c>
    </row>
    <row r="125" spans="2:14" outlineLevel="1">
      <c r="B125" t="s">
        <v>33</v>
      </c>
      <c r="D125" s="111">
        <f>392.32*-1</f>
        <v>-392.32</v>
      </c>
      <c r="E125" s="111">
        <f>625.79*-1</f>
        <v>-625.79</v>
      </c>
      <c r="F125" s="111">
        <f>1096.22*-1</f>
        <v>-1096.22</v>
      </c>
      <c r="G125" s="111">
        <f>74.38*-1</f>
        <v>-74.38</v>
      </c>
      <c r="H125" s="111">
        <f>1129*-1</f>
        <v>-1129</v>
      </c>
      <c r="I125">
        <f>37</f>
        <v>37</v>
      </c>
      <c r="J125" s="250">
        <v>0</v>
      </c>
      <c r="K125" s="250">
        <v>0</v>
      </c>
      <c r="L125" s="250">
        <v>0</v>
      </c>
      <c r="M125" s="250">
        <v>0</v>
      </c>
      <c r="N125" s="250">
        <v>0</v>
      </c>
    </row>
    <row r="126" spans="2:14" outlineLevel="1">
      <c r="B126" s="30" t="s">
        <v>34</v>
      </c>
      <c r="C126" s="30"/>
      <c r="D126" s="135">
        <f>D123+D124-D125</f>
        <v>-2740.5100000000089</v>
      </c>
      <c r="E126" s="135">
        <f>E123+E124-E125</f>
        <v>-63733.17000000002</v>
      </c>
      <c r="F126" s="135">
        <f t="shared" ref="F126:I126" si="76">F123+F124-F125</f>
        <v>-65694.840000000026</v>
      </c>
      <c r="G126" s="135">
        <f t="shared" si="76"/>
        <v>16104.999999999965</v>
      </c>
      <c r="H126" s="135">
        <f t="shared" si="76"/>
        <v>89817.999999999971</v>
      </c>
      <c r="I126" s="135">
        <f t="shared" si="76"/>
        <v>65844.999999999971</v>
      </c>
      <c r="J126" s="135">
        <f>SUM(J123:J125)</f>
        <v>75284.953550228034</v>
      </c>
      <c r="K126" s="135">
        <f t="shared" ref="K126:N126" si="77">SUM(K123:K125)</f>
        <v>109176.06782923601</v>
      </c>
      <c r="L126" s="135">
        <f t="shared" si="77"/>
        <v>141396.84143320916</v>
      </c>
      <c r="M126" s="135">
        <f t="shared" si="77"/>
        <v>174251.80351574215</v>
      </c>
      <c r="N126" s="135">
        <f t="shared" si="77"/>
        <v>220943.65239336339</v>
      </c>
    </row>
    <row r="127" spans="2:14" outlineLevel="1">
      <c r="C127" s="111"/>
      <c r="E127" s="111"/>
      <c r="F127" s="111"/>
      <c r="G127" s="111"/>
      <c r="H127" s="111"/>
      <c r="I127" s="111">
        <f>'Balance Sheet'!O43</f>
        <v>65845</v>
      </c>
    </row>
    <row r="128" spans="2:14" outlineLevel="1">
      <c r="B128" s="24" t="s">
        <v>35</v>
      </c>
      <c r="C128" s="24"/>
      <c r="D128" s="24"/>
      <c r="E128" s="24"/>
      <c r="F128" s="155"/>
      <c r="G128" s="24"/>
      <c r="H128" s="24"/>
      <c r="I128" s="237">
        <v>0.3</v>
      </c>
      <c r="J128" s="238">
        <f>'Control Sheet'!L149</f>
        <v>0</v>
      </c>
      <c r="K128" s="238">
        <f>'Control Sheet'!M149</f>
        <v>0</v>
      </c>
      <c r="L128" s="238">
        <f>'Control Sheet'!N149</f>
        <v>0</v>
      </c>
      <c r="M128" s="238">
        <f>'Control Sheet'!O149</f>
        <v>0</v>
      </c>
      <c r="N128" s="238">
        <f>'Control Sheet'!P149</f>
        <v>0</v>
      </c>
    </row>
    <row r="129" spans="2:14" outlineLevel="1">
      <c r="E129" s="111"/>
      <c r="F129" s="111"/>
      <c r="G129" s="111"/>
      <c r="H129" s="111"/>
      <c r="I129" s="111"/>
    </row>
    <row r="130" spans="2:14" ht="15.6" outlineLevel="1">
      <c r="B130" s="7" t="s">
        <v>36</v>
      </c>
      <c r="C130" s="8"/>
      <c r="D130" s="8"/>
      <c r="E130" s="8"/>
      <c r="F130" s="8"/>
      <c r="G130" s="8"/>
      <c r="H130" s="8"/>
      <c r="I130" s="8"/>
      <c r="J130" s="8"/>
      <c r="K130" s="8"/>
      <c r="L130" s="8"/>
      <c r="M130" s="8"/>
      <c r="N130" s="8"/>
    </row>
    <row r="131" spans="2:14" outlineLevel="1">
      <c r="N131" s="45">
        <v>365</v>
      </c>
    </row>
    <row r="132" spans="2:14" outlineLevel="1">
      <c r="B132" s="41" t="s">
        <v>828</v>
      </c>
    </row>
    <row r="133" spans="2:14" outlineLevel="1">
      <c r="B133" t="s">
        <v>22</v>
      </c>
      <c r="D133" s="111">
        <f t="shared" ref="D133:N133" si="78">D13</f>
        <v>146406.31</v>
      </c>
      <c r="E133" s="111">
        <f t="shared" si="78"/>
        <v>259309.27</v>
      </c>
      <c r="F133" s="111">
        <f t="shared" si="78"/>
        <v>544464.53</v>
      </c>
      <c r="G133" s="111">
        <f t="shared" si="78"/>
        <v>689043</v>
      </c>
      <c r="H133" s="111">
        <f t="shared" si="78"/>
        <v>808029</v>
      </c>
      <c r="I133" s="111">
        <f t="shared" si="78"/>
        <v>849619</v>
      </c>
      <c r="J133" s="141">
        <f t="shared" si="78"/>
        <v>1015783.43</v>
      </c>
      <c r="K133" s="141">
        <f t="shared" si="78"/>
        <v>1214721.5549000001</v>
      </c>
      <c r="L133" s="141">
        <f t="shared" si="78"/>
        <v>1452929.0716069997</v>
      </c>
      <c r="M133" s="141">
        <f t="shared" si="78"/>
        <v>1738192.8294850097</v>
      </c>
      <c r="N133" s="141">
        <f t="shared" si="78"/>
        <v>2079847.9291773739</v>
      </c>
    </row>
    <row r="134" spans="2:14" outlineLevel="1">
      <c r="B134" t="s">
        <v>828</v>
      </c>
      <c r="D134" s="84">
        <f>'Balance Sheet'!J33</f>
        <v>2189.7800000000002</v>
      </c>
      <c r="E134" s="84">
        <f>'Balance Sheet'!K33</f>
        <v>3329.23</v>
      </c>
      <c r="F134" s="84">
        <f>'Balance Sheet'!L33</f>
        <v>5199.04</v>
      </c>
      <c r="G134" s="84">
        <f>'Balance Sheet'!M33</f>
        <v>6425</v>
      </c>
      <c r="H134" s="84">
        <f>'Balance Sheet'!N33</f>
        <v>7397</v>
      </c>
      <c r="I134" s="84">
        <f>'Balance Sheet'!O33</f>
        <v>5996</v>
      </c>
      <c r="J134" s="151">
        <f t="shared" ref="J134:N134" si="79">J133/$N$131*J135</f>
        <v>13914.841506849316</v>
      </c>
      <c r="K134" s="151">
        <f t="shared" si="79"/>
        <v>16640.0213</v>
      </c>
      <c r="L134" s="151">
        <f t="shared" si="79"/>
        <v>19903.137967219176</v>
      </c>
      <c r="M134" s="151">
        <f t="shared" si="79"/>
        <v>19048.688542301476</v>
      </c>
      <c r="N134" s="151">
        <f t="shared" si="79"/>
        <v>22792.854018382179</v>
      </c>
    </row>
    <row r="135" spans="2:14" outlineLevel="1">
      <c r="B135" s="32" t="s">
        <v>829</v>
      </c>
      <c r="C135" s="32"/>
      <c r="D135" s="46">
        <f>D134/D133*$N$131</f>
        <v>5.4592571863876644</v>
      </c>
      <c r="E135" s="46">
        <f>E134/E133*$N$131</f>
        <v>4.6861762790046031</v>
      </c>
      <c r="F135" s="46">
        <f>F134/F133*$N$131</f>
        <v>3.485350276169505</v>
      </c>
      <c r="G135" s="46">
        <f>G134/G133*$N$131</f>
        <v>3.4034523244558028</v>
      </c>
      <c r="H135" s="46">
        <f>H134/H133*$N$131</f>
        <v>3.341346659587713</v>
      </c>
      <c r="I135" s="46">
        <v>5</v>
      </c>
      <c r="J135" s="149">
        <v>5</v>
      </c>
      <c r="K135" s="149">
        <v>5</v>
      </c>
      <c r="L135" s="149">
        <v>5</v>
      </c>
      <c r="M135" s="149">
        <v>4</v>
      </c>
      <c r="N135" s="149">
        <v>4</v>
      </c>
    </row>
    <row r="136" spans="2:14" outlineLevel="1">
      <c r="B136" s="32" t="s">
        <v>830</v>
      </c>
      <c r="C136" s="32"/>
      <c r="D136" s="25">
        <f>D134/D133</f>
        <v>1.4956869003801819E-2</v>
      </c>
      <c r="E136" s="25">
        <f t="shared" ref="E136:M136" si="80">E134/E133</f>
        <v>1.2838839120560558E-2</v>
      </c>
      <c r="F136" s="25">
        <f t="shared" si="80"/>
        <v>9.5489048662178218E-3</v>
      </c>
      <c r="G136" s="25">
        <f t="shared" si="80"/>
        <v>9.3245269163172682E-3</v>
      </c>
      <c r="H136" s="25">
        <f t="shared" si="80"/>
        <v>9.1543744098293509E-3</v>
      </c>
      <c r="I136" s="25">
        <f t="shared" si="80"/>
        <v>7.0572809694698447E-3</v>
      </c>
      <c r="J136" s="25">
        <f t="shared" si="80"/>
        <v>1.3698630136986302E-2</v>
      </c>
      <c r="K136" s="25">
        <f t="shared" si="80"/>
        <v>1.3698630136986301E-2</v>
      </c>
      <c r="L136" s="25">
        <f t="shared" si="80"/>
        <v>1.3698630136986302E-2</v>
      </c>
      <c r="M136" s="25">
        <f t="shared" si="80"/>
        <v>1.0958904109589041E-2</v>
      </c>
      <c r="N136" s="25">
        <f t="shared" ref="N136" si="81">N134/N133</f>
        <v>1.0958904109589041E-2</v>
      </c>
    </row>
    <row r="138" spans="2:14">
      <c r="B138" s="41" t="s">
        <v>39</v>
      </c>
    </row>
    <row r="139" spans="2:14" outlineLevel="1">
      <c r="B139" t="s">
        <v>40</v>
      </c>
      <c r="D139" s="111">
        <f>D26</f>
        <v>94483.340000000011</v>
      </c>
      <c r="E139" s="111">
        <f t="shared" ref="E139:N139" si="82">E26</f>
        <v>194408.44</v>
      </c>
      <c r="F139" s="111">
        <f t="shared" si="82"/>
        <v>389093.9</v>
      </c>
      <c r="G139" s="111">
        <f t="shared" si="82"/>
        <v>405950</v>
      </c>
      <c r="H139" s="111">
        <f t="shared" si="82"/>
        <v>481803</v>
      </c>
      <c r="I139" s="111">
        <f t="shared" si="82"/>
        <v>564048</v>
      </c>
      <c r="J139" s="111">
        <f t="shared" si="82"/>
        <v>670417.06380000012</v>
      </c>
      <c r="K139" s="111">
        <f t="shared" si="82"/>
        <v>801716.22623400006</v>
      </c>
      <c r="L139" s="111">
        <f t="shared" si="82"/>
        <v>958933.18726061983</v>
      </c>
      <c r="M139" s="111">
        <f t="shared" si="82"/>
        <v>1147207.2674601064</v>
      </c>
      <c r="N139" s="111">
        <f t="shared" si="82"/>
        <v>1372699.6332570668</v>
      </c>
    </row>
    <row r="140" spans="2:14" outlineLevel="1">
      <c r="B140" t="s">
        <v>39</v>
      </c>
      <c r="D140" s="148">
        <f>'Balance Sheet'!J26</f>
        <v>3164.18</v>
      </c>
      <c r="E140" s="148">
        <f>'Balance Sheet'!K26</f>
        <v>4080.63</v>
      </c>
      <c r="F140" s="148">
        <f>'Balance Sheet'!L26</f>
        <v>5910.67</v>
      </c>
      <c r="G140" s="148">
        <f>'Balance Sheet'!M26</f>
        <v>6248</v>
      </c>
      <c r="H140" s="148">
        <f>'Balance Sheet'!N26</f>
        <v>8203</v>
      </c>
      <c r="I140" s="84">
        <f>'Balance Sheet'!O26</f>
        <v>9848</v>
      </c>
      <c r="J140" s="151">
        <f>J139*J141/N131</f>
        <v>11020.55447342466</v>
      </c>
      <c r="K140" s="151">
        <f t="shared" ref="K140:N140" si="83">K139/$N$131*K141</f>
        <v>13178.896869600001</v>
      </c>
      <c r="L140" s="151">
        <f t="shared" si="83"/>
        <v>15763.285270037586</v>
      </c>
      <c r="M140" s="151">
        <f t="shared" si="83"/>
        <v>18858.20165687846</v>
      </c>
      <c r="N140" s="151">
        <f t="shared" si="83"/>
        <v>22564.925478198358</v>
      </c>
    </row>
    <row r="141" spans="2:14" outlineLevel="1">
      <c r="B141" s="32" t="s">
        <v>41</v>
      </c>
      <c r="C141" s="32"/>
      <c r="D141" s="46">
        <f>D140/D139*$N$131</f>
        <v>12.223590952648369</v>
      </c>
      <c r="E141" s="46">
        <f>E140/E139*$N$131</f>
        <v>7.6613440753909652</v>
      </c>
      <c r="F141" s="46">
        <f>F140/F139*$N$131</f>
        <v>5.5446629978007875</v>
      </c>
      <c r="G141" s="46">
        <f>G140/G139*$N$131</f>
        <v>5.6177361744057146</v>
      </c>
      <c r="H141" s="46">
        <f>H140/H139*$N$131</f>
        <v>6.214355244778468</v>
      </c>
      <c r="I141" s="46">
        <v>4</v>
      </c>
      <c r="J141" s="149">
        <v>6</v>
      </c>
      <c r="K141" s="149">
        <v>6</v>
      </c>
      <c r="L141" s="149">
        <v>6</v>
      </c>
      <c r="M141" s="149">
        <v>6</v>
      </c>
      <c r="N141" s="149">
        <v>6</v>
      </c>
    </row>
    <row r="142" spans="2:14" outlineLevel="1">
      <c r="B142" s="32" t="s">
        <v>826</v>
      </c>
      <c r="C142" s="32"/>
      <c r="D142" s="25">
        <f>D140/D139</f>
        <v>3.3489290281228407E-2</v>
      </c>
      <c r="E142" s="25">
        <f t="shared" ref="E142:M142" si="84">E140/E139</f>
        <v>2.0989983768194425E-2</v>
      </c>
      <c r="F142" s="25">
        <f t="shared" si="84"/>
        <v>1.5190857528221337E-2</v>
      </c>
      <c r="G142" s="25">
        <f t="shared" si="84"/>
        <v>1.5391058012070451E-2</v>
      </c>
      <c r="H142" s="25">
        <f t="shared" si="84"/>
        <v>1.7025630807612241E-2</v>
      </c>
      <c r="I142" s="25">
        <f t="shared" si="84"/>
        <v>1.7459506992312711E-2</v>
      </c>
      <c r="J142" s="25">
        <f t="shared" si="84"/>
        <v>1.643835616438356E-2</v>
      </c>
      <c r="K142" s="25">
        <f t="shared" si="84"/>
        <v>1.643835616438356E-2</v>
      </c>
      <c r="L142" s="25">
        <f t="shared" si="84"/>
        <v>1.643835616438356E-2</v>
      </c>
      <c r="M142" s="25">
        <f t="shared" si="84"/>
        <v>1.643835616438356E-2</v>
      </c>
      <c r="N142" s="25">
        <f t="shared" ref="N142" si="85">N140/N139</f>
        <v>1.643835616438356E-2</v>
      </c>
    </row>
    <row r="143" spans="2:14" outlineLevel="1">
      <c r="D143" s="354">
        <f>AVERAGE(D141:I141)</f>
        <v>6.8769482408373834</v>
      </c>
    </row>
    <row r="144" spans="2:14" outlineLevel="1">
      <c r="B144" s="41" t="s">
        <v>42</v>
      </c>
    </row>
    <row r="145" spans="2:14" outlineLevel="1">
      <c r="B145" t="s">
        <v>40</v>
      </c>
      <c r="D145" s="111">
        <f t="shared" ref="D145:N145" si="86">D26</f>
        <v>94483.340000000011</v>
      </c>
      <c r="E145" s="111">
        <f t="shared" si="86"/>
        <v>194408.44</v>
      </c>
      <c r="F145" s="111">
        <f t="shared" si="86"/>
        <v>389093.9</v>
      </c>
      <c r="G145" s="111">
        <f t="shared" si="86"/>
        <v>405950</v>
      </c>
      <c r="H145" s="111">
        <f t="shared" si="86"/>
        <v>481803</v>
      </c>
      <c r="I145" s="111">
        <f t="shared" si="86"/>
        <v>564048</v>
      </c>
      <c r="J145" s="141">
        <f t="shared" si="86"/>
        <v>670417.06380000012</v>
      </c>
      <c r="K145" s="141">
        <f t="shared" si="86"/>
        <v>801716.22623400006</v>
      </c>
      <c r="L145" s="141">
        <f t="shared" si="86"/>
        <v>958933.18726061983</v>
      </c>
      <c r="M145" s="141">
        <f t="shared" si="86"/>
        <v>1147207.2674601064</v>
      </c>
      <c r="N145" s="141">
        <f t="shared" si="86"/>
        <v>1372699.6332570668</v>
      </c>
    </row>
    <row r="146" spans="2:14" outlineLevel="1">
      <c r="B146" t="s">
        <v>42</v>
      </c>
      <c r="D146">
        <f>'Balance Sheet'!J34</f>
        <v>390.93</v>
      </c>
      <c r="E146">
        <f>'Balance Sheet'!K34</f>
        <v>632.38</v>
      </c>
      <c r="F146">
        <f>'Balance Sheet'!L34</f>
        <v>669.73</v>
      </c>
      <c r="G146" s="84">
        <f>'Balance Sheet'!M34</f>
        <v>1029</v>
      </c>
      <c r="H146" s="84">
        <f>'Balance Sheet'!N34</f>
        <v>2138</v>
      </c>
      <c r="I146" s="84">
        <f>'Balance Sheet'!O34</f>
        <v>3399</v>
      </c>
      <c r="J146" s="151">
        <f>J145*J147</f>
        <v>4692.9194466000008</v>
      </c>
      <c r="K146" s="151">
        <f t="shared" ref="K146:M146" si="87">K145*K147</f>
        <v>5612.0135836380005</v>
      </c>
      <c r="L146" s="151">
        <f t="shared" si="87"/>
        <v>6712.5323108243392</v>
      </c>
      <c r="M146" s="151">
        <f t="shared" si="87"/>
        <v>8030.4508722207447</v>
      </c>
      <c r="N146" s="151">
        <f>N145*N147</f>
        <v>9608.8974327994674</v>
      </c>
    </row>
    <row r="147" spans="2:14" outlineLevel="1">
      <c r="B147" s="32" t="s">
        <v>437</v>
      </c>
      <c r="C147" s="32"/>
      <c r="D147" s="398">
        <f t="shared" ref="D147:I147" si="88">D146/D145</f>
        <v>4.1375548324180745E-3</v>
      </c>
      <c r="E147" s="398">
        <f t="shared" si="88"/>
        <v>3.2528423148706917E-3</v>
      </c>
      <c r="F147" s="398">
        <f t="shared" si="88"/>
        <v>1.7212554604428391E-3</v>
      </c>
      <c r="G147" s="398">
        <f t="shared" si="88"/>
        <v>2.5347949254834337E-3</v>
      </c>
      <c r="H147" s="398">
        <f t="shared" si="88"/>
        <v>4.4374983136261084E-3</v>
      </c>
      <c r="I147" s="398">
        <f t="shared" si="88"/>
        <v>6.026082886562846E-3</v>
      </c>
      <c r="J147" s="25">
        <v>7.0000000000000001E-3</v>
      </c>
      <c r="K147" s="25">
        <v>7.0000000000000001E-3</v>
      </c>
      <c r="L147" s="25">
        <v>7.0000000000000001E-3</v>
      </c>
      <c r="M147" s="25">
        <v>7.0000000000000001E-3</v>
      </c>
      <c r="N147" s="25">
        <v>7.0000000000000001E-3</v>
      </c>
    </row>
    <row r="148" spans="2:14" outlineLevel="1"/>
    <row r="149" spans="2:14" outlineLevel="1">
      <c r="B149" s="41" t="s">
        <v>44</v>
      </c>
    </row>
    <row r="150" spans="2:14" outlineLevel="1">
      <c r="B150" t="s">
        <v>22</v>
      </c>
      <c r="D150" s="111">
        <f t="shared" ref="D150:N150" si="89">D13</f>
        <v>146406.31</v>
      </c>
      <c r="E150" s="111">
        <f t="shared" si="89"/>
        <v>259309.27</v>
      </c>
      <c r="F150" s="111">
        <f t="shared" si="89"/>
        <v>544464.53</v>
      </c>
      <c r="G150" s="111">
        <f t="shared" si="89"/>
        <v>689043</v>
      </c>
      <c r="H150" s="111">
        <f t="shared" si="89"/>
        <v>808029</v>
      </c>
      <c r="I150" s="111">
        <f t="shared" si="89"/>
        <v>849619</v>
      </c>
      <c r="J150" s="141">
        <f t="shared" si="89"/>
        <v>1015783.43</v>
      </c>
      <c r="K150" s="141">
        <f t="shared" si="89"/>
        <v>1214721.5549000001</v>
      </c>
      <c r="L150" s="141">
        <f t="shared" si="89"/>
        <v>1452929.0716069997</v>
      </c>
      <c r="M150" s="141">
        <f t="shared" si="89"/>
        <v>1738192.8294850097</v>
      </c>
      <c r="N150" s="141">
        <f t="shared" si="89"/>
        <v>2079847.9291773739</v>
      </c>
    </row>
    <row r="151" spans="2:14">
      <c r="B151" t="s">
        <v>44</v>
      </c>
      <c r="D151" s="84">
        <f>'Balance Sheet'!J35</f>
        <v>9244.67</v>
      </c>
      <c r="E151" s="84">
        <f>'Balance Sheet'!K35</f>
        <v>8699.3200000000015</v>
      </c>
      <c r="F151" s="84">
        <f>'Balance Sheet'!L35</f>
        <v>5332.8899999999994</v>
      </c>
      <c r="G151" s="84">
        <f>'Balance Sheet'!M35</f>
        <v>4630</v>
      </c>
      <c r="H151" s="84">
        <f>'Balance Sheet'!N35</f>
        <v>16049</v>
      </c>
      <c r="I151" s="84">
        <f>'Balance Sheet'!O35</f>
        <v>14671</v>
      </c>
      <c r="J151" s="141">
        <f t="shared" ref="J151:M151" si="90">J150*J152</f>
        <v>30473.502899999999</v>
      </c>
      <c r="K151" s="141">
        <f t="shared" si="90"/>
        <v>36441.646647000001</v>
      </c>
      <c r="L151" s="141">
        <f t="shared" si="90"/>
        <v>43587.872148209994</v>
      </c>
      <c r="M151" s="141">
        <f t="shared" si="90"/>
        <v>52145.784884550289</v>
      </c>
      <c r="N151" s="141">
        <f t="shared" ref="N151" si="91">N150*N152</f>
        <v>62395.437875321215</v>
      </c>
    </row>
    <row r="152" spans="2:14">
      <c r="B152" s="32" t="s">
        <v>45</v>
      </c>
      <c r="C152" s="32"/>
      <c r="D152" s="25">
        <f t="shared" ref="D152:H152" si="92">D151/D150</f>
        <v>6.3143931433009962E-2</v>
      </c>
      <c r="E152" s="25">
        <f t="shared" si="92"/>
        <v>3.3548048629345191E-2</v>
      </c>
      <c r="F152" s="25">
        <f t="shared" si="92"/>
        <v>9.7947427355827912E-3</v>
      </c>
      <c r="G152" s="25">
        <f t="shared" si="92"/>
        <v>6.7194645326924445E-3</v>
      </c>
      <c r="H152" s="25">
        <f t="shared" si="92"/>
        <v>1.9861910896762369E-2</v>
      </c>
      <c r="I152" s="25">
        <f>I151/I150</f>
        <v>1.7267740010522364E-2</v>
      </c>
      <c r="J152" s="25">
        <v>0.03</v>
      </c>
      <c r="K152" s="25">
        <v>0.03</v>
      </c>
      <c r="L152" s="25">
        <v>0.03</v>
      </c>
      <c r="M152" s="25">
        <v>0.03</v>
      </c>
      <c r="N152" s="25">
        <v>0.03</v>
      </c>
    </row>
    <row r="153" spans="2:14" outlineLevel="1">
      <c r="D153" s="230">
        <f>AVERAGE(D152:I152)</f>
        <v>2.5055973039652516E-2</v>
      </c>
    </row>
    <row r="154" spans="2:14" outlineLevel="1">
      <c r="B154" s="41" t="s">
        <v>344</v>
      </c>
    </row>
    <row r="155" spans="2:14" outlineLevel="1">
      <c r="B155" t="s">
        <v>22</v>
      </c>
      <c r="D155" s="111">
        <f t="shared" ref="D155:N155" si="93">D13</f>
        <v>146406.31</v>
      </c>
      <c r="E155" s="111">
        <f t="shared" si="93"/>
        <v>259309.27</v>
      </c>
      <c r="F155" s="111">
        <f t="shared" si="93"/>
        <v>544464.53</v>
      </c>
      <c r="G155" s="111">
        <f t="shared" si="93"/>
        <v>689043</v>
      </c>
      <c r="H155" s="111">
        <f t="shared" si="93"/>
        <v>808029</v>
      </c>
      <c r="I155" s="111">
        <f t="shared" si="93"/>
        <v>849619</v>
      </c>
      <c r="J155" s="141">
        <f t="shared" si="93"/>
        <v>1015783.43</v>
      </c>
      <c r="K155" s="141">
        <f t="shared" si="93"/>
        <v>1214721.5549000001</v>
      </c>
      <c r="L155" s="141">
        <f t="shared" si="93"/>
        <v>1452929.0716069997</v>
      </c>
      <c r="M155" s="141">
        <f t="shared" si="93"/>
        <v>1738192.8294850097</v>
      </c>
      <c r="N155" s="141">
        <f t="shared" si="93"/>
        <v>2079847.9291773739</v>
      </c>
    </row>
    <row r="156" spans="2:14" outlineLevel="1">
      <c r="B156" t="s">
        <v>344</v>
      </c>
      <c r="D156" s="84">
        <f>SUM('Balance Sheet'!J30:J32)</f>
        <v>80872.959999999992</v>
      </c>
      <c r="E156" s="84">
        <f>SUM('Balance Sheet'!K30:K32)</f>
        <v>84345.82</v>
      </c>
      <c r="F156" s="84">
        <f>SUM('Balance Sheet'!L30:L32)</f>
        <v>125977.95999999999</v>
      </c>
      <c r="G156" s="84">
        <f>SUM('Balance Sheet'!M30:M32)</f>
        <v>172993</v>
      </c>
      <c r="H156" s="84">
        <f>SUM('Balance Sheet'!N30:N32)</f>
        <v>283615</v>
      </c>
      <c r="I156" s="84">
        <f>SUM('Balance Sheet'!O30:O32)</f>
        <v>305385</v>
      </c>
      <c r="J156" s="151">
        <f>J155*J157</f>
        <v>355524.20049999998</v>
      </c>
      <c r="K156" s="151">
        <f t="shared" ref="K156:N156" si="94">K155*K157</f>
        <v>425152.544215</v>
      </c>
      <c r="L156" s="151">
        <f t="shared" si="94"/>
        <v>508525.17506244988</v>
      </c>
      <c r="M156" s="151">
        <f t="shared" si="94"/>
        <v>608367.4903197533</v>
      </c>
      <c r="N156" s="151">
        <f t="shared" si="94"/>
        <v>727946.7752120808</v>
      </c>
    </row>
    <row r="157" spans="2:14" outlineLevel="1">
      <c r="B157" s="32" t="s">
        <v>45</v>
      </c>
      <c r="C157" s="32"/>
      <c r="D157" s="25">
        <f>D156/D155</f>
        <v>0.55238712047315441</v>
      </c>
      <c r="E157" s="25">
        <f>E156/E155</f>
        <v>0.32527113280601194</v>
      </c>
      <c r="F157" s="25">
        <f>F156/F155</f>
        <v>0.23137955377919658</v>
      </c>
      <c r="G157" s="25">
        <f>G156/G155</f>
        <v>0.25106270581081297</v>
      </c>
      <c r="H157" s="25">
        <f>H156/H155</f>
        <v>0.35099606573526443</v>
      </c>
      <c r="I157" s="25">
        <v>0.25</v>
      </c>
      <c r="J157" s="25">
        <v>0.35</v>
      </c>
      <c r="K157" s="25">
        <v>0.35</v>
      </c>
      <c r="L157" s="25">
        <v>0.35</v>
      </c>
      <c r="M157" s="25">
        <v>0.35</v>
      </c>
      <c r="N157" s="25">
        <v>0.35</v>
      </c>
    </row>
    <row r="158" spans="2:14" outlineLevel="1"/>
    <row r="159" spans="2:14" outlineLevel="1">
      <c r="B159" s="41" t="s">
        <v>225</v>
      </c>
    </row>
    <row r="160" spans="2:14" outlineLevel="1">
      <c r="B160" t="s">
        <v>40</v>
      </c>
      <c r="D160" s="111">
        <f t="shared" ref="D160:N160" si="95">D26</f>
        <v>94483.340000000011</v>
      </c>
      <c r="E160" s="111">
        <f t="shared" si="95"/>
        <v>194408.44</v>
      </c>
      <c r="F160" s="111">
        <f t="shared" si="95"/>
        <v>389093.9</v>
      </c>
      <c r="G160" s="111">
        <f t="shared" si="95"/>
        <v>405950</v>
      </c>
      <c r="H160" s="111">
        <f t="shared" si="95"/>
        <v>481803</v>
      </c>
      <c r="I160" s="111">
        <f t="shared" si="95"/>
        <v>564048</v>
      </c>
      <c r="J160" s="141">
        <f t="shared" si="95"/>
        <v>670417.06380000012</v>
      </c>
      <c r="K160" s="141">
        <f t="shared" si="95"/>
        <v>801716.22623400006</v>
      </c>
      <c r="L160" s="141">
        <f t="shared" si="95"/>
        <v>958933.18726061983</v>
      </c>
      <c r="M160" s="141">
        <f t="shared" si="95"/>
        <v>1147207.2674601064</v>
      </c>
      <c r="N160" s="141">
        <f t="shared" si="95"/>
        <v>1372699.6332570668</v>
      </c>
    </row>
    <row r="161" spans="2:14" outlineLevel="1">
      <c r="B161" t="s">
        <v>225</v>
      </c>
      <c r="D161" s="84">
        <f>SUM('Balance Sheet'!J63,'Balance Sheet'!J64)</f>
        <v>15513.289999999999</v>
      </c>
      <c r="E161" s="84">
        <f>SUM('Balance Sheet'!K63,'Balance Sheet'!K64)</f>
        <v>31518.2</v>
      </c>
      <c r="F161" s="84">
        <f>SUM('Balance Sheet'!L63,'Balance Sheet'!L64)</f>
        <v>32089.89</v>
      </c>
      <c r="G161" s="84">
        <f>SUM('Balance Sheet'!M63,'Balance Sheet'!M64)</f>
        <v>31576</v>
      </c>
      <c r="H161" s="84">
        <f>SUM('Balance Sheet'!N63,'Balance Sheet'!N64)</f>
        <v>41756</v>
      </c>
      <c r="I161" s="84">
        <f>SUM('Balance Sheet'!O63,'Balance Sheet'!O64)</f>
        <v>49905</v>
      </c>
      <c r="J161" s="151">
        <f>(J160*J162)/$N$131</f>
        <v>55102.772367123303</v>
      </c>
      <c r="K161" s="151">
        <f>(K160*K162)/$N$131</f>
        <v>65894.484347999998</v>
      </c>
      <c r="L161" s="151">
        <f>(L160*L162)/$N$131</f>
        <v>65680.355291823274</v>
      </c>
      <c r="M161" s="151">
        <f>(M160*M162)/$N$131</f>
        <v>78575.840236993594</v>
      </c>
      <c r="N161" s="151">
        <f>(N160*N162)/$N$131</f>
        <v>94020.522825826498</v>
      </c>
    </row>
    <row r="162" spans="2:14" outlineLevel="1">
      <c r="B162" s="32" t="s">
        <v>827</v>
      </c>
      <c r="C162" s="32"/>
      <c r="D162" s="46">
        <f t="shared" ref="D162:H162" si="96">D161/D160*$N$131</f>
        <v>59.929621984150849</v>
      </c>
      <c r="E162" s="46">
        <f t="shared" si="96"/>
        <v>59.175121203585611</v>
      </c>
      <c r="F162" s="46">
        <f t="shared" si="96"/>
        <v>30.102784572053167</v>
      </c>
      <c r="G162" s="46">
        <f t="shared" si="96"/>
        <v>28.390787042739255</v>
      </c>
      <c r="H162" s="46">
        <f t="shared" si="96"/>
        <v>31.633136364862818</v>
      </c>
      <c r="I162" s="46">
        <f>I161/I160*$N$131</f>
        <v>32.293927112586161</v>
      </c>
      <c r="J162" s="46">
        <v>30</v>
      </c>
      <c r="K162" s="46">
        <v>30</v>
      </c>
      <c r="L162" s="46">
        <v>25</v>
      </c>
      <c r="M162" s="46">
        <v>25</v>
      </c>
      <c r="N162" s="46">
        <v>25</v>
      </c>
    </row>
    <row r="163" spans="2:14" s="19" customFormat="1" outlineLevel="1">
      <c r="B163" s="18"/>
      <c r="C163" s="18"/>
      <c r="D163" s="214"/>
      <c r="E163" s="214"/>
      <c r="F163" s="214"/>
      <c r="G163" s="214"/>
      <c r="H163" s="214"/>
      <c r="I163" s="214"/>
      <c r="J163" s="214"/>
      <c r="K163" s="214"/>
      <c r="L163" s="214"/>
      <c r="M163" s="214"/>
      <c r="N163" s="214"/>
    </row>
    <row r="164" spans="2:14" outlineLevel="1">
      <c r="B164" s="41" t="s">
        <v>569</v>
      </c>
    </row>
    <row r="165" spans="2:14">
      <c r="B165" t="s">
        <v>38</v>
      </c>
      <c r="D165" s="111">
        <f t="shared" ref="D165:N165" si="97">D13</f>
        <v>146406.31</v>
      </c>
      <c r="E165" s="111">
        <f t="shared" si="97"/>
        <v>259309.27</v>
      </c>
      <c r="F165" s="111">
        <f t="shared" si="97"/>
        <v>544464.53</v>
      </c>
      <c r="G165" s="111">
        <f t="shared" si="97"/>
        <v>689043</v>
      </c>
      <c r="H165" s="111">
        <f t="shared" si="97"/>
        <v>808029</v>
      </c>
      <c r="I165" s="111">
        <f t="shared" si="97"/>
        <v>849619</v>
      </c>
      <c r="J165" s="141">
        <f t="shared" si="97"/>
        <v>1015783.43</v>
      </c>
      <c r="K165" s="141">
        <f t="shared" si="97"/>
        <v>1214721.5549000001</v>
      </c>
      <c r="L165" s="141">
        <f t="shared" si="97"/>
        <v>1452929.0716069997</v>
      </c>
      <c r="M165" s="141">
        <f t="shared" si="97"/>
        <v>1738192.8294850097</v>
      </c>
      <c r="N165" s="141">
        <f t="shared" si="97"/>
        <v>2079847.9291773739</v>
      </c>
    </row>
    <row r="166" spans="2:14">
      <c r="B166" t="s">
        <v>387</v>
      </c>
      <c r="D166" s="84">
        <f>SUM('Balance Sheet'!J60:J61)</f>
        <v>91974.92</v>
      </c>
      <c r="E166" s="84">
        <f>SUM('Balance Sheet'!K60:K61)</f>
        <v>114030.07</v>
      </c>
      <c r="F166" s="84">
        <f>SUM('Balance Sheet'!L60:L61)</f>
        <v>126296.04</v>
      </c>
      <c r="G166" s="84">
        <f>SUM('Balance Sheet'!M60:M61)</f>
        <v>134166</v>
      </c>
      <c r="H166" s="84">
        <f>SUM('Balance Sheet'!N60:N61)</f>
        <v>121415</v>
      </c>
      <c r="I166" s="84">
        <f>SUM('Balance Sheet'!O60:O61)</f>
        <v>132787</v>
      </c>
      <c r="J166" s="141">
        <f>J165*J167</f>
        <v>142209.68020000003</v>
      </c>
      <c r="K166" s="141">
        <f t="shared" ref="K166:N166" si="98">K165*K167</f>
        <v>170061.01768600004</v>
      </c>
      <c r="L166" s="141">
        <f t="shared" si="98"/>
        <v>203410.07002497997</v>
      </c>
      <c r="M166" s="141">
        <f t="shared" si="98"/>
        <v>243346.99612790137</v>
      </c>
      <c r="N166" s="141">
        <f t="shared" si="98"/>
        <v>291178.71008483239</v>
      </c>
    </row>
    <row r="167" spans="2:14">
      <c r="B167" s="32" t="s">
        <v>390</v>
      </c>
      <c r="C167" s="32"/>
      <c r="D167" s="25">
        <f>D166/D165</f>
        <v>0.62821691223554499</v>
      </c>
      <c r="E167" s="25">
        <f t="shared" ref="E167:H167" si="99">E166/E165</f>
        <v>0.43974544373211188</v>
      </c>
      <c r="F167" s="25">
        <f t="shared" si="99"/>
        <v>0.23196376079815517</v>
      </c>
      <c r="G167" s="25">
        <f t="shared" si="99"/>
        <v>0.19471353747153661</v>
      </c>
      <c r="H167" s="25">
        <f t="shared" si="99"/>
        <v>0.15026069608887799</v>
      </c>
      <c r="I167" s="25">
        <f>I166/I165</f>
        <v>0.15629005471864446</v>
      </c>
      <c r="J167" s="25">
        <v>0.14000000000000001</v>
      </c>
      <c r="K167" s="25">
        <v>0.14000000000000001</v>
      </c>
      <c r="L167" s="25">
        <v>0.14000000000000001</v>
      </c>
      <c r="M167" s="25">
        <v>0.14000000000000001</v>
      </c>
      <c r="N167" s="25">
        <v>0.14000000000000001</v>
      </c>
    </row>
    <row r="168" spans="2:14" s="19" customFormat="1">
      <c r="B168" s="18"/>
      <c r="C168" s="18"/>
      <c r="D168" s="26"/>
      <c r="E168" s="26"/>
      <c r="F168" s="26"/>
      <c r="G168" s="26"/>
      <c r="H168" s="26"/>
      <c r="I168" s="26"/>
      <c r="J168" s="26"/>
      <c r="K168" s="26"/>
      <c r="L168" s="26"/>
      <c r="M168" s="26"/>
      <c r="N168" s="26"/>
    </row>
    <row r="169" spans="2:14" s="19" customFormat="1">
      <c r="B169" s="47" t="s">
        <v>385</v>
      </c>
      <c r="C169" s="18"/>
      <c r="D169" s="26"/>
      <c r="E169" s="26"/>
      <c r="F169" s="26"/>
      <c r="G169" s="26"/>
      <c r="H169" s="26"/>
      <c r="I169" s="26"/>
      <c r="J169" s="26"/>
      <c r="K169" s="26"/>
      <c r="L169" s="26"/>
      <c r="M169" s="26"/>
      <c r="N169" s="26"/>
    </row>
    <row r="170" spans="2:14" s="19" customFormat="1">
      <c r="B170" s="19" t="s">
        <v>22</v>
      </c>
      <c r="C170" s="18"/>
      <c r="D170" s="196">
        <f t="shared" ref="D170:N170" si="100">D13</f>
        <v>146406.31</v>
      </c>
      <c r="E170" s="196">
        <f t="shared" si="100"/>
        <v>259309.27</v>
      </c>
      <c r="F170" s="196">
        <f t="shared" si="100"/>
        <v>544464.53</v>
      </c>
      <c r="G170" s="196">
        <f t="shared" si="100"/>
        <v>689043</v>
      </c>
      <c r="H170" s="196">
        <f t="shared" si="100"/>
        <v>808029</v>
      </c>
      <c r="I170" s="196">
        <f t="shared" si="100"/>
        <v>849619</v>
      </c>
      <c r="J170" s="141">
        <f t="shared" si="100"/>
        <v>1015783.43</v>
      </c>
      <c r="K170" s="141">
        <f t="shared" si="100"/>
        <v>1214721.5549000001</v>
      </c>
      <c r="L170" s="141">
        <f t="shared" si="100"/>
        <v>1452929.0716069997</v>
      </c>
      <c r="M170" s="141">
        <f t="shared" si="100"/>
        <v>1738192.8294850097</v>
      </c>
      <c r="N170" s="141">
        <f t="shared" si="100"/>
        <v>2079847.9291773739</v>
      </c>
    </row>
    <row r="171" spans="2:14" s="19" customFormat="1">
      <c r="B171" s="19" t="s">
        <v>385</v>
      </c>
      <c r="C171" s="18"/>
      <c r="D171" s="196">
        <f>'Balance Sheet'!J65</f>
        <v>47234.6</v>
      </c>
      <c r="E171" s="196">
        <f>'Balance Sheet'!K65</f>
        <v>36928.589999999997</v>
      </c>
      <c r="F171" s="196">
        <f>'Balance Sheet'!L65</f>
        <v>25901.59</v>
      </c>
      <c r="G171" s="196">
        <f>'Balance Sheet'!M65</f>
        <v>70509</v>
      </c>
      <c r="H171" s="196">
        <f>'Balance Sheet'!N65</f>
        <v>77523</v>
      </c>
      <c r="I171" s="196">
        <f>'Balance Sheet'!O65</f>
        <v>86060</v>
      </c>
      <c r="J171" s="141">
        <f>J170*J172</f>
        <v>91420.508700000006</v>
      </c>
      <c r="K171" s="141">
        <f t="shared" ref="K171:N171" si="101">K170*K172</f>
        <v>109324.939941</v>
      </c>
      <c r="L171" s="141">
        <f t="shared" si="101"/>
        <v>116234.32572855998</v>
      </c>
      <c r="M171" s="141">
        <f t="shared" si="101"/>
        <v>139055.42635880079</v>
      </c>
      <c r="N171" s="141">
        <f t="shared" si="101"/>
        <v>166387.83433418992</v>
      </c>
    </row>
    <row r="172" spans="2:14" s="19" customFormat="1">
      <c r="B172" s="32" t="s">
        <v>386</v>
      </c>
      <c r="C172" s="32"/>
      <c r="D172" s="25">
        <f>D171/D170</f>
        <v>0.32262680481462852</v>
      </c>
      <c r="E172" s="25">
        <f t="shared" ref="E172:H172" si="102">E171/E170</f>
        <v>0.14241137619183455</v>
      </c>
      <c r="F172" s="25">
        <f t="shared" si="102"/>
        <v>4.7572593939223182E-2</v>
      </c>
      <c r="G172" s="25">
        <f t="shared" si="102"/>
        <v>0.10232888223231351</v>
      </c>
      <c r="H172" s="25">
        <f t="shared" si="102"/>
        <v>9.5940863508611696E-2</v>
      </c>
      <c r="I172" s="25">
        <f>I171/I170</f>
        <v>0.1012924616798824</v>
      </c>
      <c r="J172" s="25">
        <v>0.09</v>
      </c>
      <c r="K172" s="25">
        <v>0.09</v>
      </c>
      <c r="L172" s="25">
        <v>0.08</v>
      </c>
      <c r="M172" s="25">
        <v>0.08</v>
      </c>
      <c r="N172" s="25">
        <v>0.08</v>
      </c>
    </row>
    <row r="173" spans="2:14">
      <c r="D173" s="34">
        <f>AVERAGE(D172:I172)</f>
        <v>0.13536216372774898</v>
      </c>
      <c r="G173" s="34"/>
      <c r="H173" t="s">
        <v>13</v>
      </c>
    </row>
    <row r="174" spans="2:14">
      <c r="B174" s="41" t="s">
        <v>219</v>
      </c>
      <c r="G174" s="34"/>
    </row>
    <row r="175" spans="2:14">
      <c r="B175" t="s">
        <v>38</v>
      </c>
      <c r="D175" s="111">
        <f t="shared" ref="D175:N175" si="103">D13</f>
        <v>146406.31</v>
      </c>
      <c r="E175" s="111">
        <f t="shared" si="103"/>
        <v>259309.27</v>
      </c>
      <c r="F175" s="111">
        <f t="shared" si="103"/>
        <v>544464.53</v>
      </c>
      <c r="G175" s="111">
        <f t="shared" si="103"/>
        <v>689043</v>
      </c>
      <c r="H175" s="111">
        <f t="shared" si="103"/>
        <v>808029</v>
      </c>
      <c r="I175" s="111">
        <f t="shared" si="103"/>
        <v>849619</v>
      </c>
      <c r="J175" s="141">
        <f t="shared" si="103"/>
        <v>1015783.43</v>
      </c>
      <c r="K175" s="141">
        <f t="shared" si="103"/>
        <v>1214721.5549000001</v>
      </c>
      <c r="L175" s="141">
        <f t="shared" si="103"/>
        <v>1452929.0716069997</v>
      </c>
      <c r="M175" s="141">
        <f t="shared" si="103"/>
        <v>1738192.8294850097</v>
      </c>
      <c r="N175" s="141">
        <f t="shared" si="103"/>
        <v>2079847.9291773739</v>
      </c>
    </row>
    <row r="176" spans="2:14">
      <c r="B176" t="s">
        <v>219</v>
      </c>
      <c r="D176" s="84">
        <f>'Balance Sheet'!J67</f>
        <v>30.76</v>
      </c>
      <c r="E176" s="84">
        <f>'Balance Sheet'!K67</f>
        <v>30.76</v>
      </c>
      <c r="F176" s="84">
        <f>'Balance Sheet'!L67</f>
        <v>30.76</v>
      </c>
      <c r="G176" s="84">
        <f>'Balance Sheet'!M67</f>
        <v>5890</v>
      </c>
      <c r="H176" s="84">
        <f>'Balance Sheet'!N67</f>
        <v>17468</v>
      </c>
      <c r="I176" s="84">
        <f>'Balance Sheet'!O67</f>
        <v>26210</v>
      </c>
      <c r="J176" s="141">
        <f>J175*J177</f>
        <v>30473.502899999999</v>
      </c>
      <c r="K176" s="141">
        <f t="shared" ref="K176:N176" si="104">K175*K177</f>
        <v>36441.646647000001</v>
      </c>
      <c r="L176" s="141">
        <f t="shared" si="104"/>
        <v>43587.872148209994</v>
      </c>
      <c r="M176" s="141">
        <f t="shared" si="104"/>
        <v>34763.856589700197</v>
      </c>
      <c r="N176" s="141">
        <f t="shared" si="104"/>
        <v>41596.958583547479</v>
      </c>
    </row>
    <row r="177" spans="2:14" s="16" customFormat="1">
      <c r="B177" s="32" t="s">
        <v>388</v>
      </c>
      <c r="C177" s="32"/>
      <c r="D177" s="25">
        <f>D176/D175</f>
        <v>2.1010023406778028E-4</v>
      </c>
      <c r="E177" s="25">
        <f t="shared" ref="E177:I177" si="105">E176/E175</f>
        <v>1.186228321108613E-4</v>
      </c>
      <c r="F177" s="25">
        <f t="shared" si="105"/>
        <v>5.6495874947078737E-5</v>
      </c>
      <c r="G177" s="25">
        <f t="shared" si="105"/>
        <v>8.5480877100558312E-3</v>
      </c>
      <c r="H177" s="25">
        <f t="shared" si="105"/>
        <v>2.1618035986332173E-2</v>
      </c>
      <c r="I177" s="25">
        <f t="shared" si="105"/>
        <v>3.0849121782822654E-2</v>
      </c>
      <c r="J177" s="25">
        <v>0.03</v>
      </c>
      <c r="K177" s="25">
        <v>0.03</v>
      </c>
      <c r="L177" s="25">
        <v>0.03</v>
      </c>
      <c r="M177" s="25">
        <v>0.02</v>
      </c>
      <c r="N177" s="25">
        <v>0.02</v>
      </c>
    </row>
    <row r="178" spans="2:14">
      <c r="G178" s="34"/>
    </row>
    <row r="179" spans="2:14">
      <c r="B179" s="41" t="s">
        <v>48</v>
      </c>
    </row>
    <row r="180" spans="2:14">
      <c r="B180" t="s">
        <v>48</v>
      </c>
      <c r="D180" s="84">
        <f>'Balance Sheet'!J66</f>
        <v>16083.58</v>
      </c>
      <c r="E180" s="84">
        <f>'Balance Sheet'!K66</f>
        <v>7602.76</v>
      </c>
      <c r="F180" s="84">
        <f>'Balance Sheet'!L66</f>
        <v>2896.5</v>
      </c>
      <c r="G180" s="84">
        <f>'Balance Sheet'!M66</f>
        <v>65334</v>
      </c>
      <c r="H180" s="84">
        <f>'Balance Sheet'!N66</f>
        <v>83727</v>
      </c>
      <c r="I180" s="84">
        <f>'Balance Sheet'!O66</f>
        <v>87657</v>
      </c>
      <c r="J180" s="151">
        <f>(I180*J181)+I180</f>
        <v>96422.7</v>
      </c>
      <c r="K180" s="151">
        <f t="shared" ref="K180:N180" si="106">(J180*K181)+J180</f>
        <v>104136.516</v>
      </c>
      <c r="L180" s="151">
        <f t="shared" si="106"/>
        <v>112467.43728</v>
      </c>
      <c r="M180" s="151">
        <f t="shared" si="106"/>
        <v>121464.8322624</v>
      </c>
      <c r="N180" s="151">
        <f t="shared" si="106"/>
        <v>131182.018843392</v>
      </c>
    </row>
    <row r="181" spans="2:14">
      <c r="B181" s="32" t="s">
        <v>49</v>
      </c>
      <c r="C181" s="32"/>
      <c r="D181" s="25"/>
      <c r="E181" s="25">
        <f>E180/D180-1</f>
        <v>-0.52729678342757014</v>
      </c>
      <c r="F181" s="25">
        <f t="shared" ref="F181:H181" si="107">F180/E180-1</f>
        <v>-0.61901993486575924</v>
      </c>
      <c r="G181" s="25">
        <f t="shared" si="107"/>
        <v>21.55618850336613</v>
      </c>
      <c r="H181" s="25">
        <f t="shared" si="107"/>
        <v>0.28152263752410689</v>
      </c>
      <c r="I181" s="25">
        <f>I180/H180-1</f>
        <v>4.6938263642552602E-2</v>
      </c>
      <c r="J181" s="25">
        <v>0.1</v>
      </c>
      <c r="K181" s="25">
        <v>0.08</v>
      </c>
      <c r="L181" s="25">
        <v>0.08</v>
      </c>
      <c r="M181" s="25">
        <v>0.08</v>
      </c>
      <c r="N181" s="25">
        <v>0.08</v>
      </c>
    </row>
    <row r="182" spans="2:14">
      <c r="B182" s="18"/>
      <c r="C182" s="18"/>
      <c r="D182" s="18"/>
      <c r="E182" s="18"/>
      <c r="F182" s="18"/>
      <c r="G182" s="18"/>
      <c r="H182" s="26"/>
      <c r="I182" s="26"/>
      <c r="J182" s="26"/>
      <c r="K182" s="26"/>
      <c r="L182" s="26"/>
      <c r="M182" s="26"/>
    </row>
    <row r="183" spans="2:14">
      <c r="B183" s="47" t="s">
        <v>50</v>
      </c>
      <c r="C183" s="18"/>
      <c r="D183" s="18"/>
      <c r="E183" s="18"/>
      <c r="F183" s="18"/>
      <c r="G183" s="18"/>
      <c r="H183" s="26"/>
      <c r="I183" s="26"/>
      <c r="J183" s="26"/>
      <c r="K183" s="26"/>
      <c r="L183" s="26"/>
      <c r="M183" s="26"/>
    </row>
    <row r="184" spans="2:14">
      <c r="B184" s="18"/>
      <c r="C184" s="18"/>
      <c r="D184" s="18"/>
      <c r="E184" s="18"/>
      <c r="F184" s="18"/>
      <c r="G184" s="18"/>
      <c r="H184" s="26"/>
      <c r="I184" s="26"/>
      <c r="J184" s="26"/>
      <c r="K184" s="26"/>
      <c r="L184" s="26"/>
      <c r="M184" s="26"/>
    </row>
    <row r="185" spans="2:14">
      <c r="B185" t="s">
        <v>39</v>
      </c>
      <c r="C185" s="18"/>
      <c r="D185" s="195">
        <f>D140-C140</f>
        <v>3164.18</v>
      </c>
      <c r="E185" s="195">
        <f t="shared" ref="E185:N185" si="108">E140-D140</f>
        <v>916.45000000000027</v>
      </c>
      <c r="F185" s="195">
        <f t="shared" si="108"/>
        <v>1830.04</v>
      </c>
      <c r="G185" s="195">
        <f t="shared" si="108"/>
        <v>337.32999999999993</v>
      </c>
      <c r="H185" s="195">
        <f t="shared" si="108"/>
        <v>1955</v>
      </c>
      <c r="I185" s="195">
        <f>I140-H140</f>
        <v>1645</v>
      </c>
      <c r="J185" s="253">
        <f t="shared" si="108"/>
        <v>1172.5544734246596</v>
      </c>
      <c r="K185" s="253">
        <f t="shared" si="108"/>
        <v>2158.3423961753415</v>
      </c>
      <c r="L185" s="253">
        <f t="shared" si="108"/>
        <v>2584.388400437585</v>
      </c>
      <c r="M185" s="253">
        <f t="shared" si="108"/>
        <v>3094.9163868408741</v>
      </c>
      <c r="N185" s="253">
        <f t="shared" si="108"/>
        <v>3706.723821319898</v>
      </c>
    </row>
    <row r="186" spans="2:14">
      <c r="B186" t="s">
        <v>37</v>
      </c>
      <c r="C186" s="18"/>
      <c r="D186" s="195">
        <f>D134-C134</f>
        <v>2189.7800000000002</v>
      </c>
      <c r="E186" s="195">
        <f t="shared" ref="E186:N186" si="109">E134-D134</f>
        <v>1139.4499999999998</v>
      </c>
      <c r="F186" s="195">
        <f t="shared" si="109"/>
        <v>1869.81</v>
      </c>
      <c r="G186" s="195">
        <f t="shared" si="109"/>
        <v>1225.96</v>
      </c>
      <c r="H186" s="195">
        <f t="shared" si="109"/>
        <v>972</v>
      </c>
      <c r="I186" s="195">
        <f>I134-H134</f>
        <v>-1401</v>
      </c>
      <c r="J186" s="253">
        <f t="shared" si="109"/>
        <v>7918.8415068493159</v>
      </c>
      <c r="K186" s="253">
        <f t="shared" si="109"/>
        <v>2725.1797931506844</v>
      </c>
      <c r="L186" s="253">
        <f t="shared" si="109"/>
        <v>3263.1166672191757</v>
      </c>
      <c r="M186" s="253">
        <f t="shared" si="109"/>
        <v>-854.44942491770053</v>
      </c>
      <c r="N186" s="253">
        <f t="shared" si="109"/>
        <v>3744.1654760807032</v>
      </c>
    </row>
    <row r="187" spans="2:14">
      <c r="B187" t="s">
        <v>42</v>
      </c>
      <c r="C187" s="18"/>
      <c r="D187" s="195">
        <f>D146-C146</f>
        <v>390.93</v>
      </c>
      <c r="E187" s="195">
        <f t="shared" ref="E187:N187" si="110">E146-D146</f>
        <v>241.45</v>
      </c>
      <c r="F187" s="195">
        <f t="shared" si="110"/>
        <v>37.350000000000023</v>
      </c>
      <c r="G187" s="195">
        <f t="shared" si="110"/>
        <v>359.27</v>
      </c>
      <c r="H187" s="195">
        <f t="shared" si="110"/>
        <v>1109</v>
      </c>
      <c r="I187" s="195">
        <f>I146-H146</f>
        <v>1261</v>
      </c>
      <c r="J187" s="253">
        <f t="shared" si="110"/>
        <v>1293.9194466000008</v>
      </c>
      <c r="K187" s="253">
        <f t="shared" si="110"/>
        <v>919.09413703799964</v>
      </c>
      <c r="L187" s="253">
        <f t="shared" si="110"/>
        <v>1100.5187271863388</v>
      </c>
      <c r="M187" s="253">
        <f t="shared" si="110"/>
        <v>1317.9185613964055</v>
      </c>
      <c r="N187" s="253">
        <f t="shared" si="110"/>
        <v>1578.4465605787227</v>
      </c>
    </row>
    <row r="188" spans="2:14">
      <c r="B188" t="s">
        <v>51</v>
      </c>
      <c r="C188" s="18"/>
      <c r="D188" s="195">
        <f>D151-C151</f>
        <v>9244.67</v>
      </c>
      <c r="E188" s="195">
        <f t="shared" ref="E188:M188" si="111">E151-D151</f>
        <v>-545.34999999999854</v>
      </c>
      <c r="F188" s="195">
        <f t="shared" si="111"/>
        <v>-3366.4300000000021</v>
      </c>
      <c r="G188" s="195">
        <f t="shared" si="111"/>
        <v>-702.88999999999942</v>
      </c>
      <c r="H188" s="195">
        <f t="shared" si="111"/>
        <v>11419</v>
      </c>
      <c r="I188" s="195">
        <f>I151-H151</f>
        <v>-1378</v>
      </c>
      <c r="J188" s="253">
        <f t="shared" si="111"/>
        <v>15802.502899999999</v>
      </c>
      <c r="K188" s="253">
        <f t="shared" si="111"/>
        <v>5968.1437470000019</v>
      </c>
      <c r="L188" s="253">
        <f t="shared" si="111"/>
        <v>7146.2255012099922</v>
      </c>
      <c r="M188" s="253">
        <f t="shared" si="111"/>
        <v>8557.9127363402949</v>
      </c>
      <c r="N188" s="253">
        <f>N151-M151</f>
        <v>10249.652990770926</v>
      </c>
    </row>
    <row r="189" spans="2:14">
      <c r="B189" s="39" t="s">
        <v>435</v>
      </c>
      <c r="C189" s="39"/>
      <c r="D189" s="135">
        <f t="shared" ref="D189:N189" si="112">SUM(D185:D188)</f>
        <v>14989.560000000001</v>
      </c>
      <c r="E189" s="135">
        <f t="shared" si="112"/>
        <v>1752.0000000000014</v>
      </c>
      <c r="F189" s="135">
        <f t="shared" si="112"/>
        <v>370.76999999999771</v>
      </c>
      <c r="G189" s="135">
        <f t="shared" si="112"/>
        <v>1219.6700000000005</v>
      </c>
      <c r="H189" s="135">
        <f t="shared" si="112"/>
        <v>15455</v>
      </c>
      <c r="I189" s="135">
        <f t="shared" si="112"/>
        <v>127</v>
      </c>
      <c r="J189" s="135">
        <f t="shared" si="112"/>
        <v>26187.818326873974</v>
      </c>
      <c r="K189" s="135">
        <f t="shared" si="112"/>
        <v>11770.760073364028</v>
      </c>
      <c r="L189" s="135">
        <f t="shared" si="112"/>
        <v>14094.249296053091</v>
      </c>
      <c r="M189" s="135">
        <f t="shared" si="112"/>
        <v>12116.298259659874</v>
      </c>
      <c r="N189" s="135">
        <f t="shared" si="112"/>
        <v>19278.98884875025</v>
      </c>
    </row>
    <row r="190" spans="2:14">
      <c r="B190" s="18"/>
      <c r="C190" s="18"/>
      <c r="D190" s="18"/>
      <c r="E190" s="18"/>
      <c r="F190" s="18"/>
      <c r="G190" s="18"/>
      <c r="H190" s="26"/>
      <c r="I190" s="26"/>
      <c r="J190" s="26"/>
      <c r="K190" s="26"/>
      <c r="L190" s="26"/>
      <c r="M190" s="26"/>
    </row>
    <row r="191" spans="2:14">
      <c r="B191" t="s">
        <v>46</v>
      </c>
      <c r="C191" s="18"/>
      <c r="D191" s="158">
        <f t="shared" ref="D191:N191" si="113">D161-C161</f>
        <v>15513.289999999999</v>
      </c>
      <c r="E191" s="158">
        <f t="shared" si="113"/>
        <v>16004.910000000002</v>
      </c>
      <c r="F191" s="158">
        <f t="shared" si="113"/>
        <v>571.68999999999869</v>
      </c>
      <c r="G191" s="158">
        <f t="shared" si="113"/>
        <v>-513.88999999999942</v>
      </c>
      <c r="H191" s="158">
        <f t="shared" si="113"/>
        <v>10180</v>
      </c>
      <c r="I191" s="158">
        <f t="shared" si="113"/>
        <v>8149</v>
      </c>
      <c r="J191" s="191">
        <f t="shared" si="113"/>
        <v>5197.7723671233034</v>
      </c>
      <c r="K191" s="191">
        <f t="shared" si="113"/>
        <v>10791.711980876695</v>
      </c>
      <c r="L191" s="191">
        <f t="shared" si="113"/>
        <v>-214.12905617672368</v>
      </c>
      <c r="M191" s="191">
        <f t="shared" si="113"/>
        <v>12895.484945170319</v>
      </c>
      <c r="N191" s="191">
        <f t="shared" si="113"/>
        <v>15444.682588832904</v>
      </c>
    </row>
    <row r="192" spans="2:14">
      <c r="B192" t="s">
        <v>219</v>
      </c>
      <c r="C192" s="18"/>
      <c r="D192" s="158">
        <f t="shared" ref="D192:N192" si="114">D176-C176</f>
        <v>30.76</v>
      </c>
      <c r="E192" s="158">
        <f t="shared" si="114"/>
        <v>0</v>
      </c>
      <c r="F192" s="158">
        <f t="shared" si="114"/>
        <v>0</v>
      </c>
      <c r="G192" s="158">
        <f t="shared" si="114"/>
        <v>5859.24</v>
      </c>
      <c r="H192" s="158">
        <f t="shared" si="114"/>
        <v>11578</v>
      </c>
      <c r="I192" s="158">
        <f t="shared" si="114"/>
        <v>8742</v>
      </c>
      <c r="J192" s="191">
        <f t="shared" si="114"/>
        <v>4263.5028999999995</v>
      </c>
      <c r="K192" s="191">
        <f t="shared" si="114"/>
        <v>5968.1437470000019</v>
      </c>
      <c r="L192" s="191">
        <f t="shared" si="114"/>
        <v>7146.2255012099922</v>
      </c>
      <c r="M192" s="191">
        <f t="shared" si="114"/>
        <v>-8824.0155585097964</v>
      </c>
      <c r="N192" s="191">
        <f t="shared" si="114"/>
        <v>6833.1019938472818</v>
      </c>
    </row>
    <row r="193" spans="2:14">
      <c r="B193" t="s">
        <v>52</v>
      </c>
      <c r="C193" s="18"/>
      <c r="D193" s="158">
        <f t="shared" ref="D193:N193" si="115">D180-C180</f>
        <v>16083.58</v>
      </c>
      <c r="E193" s="158">
        <f t="shared" si="115"/>
        <v>-8480.82</v>
      </c>
      <c r="F193" s="158">
        <f t="shared" si="115"/>
        <v>-4706.26</v>
      </c>
      <c r="G193" s="158">
        <f t="shared" si="115"/>
        <v>62437.5</v>
      </c>
      <c r="H193" s="158">
        <f t="shared" si="115"/>
        <v>18393</v>
      </c>
      <c r="I193" s="158">
        <f t="shared" si="115"/>
        <v>3930</v>
      </c>
      <c r="J193" s="191">
        <f t="shared" si="115"/>
        <v>8765.6999999999971</v>
      </c>
      <c r="K193" s="191">
        <f t="shared" si="115"/>
        <v>7713.8160000000062</v>
      </c>
      <c r="L193" s="191">
        <f t="shared" si="115"/>
        <v>8330.921279999995</v>
      </c>
      <c r="M193" s="191">
        <f t="shared" si="115"/>
        <v>8997.394982400001</v>
      </c>
      <c r="N193" s="191">
        <f t="shared" si="115"/>
        <v>9717.1865809919982</v>
      </c>
    </row>
    <row r="194" spans="2:14">
      <c r="B194" t="s">
        <v>385</v>
      </c>
      <c r="C194" s="18"/>
      <c r="D194" s="158">
        <f>D171-C171</f>
        <v>47234.6</v>
      </c>
      <c r="E194" s="158">
        <f t="shared" ref="E194:N194" si="116">E171-D171</f>
        <v>-10306.010000000002</v>
      </c>
      <c r="F194" s="158">
        <f t="shared" si="116"/>
        <v>-11026.999999999996</v>
      </c>
      <c r="G194" s="158">
        <f t="shared" si="116"/>
        <v>44607.41</v>
      </c>
      <c r="H194" s="158">
        <f t="shared" si="116"/>
        <v>7014</v>
      </c>
      <c r="I194" s="158">
        <f t="shared" si="116"/>
        <v>8537</v>
      </c>
      <c r="J194" s="191">
        <f t="shared" si="116"/>
        <v>5360.5087000000058</v>
      </c>
      <c r="K194" s="191">
        <f t="shared" si="116"/>
        <v>17904.431240999998</v>
      </c>
      <c r="L194" s="191">
        <f t="shared" si="116"/>
        <v>6909.3857875599788</v>
      </c>
      <c r="M194" s="191">
        <f t="shared" si="116"/>
        <v>22821.100630240806</v>
      </c>
      <c r="N194" s="191">
        <f t="shared" si="116"/>
        <v>27332.407975389127</v>
      </c>
    </row>
    <row r="195" spans="2:14">
      <c r="B195" s="39" t="s">
        <v>81</v>
      </c>
      <c r="C195" s="39"/>
      <c r="D195" s="135">
        <f t="shared" ref="D195:I195" si="117">SUM(D191:D193)</f>
        <v>31627.629999999997</v>
      </c>
      <c r="E195" s="135">
        <f t="shared" si="117"/>
        <v>7524.090000000002</v>
      </c>
      <c r="F195" s="135">
        <f t="shared" si="117"/>
        <v>-4134.5700000000015</v>
      </c>
      <c r="G195" s="135">
        <f t="shared" si="117"/>
        <v>67782.850000000006</v>
      </c>
      <c r="H195" s="135">
        <f t="shared" si="117"/>
        <v>40151</v>
      </c>
      <c r="I195" s="135">
        <f t="shared" si="117"/>
        <v>20821</v>
      </c>
      <c r="J195" s="135">
        <f>SUM(J191:J194)</f>
        <v>23587.483967123306</v>
      </c>
      <c r="K195" s="135">
        <f t="shared" ref="K195:N195" si="118">SUM(K191:K194)</f>
        <v>42378.102968876701</v>
      </c>
      <c r="L195" s="135">
        <f t="shared" si="118"/>
        <v>22172.403512593242</v>
      </c>
      <c r="M195" s="135">
        <f t="shared" si="118"/>
        <v>35889.96499930133</v>
      </c>
      <c r="N195" s="135">
        <f t="shared" si="118"/>
        <v>59327.379139061311</v>
      </c>
    </row>
    <row r="196" spans="2:14">
      <c r="B196" s="18"/>
      <c r="C196" s="18"/>
      <c r="D196" s="18"/>
      <c r="E196" s="18"/>
      <c r="F196" s="18"/>
      <c r="G196" s="18"/>
      <c r="H196" s="48"/>
      <c r="I196" s="49"/>
      <c r="J196" s="49"/>
      <c r="K196" s="49"/>
      <c r="L196" s="49"/>
      <c r="M196" s="49"/>
    </row>
    <row r="197" spans="2:14">
      <c r="B197" s="18" t="s">
        <v>436</v>
      </c>
      <c r="C197" s="18"/>
      <c r="D197" s="163">
        <f t="shared" ref="D197:N197" si="119">D189-D195</f>
        <v>-16638.069999999996</v>
      </c>
      <c r="E197" s="163">
        <f t="shared" si="119"/>
        <v>-5772.09</v>
      </c>
      <c r="F197" s="163">
        <f t="shared" si="119"/>
        <v>4505.3399999999992</v>
      </c>
      <c r="G197" s="163">
        <f t="shared" si="119"/>
        <v>-66563.180000000008</v>
      </c>
      <c r="H197" s="163">
        <f t="shared" si="119"/>
        <v>-24696</v>
      </c>
      <c r="I197" s="163">
        <f t="shared" si="119"/>
        <v>-20694</v>
      </c>
      <c r="J197" s="163">
        <f t="shared" si="119"/>
        <v>2600.3343597506682</v>
      </c>
      <c r="K197" s="163">
        <f t="shared" si="119"/>
        <v>-30607.342895512673</v>
      </c>
      <c r="L197" s="163">
        <f t="shared" si="119"/>
        <v>-8078.1542165401515</v>
      </c>
      <c r="M197" s="163">
        <f t="shared" si="119"/>
        <v>-23773.666739641456</v>
      </c>
      <c r="N197" s="163">
        <f t="shared" si="119"/>
        <v>-40048.390290311057</v>
      </c>
    </row>
    <row r="198" spans="2:14">
      <c r="B198" s="47"/>
      <c r="C198" s="18"/>
      <c r="D198" s="163"/>
      <c r="E198" s="163"/>
      <c r="F198" s="163"/>
      <c r="G198" s="163"/>
      <c r="H198" s="163"/>
      <c r="I198" s="163"/>
      <c r="J198" s="163"/>
      <c r="K198" s="163"/>
      <c r="L198" s="163"/>
      <c r="M198" s="163"/>
      <c r="N198" s="163"/>
    </row>
    <row r="199" spans="2:14">
      <c r="B199" s="47" t="s">
        <v>425</v>
      </c>
      <c r="C199" s="18"/>
      <c r="D199" s="163"/>
      <c r="E199" s="163"/>
      <c r="F199" s="163"/>
      <c r="G199" s="163"/>
      <c r="H199" s="163"/>
      <c r="I199" s="163"/>
      <c r="J199" s="163"/>
      <c r="K199" s="163"/>
      <c r="L199" s="163"/>
      <c r="M199" s="163"/>
      <c r="N199" s="163"/>
    </row>
    <row r="200" spans="2:14">
      <c r="B200" s="19" t="s">
        <v>411</v>
      </c>
      <c r="C200" s="18"/>
      <c r="D200" s="158">
        <f>'Balance Sheet'!J49</f>
        <v>3816.28</v>
      </c>
      <c r="E200" s="158">
        <f>'Balance Sheet'!K49</f>
        <v>4161.71</v>
      </c>
      <c r="F200" s="158">
        <f>'Balance Sheet'!L49</f>
        <v>0</v>
      </c>
      <c r="G200" s="158">
        <f>'Balance Sheet'!M49</f>
        <v>0</v>
      </c>
      <c r="H200" s="158">
        <f>'Balance Sheet'!N49</f>
        <v>0</v>
      </c>
      <c r="I200" s="158">
        <f>'Balance Sheet'!O49</f>
        <v>0</v>
      </c>
      <c r="J200" s="171">
        <f>I200</f>
        <v>0</v>
      </c>
      <c r="K200" s="171">
        <f t="shared" ref="K200:N200" si="120">J200</f>
        <v>0</v>
      </c>
      <c r="L200" s="171">
        <f t="shared" si="120"/>
        <v>0</v>
      </c>
      <c r="M200" s="171">
        <f t="shared" si="120"/>
        <v>0</v>
      </c>
      <c r="N200" s="171">
        <f t="shared" si="120"/>
        <v>0</v>
      </c>
    </row>
    <row r="201" spans="2:14">
      <c r="B201" s="19" t="s">
        <v>426</v>
      </c>
      <c r="C201" s="18"/>
      <c r="D201" s="158">
        <f>'Balance Sheet'!J50</f>
        <v>202805.34</v>
      </c>
      <c r="E201" s="158">
        <f>'Balance Sheet'!K50</f>
        <v>250586.59</v>
      </c>
      <c r="F201" s="158">
        <f>'Balance Sheet'!L50</f>
        <v>322246.09000000003</v>
      </c>
      <c r="G201" s="158">
        <f>'Balance Sheet'!M50</f>
        <v>378635</v>
      </c>
      <c r="H201" s="158">
        <f>'Balance Sheet'!N50</f>
        <v>546683</v>
      </c>
      <c r="I201" s="158">
        <f>'Balance Sheet'!O50</f>
        <v>644705</v>
      </c>
      <c r="J201" s="227">
        <f>I201*J202+I201</f>
        <v>676940.25</v>
      </c>
      <c r="K201" s="227">
        <f t="shared" ref="K201:N201" si="121">J201*K202+J201</f>
        <v>710787.26249999995</v>
      </c>
      <c r="L201" s="227">
        <f t="shared" si="121"/>
        <v>746326.62562499999</v>
      </c>
      <c r="M201" s="227">
        <f t="shared" si="121"/>
        <v>761253.15813749994</v>
      </c>
      <c r="N201" s="227">
        <f t="shared" si="121"/>
        <v>776478.22130024992</v>
      </c>
    </row>
    <row r="202" spans="2:14">
      <c r="B202" s="19"/>
      <c r="C202" s="18"/>
      <c r="D202" s="158"/>
      <c r="E202" s="153">
        <f>E201/D201-1</f>
        <v>0.2356015379082228</v>
      </c>
      <c r="F202" s="153">
        <f t="shared" ref="F202:H202" si="122">F201/E201-1</f>
        <v>0.28596701842664451</v>
      </c>
      <c r="G202" s="153">
        <f t="shared" si="122"/>
        <v>0.17498710380008009</v>
      </c>
      <c r="H202" s="153">
        <f t="shared" si="122"/>
        <v>0.44382584811229808</v>
      </c>
      <c r="I202" s="153">
        <f>I201/H201-1</f>
        <v>0.17930317935622653</v>
      </c>
      <c r="J202" s="228">
        <v>0.05</v>
      </c>
      <c r="K202" s="228">
        <v>0.05</v>
      </c>
      <c r="L202" s="228">
        <v>0.05</v>
      </c>
      <c r="M202" s="228">
        <v>0.02</v>
      </c>
      <c r="N202" s="228">
        <v>0.02</v>
      </c>
    </row>
    <row r="203" spans="2:14">
      <c r="B203" s="19"/>
      <c r="C203" s="18"/>
      <c r="D203" s="158"/>
      <c r="E203" s="158"/>
      <c r="F203" s="158"/>
      <c r="G203" s="158"/>
      <c r="H203" s="158"/>
      <c r="I203" s="158"/>
      <c r="J203" s="163"/>
      <c r="K203" s="163"/>
      <c r="L203" s="163"/>
      <c r="M203" s="163"/>
      <c r="N203" s="163"/>
    </row>
    <row r="204" spans="2:14">
      <c r="B204" s="18" t="s">
        <v>427</v>
      </c>
      <c r="C204" s="18"/>
      <c r="D204" s="163">
        <f t="shared" ref="D204:N204" si="123">D200+D201</f>
        <v>206621.62</v>
      </c>
      <c r="E204" s="163">
        <f t="shared" si="123"/>
        <v>254748.3</v>
      </c>
      <c r="F204" s="163">
        <f t="shared" si="123"/>
        <v>322246.09000000003</v>
      </c>
      <c r="G204" s="163">
        <f t="shared" si="123"/>
        <v>378635</v>
      </c>
      <c r="H204" s="163">
        <f t="shared" si="123"/>
        <v>546683</v>
      </c>
      <c r="I204" s="163">
        <f t="shared" si="123"/>
        <v>644705</v>
      </c>
      <c r="J204" s="163">
        <f t="shared" si="123"/>
        <v>676940.25</v>
      </c>
      <c r="K204" s="163">
        <f t="shared" si="123"/>
        <v>710787.26249999995</v>
      </c>
      <c r="L204" s="163">
        <f t="shared" si="123"/>
        <v>746326.62562499999</v>
      </c>
      <c r="M204" s="163">
        <f t="shared" si="123"/>
        <v>761253.15813749994</v>
      </c>
      <c r="N204" s="163">
        <f t="shared" si="123"/>
        <v>776478.22130024992</v>
      </c>
    </row>
    <row r="205" spans="2:14">
      <c r="B205" s="47"/>
      <c r="C205" s="18"/>
      <c r="D205" s="163"/>
      <c r="E205" s="163"/>
      <c r="F205" s="163"/>
      <c r="G205" s="163"/>
      <c r="H205" s="163"/>
      <c r="I205" s="163"/>
      <c r="J205" s="163"/>
      <c r="K205" s="163"/>
      <c r="L205" s="163"/>
      <c r="M205" s="163"/>
      <c r="N205" s="163"/>
    </row>
    <row r="206" spans="2:14">
      <c r="B206" s="47" t="s">
        <v>428</v>
      </c>
      <c r="C206" s="18"/>
      <c r="D206" s="163">
        <f t="shared" ref="D206:N206" si="124">D204+D166</f>
        <v>298596.53999999998</v>
      </c>
      <c r="E206" s="163">
        <f t="shared" si="124"/>
        <v>368778.37</v>
      </c>
      <c r="F206" s="163">
        <f t="shared" si="124"/>
        <v>448542.13</v>
      </c>
      <c r="G206" s="163">
        <f t="shared" si="124"/>
        <v>512801</v>
      </c>
      <c r="H206" s="163">
        <f t="shared" si="124"/>
        <v>668098</v>
      </c>
      <c r="I206" s="163">
        <f t="shared" si="124"/>
        <v>777492</v>
      </c>
      <c r="J206" s="163">
        <f t="shared" si="124"/>
        <v>819149.93020000006</v>
      </c>
      <c r="K206" s="163">
        <f t="shared" si="124"/>
        <v>880848.28018600005</v>
      </c>
      <c r="L206" s="163">
        <f t="shared" si="124"/>
        <v>949736.69564997999</v>
      </c>
      <c r="M206" s="163">
        <f t="shared" si="124"/>
        <v>1004600.1542654013</v>
      </c>
      <c r="N206" s="163">
        <f t="shared" si="124"/>
        <v>1067656.9313850822</v>
      </c>
    </row>
    <row r="207" spans="2:14">
      <c r="B207" s="47"/>
      <c r="C207" s="18"/>
      <c r="D207" s="163"/>
      <c r="E207" s="163"/>
      <c r="F207" s="163"/>
      <c r="G207" s="163"/>
      <c r="H207" s="163"/>
      <c r="I207" s="163"/>
      <c r="J207" s="163"/>
      <c r="K207" s="163"/>
      <c r="L207" s="163"/>
      <c r="M207" s="163"/>
      <c r="N207" s="163"/>
    </row>
    <row r="208" spans="2:14">
      <c r="B208" s="47" t="s">
        <v>385</v>
      </c>
      <c r="C208" s="18"/>
      <c r="D208" s="26"/>
      <c r="E208" s="26"/>
      <c r="F208" s="26"/>
      <c r="G208" s="26"/>
      <c r="H208" s="26"/>
      <c r="I208" s="26"/>
      <c r="J208" s="26"/>
      <c r="K208" s="26"/>
      <c r="L208" s="26"/>
      <c r="M208" s="26"/>
      <c r="N208" s="26"/>
    </row>
    <row r="209" spans="2:14">
      <c r="B209" s="19" t="s">
        <v>22</v>
      </c>
      <c r="C209" s="18"/>
      <c r="D209" s="196">
        <f t="shared" ref="D209:N209" si="125">D13</f>
        <v>146406.31</v>
      </c>
      <c r="E209" s="196">
        <f t="shared" si="125"/>
        <v>259309.27</v>
      </c>
      <c r="F209" s="196">
        <f t="shared" si="125"/>
        <v>544464.53</v>
      </c>
      <c r="G209" s="196">
        <f t="shared" si="125"/>
        <v>689043</v>
      </c>
      <c r="H209" s="196">
        <f t="shared" si="125"/>
        <v>808029</v>
      </c>
      <c r="I209" s="196">
        <f t="shared" si="125"/>
        <v>849619</v>
      </c>
      <c r="J209" s="227">
        <f t="shared" si="125"/>
        <v>1015783.43</v>
      </c>
      <c r="K209" s="227">
        <f t="shared" si="125"/>
        <v>1214721.5549000001</v>
      </c>
      <c r="L209" s="227">
        <f t="shared" si="125"/>
        <v>1452929.0716069997</v>
      </c>
      <c r="M209" s="227">
        <f t="shared" si="125"/>
        <v>1738192.8294850097</v>
      </c>
      <c r="N209" s="227">
        <f t="shared" si="125"/>
        <v>2079847.9291773739</v>
      </c>
    </row>
    <row r="210" spans="2:14">
      <c r="B210" s="19" t="s">
        <v>385</v>
      </c>
      <c r="C210" s="18"/>
      <c r="D210" s="196">
        <f>'Balance Sheet'!J51</f>
        <v>26049.29</v>
      </c>
      <c r="E210" s="196">
        <f>'Balance Sheet'!K51</f>
        <v>33093</v>
      </c>
      <c r="F210" s="196">
        <f>'Balance Sheet'!L51</f>
        <v>78811.100000000006</v>
      </c>
      <c r="G210" s="196">
        <f>'Balance Sheet'!M51</f>
        <v>92343</v>
      </c>
      <c r="H210" s="196">
        <f>'Balance Sheet'!N51</f>
        <v>151192</v>
      </c>
      <c r="I210" s="196">
        <f>'Balance Sheet'!O51</f>
        <v>229111</v>
      </c>
      <c r="J210" s="227">
        <f>J209*J211</f>
        <v>284419.36040000006</v>
      </c>
      <c r="K210" s="227">
        <f t="shared" ref="K210:N210" si="126">K209*K211</f>
        <v>340122.03537200007</v>
      </c>
      <c r="L210" s="227">
        <f t="shared" si="126"/>
        <v>319644.39575353992</v>
      </c>
      <c r="M210" s="227">
        <f t="shared" si="126"/>
        <v>330256.63760215184</v>
      </c>
      <c r="N210" s="227">
        <f t="shared" si="126"/>
        <v>353574.14796015358</v>
      </c>
    </row>
    <row r="211" spans="2:14">
      <c r="B211" s="32" t="s">
        <v>386</v>
      </c>
      <c r="C211" s="32"/>
      <c r="D211" s="25">
        <f>D210/D209</f>
        <v>0.17792463999673239</v>
      </c>
      <c r="E211" s="25">
        <f t="shared" ref="E211:I211" si="127">E210/E209</f>
        <v>0.12761981089222149</v>
      </c>
      <c r="F211" s="25">
        <f t="shared" si="127"/>
        <v>0.14474974154882045</v>
      </c>
      <c r="G211" s="25">
        <f t="shared" si="127"/>
        <v>0.13401630957719621</v>
      </c>
      <c r="H211" s="25">
        <f t="shared" si="127"/>
        <v>0.18711209622426919</v>
      </c>
      <c r="I211" s="25">
        <f t="shared" si="127"/>
        <v>0.2696632255163785</v>
      </c>
      <c r="J211" s="25">
        <v>0.28000000000000003</v>
      </c>
      <c r="K211" s="25">
        <v>0.28000000000000003</v>
      </c>
      <c r="L211" s="25">
        <v>0.22</v>
      </c>
      <c r="M211" s="25">
        <v>0.19</v>
      </c>
      <c r="N211" s="25">
        <v>0.17</v>
      </c>
    </row>
    <row r="212" spans="2:14">
      <c r="B212" s="47"/>
      <c r="C212" s="18"/>
      <c r="D212" s="220"/>
      <c r="E212" s="163"/>
      <c r="F212" s="163"/>
      <c r="G212" s="163"/>
      <c r="H212" s="163"/>
      <c r="I212" s="163"/>
      <c r="J212" s="163"/>
      <c r="K212" s="163"/>
      <c r="L212" s="163"/>
      <c r="M212" s="163"/>
      <c r="N212" s="163"/>
    </row>
    <row r="213" spans="2:14">
      <c r="B213" s="41" t="s">
        <v>219</v>
      </c>
      <c r="G213" s="34"/>
    </row>
    <row r="214" spans="2:14">
      <c r="B214" t="s">
        <v>219</v>
      </c>
      <c r="D214" s="84">
        <f>'Balance Sheet'!J52</f>
        <v>5522.94</v>
      </c>
      <c r="E214" s="84">
        <f>'Balance Sheet'!K52</f>
        <v>5896.88</v>
      </c>
      <c r="F214" s="84">
        <f>'Balance Sheet'!L52</f>
        <v>13364.54</v>
      </c>
      <c r="G214" s="84">
        <f>'Balance Sheet'!M52</f>
        <v>22301</v>
      </c>
      <c r="H214" s="84">
        <f>'Balance Sheet'!N52</f>
        <v>24079</v>
      </c>
      <c r="I214" s="84">
        <f>'Balance Sheet'!O52</f>
        <v>33100</v>
      </c>
      <c r="J214" s="151">
        <f>I214*J215+I214</f>
        <v>39720</v>
      </c>
      <c r="K214" s="151">
        <f t="shared" ref="K214:N214" si="128">J214*K215+J214</f>
        <v>47664</v>
      </c>
      <c r="L214" s="151">
        <f t="shared" si="128"/>
        <v>57196.800000000003</v>
      </c>
      <c r="M214" s="151">
        <f t="shared" si="128"/>
        <v>68636.160000000003</v>
      </c>
      <c r="N214" s="151">
        <f t="shared" si="128"/>
        <v>82363.392000000007</v>
      </c>
    </row>
    <row r="215" spans="2:14">
      <c r="B215" s="32" t="s">
        <v>388</v>
      </c>
      <c r="C215" s="24"/>
      <c r="D215" s="36"/>
      <c r="E215" s="36">
        <f>E214/D214-1</f>
        <v>6.7706692450035799E-2</v>
      </c>
      <c r="F215" s="36">
        <f t="shared" ref="F215:H215" si="129">F214/E214-1</f>
        <v>1.2663747608905047</v>
      </c>
      <c r="G215" s="36">
        <f t="shared" si="129"/>
        <v>0.66866947908420338</v>
      </c>
      <c r="H215" s="36">
        <f t="shared" si="129"/>
        <v>7.9727366485807805E-2</v>
      </c>
      <c r="I215" s="36">
        <f>I214/H214-1</f>
        <v>0.37464180406163039</v>
      </c>
      <c r="J215" s="36">
        <v>0.2</v>
      </c>
      <c r="K215" s="36">
        <v>0.2</v>
      </c>
      <c r="L215" s="36">
        <v>0.2</v>
      </c>
      <c r="M215" s="36">
        <v>0.2</v>
      </c>
      <c r="N215" s="36">
        <v>0.2</v>
      </c>
    </row>
    <row r="216" spans="2:14">
      <c r="B216" s="47"/>
      <c r="C216" s="18"/>
      <c r="D216" s="220">
        <f>AVERAGE(D215:I215)</f>
        <v>0.49142402059443635</v>
      </c>
      <c r="E216" s="163"/>
      <c r="F216" s="163"/>
      <c r="G216" s="163"/>
      <c r="H216" s="163"/>
      <c r="I216" s="163"/>
      <c r="J216" s="163"/>
      <c r="K216" s="163"/>
      <c r="L216" s="163"/>
      <c r="M216" s="163"/>
      <c r="N216" s="158"/>
    </row>
    <row r="217" spans="2:14">
      <c r="B217" s="47"/>
      <c r="C217" s="18"/>
      <c r="D217" s="220"/>
      <c r="E217" s="163"/>
      <c r="F217" s="163"/>
      <c r="G217" s="163"/>
      <c r="H217" s="163"/>
      <c r="I217" s="163"/>
      <c r="J217" s="163"/>
      <c r="K217" s="163"/>
      <c r="L217" s="163"/>
      <c r="M217" s="163"/>
      <c r="N217" s="158"/>
    </row>
    <row r="218" spans="2:14">
      <c r="B218" s="41" t="s">
        <v>221</v>
      </c>
      <c r="G218" s="34"/>
    </row>
    <row r="219" spans="2:14">
      <c r="B219" t="s">
        <v>38</v>
      </c>
      <c r="D219" s="111">
        <f t="shared" ref="D219:N219" si="130">D13</f>
        <v>146406.31</v>
      </c>
      <c r="E219" s="111">
        <f t="shared" si="130"/>
        <v>259309.27</v>
      </c>
      <c r="F219" s="111">
        <f t="shared" si="130"/>
        <v>544464.53</v>
      </c>
      <c r="G219" s="111">
        <f t="shared" si="130"/>
        <v>689043</v>
      </c>
      <c r="H219" s="111">
        <f t="shared" si="130"/>
        <v>808029</v>
      </c>
      <c r="I219" s="111">
        <f t="shared" si="130"/>
        <v>849619</v>
      </c>
      <c r="J219" s="141">
        <f t="shared" si="130"/>
        <v>1015783.43</v>
      </c>
      <c r="K219" s="141">
        <f t="shared" si="130"/>
        <v>1214721.5549000001</v>
      </c>
      <c r="L219" s="141">
        <f t="shared" si="130"/>
        <v>1452929.0716069997</v>
      </c>
      <c r="M219" s="141">
        <f t="shared" si="130"/>
        <v>1738192.8294850097</v>
      </c>
      <c r="N219" s="141">
        <f t="shared" si="130"/>
        <v>2079847.9291773739</v>
      </c>
    </row>
    <row r="220" spans="2:14">
      <c r="B220" t="s">
        <v>221</v>
      </c>
      <c r="D220" s="84">
        <f>'Balance Sheet'!J54</f>
        <v>241.9</v>
      </c>
      <c r="E220" s="84">
        <f>'Balance Sheet'!K54</f>
        <v>342.79</v>
      </c>
      <c r="F220" s="84">
        <f>'Balance Sheet'!L54</f>
        <v>451.97</v>
      </c>
      <c r="G220" s="84">
        <f>'Balance Sheet'!M54</f>
        <v>717</v>
      </c>
      <c r="H220" s="84">
        <f>'Balance Sheet'!N54</f>
        <v>573</v>
      </c>
      <c r="I220" s="84">
        <f>'Balance Sheet'!O54</f>
        <v>521</v>
      </c>
      <c r="J220" s="151">
        <f>J219*J221</f>
        <v>1015.7834300000001</v>
      </c>
      <c r="K220" s="151">
        <f>K219*K221</f>
        <v>1214.7215549000002</v>
      </c>
      <c r="L220" s="151">
        <f t="shared" ref="L220:N220" si="131">L219*L221</f>
        <v>1452.9290716069997</v>
      </c>
      <c r="M220" s="151">
        <f t="shared" si="131"/>
        <v>1738.1928294850097</v>
      </c>
      <c r="N220" s="151">
        <f t="shared" si="131"/>
        <v>2079.8479291773738</v>
      </c>
    </row>
    <row r="221" spans="2:14">
      <c r="B221" s="32" t="s">
        <v>388</v>
      </c>
      <c r="C221" s="24"/>
      <c r="D221" s="36">
        <f>D220/D219</f>
        <v>1.6522511905395336E-3</v>
      </c>
      <c r="E221" s="36">
        <f t="shared" ref="E221:I221" si="132">E220/E219</f>
        <v>1.3219350006268577E-3</v>
      </c>
      <c r="F221" s="36">
        <f t="shared" si="132"/>
        <v>8.3011835500101353E-4</v>
      </c>
      <c r="G221" s="36">
        <f t="shared" si="132"/>
        <v>1.0405736652139271E-3</v>
      </c>
      <c r="H221" s="36">
        <f t="shared" si="132"/>
        <v>7.0913296428717291E-4</v>
      </c>
      <c r="I221" s="36">
        <f t="shared" si="132"/>
        <v>6.1321604154332702E-4</v>
      </c>
      <c r="J221" s="36">
        <v>1E-3</v>
      </c>
      <c r="K221" s="36">
        <v>1E-3</v>
      </c>
      <c r="L221" s="36">
        <v>1E-3</v>
      </c>
      <c r="M221" s="36">
        <v>1E-3</v>
      </c>
      <c r="N221" s="36">
        <v>1E-3</v>
      </c>
    </row>
    <row r="222" spans="2:14" s="19" customFormat="1">
      <c r="B222" s="47"/>
      <c r="C222" s="18"/>
      <c r="D222" s="220">
        <f>AVERAGE(D221:I221)</f>
        <v>1.0278712028686384E-3</v>
      </c>
      <c r="E222" s="163"/>
      <c r="F222" s="163"/>
      <c r="G222" s="163"/>
      <c r="H222" s="163"/>
      <c r="I222" s="163"/>
      <c r="J222" s="163"/>
      <c r="K222" s="163"/>
      <c r="L222" s="163"/>
      <c r="M222" s="163"/>
      <c r="N222" s="158"/>
    </row>
    <row r="223" spans="2:14">
      <c r="B223" s="47"/>
      <c r="C223" s="18"/>
      <c r="D223" s="220"/>
      <c r="E223" s="163"/>
      <c r="F223" s="163"/>
      <c r="G223" s="163"/>
      <c r="H223" s="163"/>
      <c r="I223" s="163"/>
      <c r="J223" s="163"/>
      <c r="K223" s="163"/>
      <c r="L223" s="163"/>
      <c r="M223" s="163"/>
    </row>
    <row r="224" spans="2:14">
      <c r="B224" s="41" t="s">
        <v>222</v>
      </c>
    </row>
    <row r="225" spans="1:14">
      <c r="B225" t="s">
        <v>38</v>
      </c>
      <c r="D225" s="111">
        <f t="shared" ref="D225:N225" si="133">D13</f>
        <v>146406.31</v>
      </c>
      <c r="E225" s="111">
        <f t="shared" si="133"/>
        <v>259309.27</v>
      </c>
      <c r="F225" s="111">
        <f t="shared" si="133"/>
        <v>544464.53</v>
      </c>
      <c r="G225" s="111">
        <f t="shared" si="133"/>
        <v>689043</v>
      </c>
      <c r="H225" s="111">
        <f t="shared" si="133"/>
        <v>808029</v>
      </c>
      <c r="I225" s="111">
        <f t="shared" si="133"/>
        <v>849619</v>
      </c>
      <c r="J225" s="141">
        <f t="shared" si="133"/>
        <v>1015783.43</v>
      </c>
      <c r="K225" s="141">
        <f t="shared" si="133"/>
        <v>1214721.5549000001</v>
      </c>
      <c r="L225" s="141">
        <f t="shared" si="133"/>
        <v>1452929.0716069997</v>
      </c>
      <c r="M225" s="141">
        <f t="shared" si="133"/>
        <v>1738192.8294850097</v>
      </c>
      <c r="N225" s="141">
        <f t="shared" si="133"/>
        <v>2079847.9291773739</v>
      </c>
    </row>
    <row r="226" spans="1:14">
      <c r="B226" t="s">
        <v>222</v>
      </c>
      <c r="D226" s="84">
        <f>'Balance Sheet'!J55</f>
        <v>1730.27</v>
      </c>
      <c r="E226" s="84">
        <f>'Balance Sheet'!K55</f>
        <v>1254.23</v>
      </c>
      <c r="F226" s="84">
        <f>'Balance Sheet'!L55</f>
        <v>778.19</v>
      </c>
      <c r="G226" s="84">
        <f>'Balance Sheet'!M55</f>
        <v>302</v>
      </c>
      <c r="H226" s="84">
        <f>'Balance Sheet'!N55</f>
        <v>48</v>
      </c>
      <c r="I226" s="84">
        <f>'Balance Sheet'!O55</f>
        <v>0</v>
      </c>
      <c r="J226" s="151">
        <f>J225*J227</f>
        <v>0</v>
      </c>
      <c r="K226" s="151">
        <f>K225*K227</f>
        <v>0</v>
      </c>
      <c r="L226" s="151">
        <f t="shared" ref="L226" si="134">L225*L227</f>
        <v>0</v>
      </c>
      <c r="M226" s="151">
        <f t="shared" ref="M226" si="135">M225*M227</f>
        <v>0</v>
      </c>
      <c r="N226" s="151">
        <f t="shared" ref="N226" si="136">N225*N227</f>
        <v>0</v>
      </c>
    </row>
    <row r="227" spans="1:14">
      <c r="B227" s="32" t="s">
        <v>388</v>
      </c>
      <c r="C227" s="24"/>
      <c r="D227" s="36">
        <f>D226/D225</f>
        <v>1.1818274772446624E-2</v>
      </c>
      <c r="E227" s="36">
        <f t="shared" ref="E227:H227" si="137">E226/E225</f>
        <v>4.8368112717296994E-3</v>
      </c>
      <c r="F227" s="36">
        <f t="shared" si="137"/>
        <v>1.4292758428175293E-3</v>
      </c>
      <c r="G227" s="36">
        <f t="shared" si="137"/>
        <v>4.3828904727281171E-4</v>
      </c>
      <c r="H227" s="36">
        <f t="shared" si="137"/>
        <v>5.9403808526674167E-5</v>
      </c>
      <c r="I227" s="36">
        <v>3.0000000000000001E-3</v>
      </c>
      <c r="J227" s="36">
        <v>0</v>
      </c>
      <c r="K227" s="36">
        <v>0</v>
      </c>
      <c r="L227" s="36">
        <v>0</v>
      </c>
      <c r="M227" s="36">
        <v>0</v>
      </c>
      <c r="N227" s="36">
        <v>0</v>
      </c>
    </row>
    <row r="228" spans="1:14" s="19" customFormat="1">
      <c r="A228"/>
      <c r="B228" s="47"/>
      <c r="C228" s="18"/>
      <c r="D228" s="220">
        <f>AVERAGE(D227:I227)</f>
        <v>3.5970091237988895E-3</v>
      </c>
      <c r="E228" s="163"/>
      <c r="F228" s="163"/>
      <c r="G228" s="163"/>
      <c r="H228" s="163"/>
      <c r="I228" s="163"/>
      <c r="J228" s="163"/>
      <c r="K228" s="163"/>
      <c r="L228" s="163"/>
      <c r="M228" s="163"/>
      <c r="N228" s="158"/>
    </row>
    <row r="229" spans="1:14">
      <c r="B229" s="16"/>
      <c r="C229" s="16"/>
      <c r="D229" s="16"/>
      <c r="E229" s="16"/>
      <c r="F229" s="16"/>
      <c r="G229" s="16"/>
      <c r="H229" s="50"/>
      <c r="I229" s="49"/>
      <c r="J229" s="49"/>
      <c r="K229" s="49"/>
      <c r="L229" s="49"/>
      <c r="M229" s="49"/>
      <c r="N229" s="49"/>
    </row>
    <row r="230" spans="1:14" ht="15.6">
      <c r="B230" s="7" t="s">
        <v>53</v>
      </c>
      <c r="C230" s="8"/>
      <c r="D230" s="8"/>
      <c r="E230" s="8"/>
      <c r="F230" s="8"/>
      <c r="G230" s="8"/>
      <c r="H230" s="8"/>
      <c r="I230" s="8"/>
      <c r="J230" s="8"/>
      <c r="K230" s="8"/>
      <c r="L230" s="8"/>
      <c r="M230" s="8"/>
      <c r="N230" s="8"/>
    </row>
    <row r="232" spans="1:14">
      <c r="B232" t="s">
        <v>423</v>
      </c>
      <c r="J232" s="51">
        <f>'Control Sheet'!L141</f>
        <v>0.08</v>
      </c>
      <c r="K232" s="51">
        <f>'Control Sheet'!M141</f>
        <v>0.08</v>
      </c>
      <c r="L232" s="51">
        <f>'Control Sheet'!N141</f>
        <v>0.1</v>
      </c>
      <c r="M232" s="51">
        <f>'Control Sheet'!O141</f>
        <v>0.1</v>
      </c>
      <c r="N232" s="51">
        <f>'Control Sheet'!P141</f>
        <v>0.1</v>
      </c>
    </row>
    <row r="233" spans="1:14">
      <c r="B233" t="s">
        <v>424</v>
      </c>
      <c r="J233" s="141">
        <f>AVERAGE(I206:J206)</f>
        <v>798320.96510000003</v>
      </c>
      <c r="K233" s="141">
        <f>AVERAGE(J206:K206)</f>
        <v>849999.10519300005</v>
      </c>
      <c r="L233" s="141">
        <f>AVERAGE(K206:L206)</f>
        <v>915292.48791798996</v>
      </c>
      <c r="M233" s="141">
        <f>AVERAGE(L206:M206)</f>
        <v>977168.42495769064</v>
      </c>
      <c r="N233" s="141">
        <f>AVERAGE(M206:N206)</f>
        <v>1036128.5428252418</v>
      </c>
    </row>
    <row r="234" spans="1:14">
      <c r="B234" t="s">
        <v>429</v>
      </c>
      <c r="J234" s="141">
        <f>J233*J232</f>
        <v>63865.677208000001</v>
      </c>
      <c r="K234" s="141">
        <f t="shared" ref="K234:M234" si="138">K233*K232</f>
        <v>67999.928415440008</v>
      </c>
      <c r="L234" s="141">
        <f t="shared" si="138"/>
        <v>91529.248791799007</v>
      </c>
      <c r="M234" s="141">
        <f t="shared" si="138"/>
        <v>97716.842495769073</v>
      </c>
      <c r="N234" s="141">
        <f t="shared" ref="N234" si="139">N233*N232</f>
        <v>103612.85428252419</v>
      </c>
    </row>
    <row r="236" spans="1:14" ht="15.6">
      <c r="B236" s="7" t="s">
        <v>383</v>
      </c>
      <c r="C236" s="8"/>
      <c r="D236" s="8"/>
      <c r="E236" s="8"/>
      <c r="F236" s="8"/>
      <c r="G236" s="8"/>
      <c r="H236" s="8"/>
      <c r="I236" s="8"/>
      <c r="J236" s="8"/>
      <c r="K236" s="8"/>
      <c r="L236" s="8"/>
      <c r="M236" s="8"/>
      <c r="N236" s="8"/>
    </row>
    <row r="238" spans="1:14">
      <c r="B238" s="41" t="s">
        <v>382</v>
      </c>
    </row>
    <row r="239" spans="1:14">
      <c r="B239" t="s">
        <v>22</v>
      </c>
      <c r="I239" s="254">
        <f t="shared" ref="I239:N239" si="140">I13</f>
        <v>849619</v>
      </c>
      <c r="J239" s="151">
        <f t="shared" si="140"/>
        <v>1015783.43</v>
      </c>
      <c r="K239" s="151">
        <f t="shared" si="140"/>
        <v>1214721.5549000001</v>
      </c>
      <c r="L239" s="151">
        <f t="shared" si="140"/>
        <v>1452929.0716069997</v>
      </c>
      <c r="M239" s="151">
        <f t="shared" si="140"/>
        <v>1738192.8294850097</v>
      </c>
      <c r="N239" s="151">
        <f t="shared" si="140"/>
        <v>2079847.9291773739</v>
      </c>
    </row>
    <row r="240" spans="1:14">
      <c r="B240" t="s">
        <v>382</v>
      </c>
      <c r="I240" s="254">
        <f>'Income Statement'!O51</f>
        <v>45515</v>
      </c>
      <c r="J240" s="151">
        <f>J239*J241</f>
        <v>42662.904060000008</v>
      </c>
      <c r="K240" s="151">
        <f t="shared" ref="K240:N240" si="141">K239*K241</f>
        <v>60736.07774500001</v>
      </c>
      <c r="L240" s="151">
        <f t="shared" si="141"/>
        <v>101705.03501248999</v>
      </c>
      <c r="M240" s="151">
        <f t="shared" si="141"/>
        <v>121673.49806395068</v>
      </c>
      <c r="N240" s="151">
        <f t="shared" si="141"/>
        <v>124790.87575064243</v>
      </c>
    </row>
    <row r="241" spans="2:14">
      <c r="B241" s="32" t="s">
        <v>384</v>
      </c>
      <c r="C241" s="32"/>
      <c r="D241" s="32"/>
      <c r="E241" s="32"/>
      <c r="F241" s="32"/>
      <c r="G241" s="32"/>
      <c r="H241" s="32"/>
      <c r="I241" s="25">
        <f>I240/I239</f>
        <v>5.3571071268415607E-2</v>
      </c>
      <c r="J241" s="239">
        <f>'Control Sheet'!L157</f>
        <v>4.2000000000000003E-2</v>
      </c>
      <c r="K241" s="239">
        <f>'Control Sheet'!M157</f>
        <v>0.05</v>
      </c>
      <c r="L241" s="239">
        <f>'Control Sheet'!N157</f>
        <v>7.0000000000000007E-2</v>
      </c>
      <c r="M241" s="239">
        <f>'Control Sheet'!O157</f>
        <v>7.0000000000000007E-2</v>
      </c>
      <c r="N241" s="239">
        <f>'Control Sheet'!P157</f>
        <v>0.06</v>
      </c>
    </row>
    <row r="243" spans="2:14">
      <c r="B243" t="s">
        <v>391</v>
      </c>
      <c r="D243" s="84">
        <f>1269.28+1174.57</f>
        <v>2443.85</v>
      </c>
      <c r="E243" s="84">
        <f>675.25+1344.13</f>
        <v>2019.38</v>
      </c>
      <c r="F243" s="84">
        <f>2697.56+1957.78</f>
        <v>4655.34</v>
      </c>
      <c r="G243" s="84">
        <f>8464.55+3117.82</f>
        <v>11582.369999999999</v>
      </c>
      <c r="H243" s="84">
        <f>11218+4735</f>
        <v>15953</v>
      </c>
      <c r="I243" s="84">
        <f>13066+6457</f>
        <v>19523</v>
      </c>
      <c r="J243" s="151">
        <f>J244*J245</f>
        <v>22749.145025000002</v>
      </c>
      <c r="K243" s="151">
        <f t="shared" ref="K243:N243" si="142">K244*K245</f>
        <v>26727.855710750006</v>
      </c>
      <c r="L243" s="151">
        <f t="shared" si="142"/>
        <v>31388.807818122496</v>
      </c>
      <c r="M243" s="151">
        <f t="shared" si="142"/>
        <v>36857.927506187669</v>
      </c>
      <c r="N243" s="151">
        <f t="shared" si="142"/>
        <v>43352.055990020046</v>
      </c>
    </row>
    <row r="244" spans="2:14">
      <c r="B244" t="s">
        <v>430</v>
      </c>
      <c r="D244" s="84">
        <f>'Balance Sheet'!J30+'Balance Sheet'!J15</f>
        <v>73394.89</v>
      </c>
      <c r="E244" s="84">
        <f>'Balance Sheet'!K30+'Balance Sheet'!K15</f>
        <v>81064.84</v>
      </c>
      <c r="F244" s="84">
        <f>'Balance Sheet'!L30+'Balance Sheet'!L15</f>
        <v>115580.96999999999</v>
      </c>
      <c r="G244" s="84">
        <f>'Balance Sheet'!M30+'Balance Sheet'!M15</f>
        <v>165459</v>
      </c>
      <c r="H244" s="84">
        <f>'Balance Sheet'!N30+'Balance Sheet'!N15</f>
        <v>260931</v>
      </c>
      <c r="I244" s="84">
        <f>'Balance Sheet'!O30+'Balance Sheet'!O15</f>
        <v>276748</v>
      </c>
      <c r="J244" s="151">
        <f>'Schedule Sheet'!J156+J60</f>
        <v>454982.90049999999</v>
      </c>
      <c r="K244" s="151">
        <f>'Schedule Sheet'!K156+K60</f>
        <v>534557.11421500007</v>
      </c>
      <c r="L244" s="151">
        <f>'Schedule Sheet'!L156+L60</f>
        <v>627776.15636244987</v>
      </c>
      <c r="M244" s="151">
        <f>'Schedule Sheet'!M156+M60</f>
        <v>737158.55012375338</v>
      </c>
      <c r="N244" s="151">
        <f>'Schedule Sheet'!N156+N60</f>
        <v>867041.1198004008</v>
      </c>
    </row>
    <row r="245" spans="2:14">
      <c r="D245" s="56">
        <f>D243/D244</f>
        <v>3.3297277235513262E-2</v>
      </c>
      <c r="E245" s="56">
        <f t="shared" ref="E245:I245" si="143">E243/E244</f>
        <v>2.4910676441229025E-2</v>
      </c>
      <c r="F245" s="56">
        <f t="shared" si="143"/>
        <v>4.0277737762539984E-2</v>
      </c>
      <c r="G245" s="56">
        <f t="shared" si="143"/>
        <v>7.0001450510398341E-2</v>
      </c>
      <c r="H245" s="56">
        <f t="shared" si="143"/>
        <v>6.1138768486688054E-2</v>
      </c>
      <c r="I245" s="56">
        <f t="shared" si="143"/>
        <v>7.0544321910185434E-2</v>
      </c>
      <c r="J245" s="56">
        <v>0.05</v>
      </c>
      <c r="K245" s="56">
        <v>0.05</v>
      </c>
      <c r="L245" s="56">
        <v>0.05</v>
      </c>
      <c r="M245" s="56">
        <v>0.05</v>
      </c>
      <c r="N245" s="56">
        <v>0.05</v>
      </c>
    </row>
    <row r="246" spans="2:14">
      <c r="D246" s="56"/>
      <c r="E246" s="56"/>
      <c r="F246" s="56"/>
      <c r="G246" s="56"/>
      <c r="H246" s="56"/>
      <c r="I246" s="56"/>
      <c r="J246" s="56"/>
      <c r="K246" s="56"/>
      <c r="L246" s="56"/>
      <c r="M246" s="56"/>
      <c r="N246" s="56"/>
    </row>
    <row r="247" spans="2:14" ht="15.6">
      <c r="B247" s="7" t="s">
        <v>431</v>
      </c>
      <c r="C247" s="8"/>
      <c r="D247" s="8"/>
      <c r="E247" s="8"/>
      <c r="F247" s="8"/>
      <c r="G247" s="8"/>
      <c r="H247" s="8"/>
      <c r="I247" s="8"/>
      <c r="J247" s="8"/>
      <c r="K247" s="8"/>
      <c r="L247" s="8"/>
      <c r="M247" s="8"/>
      <c r="N247" s="8"/>
    </row>
    <row r="249" spans="2:14">
      <c r="B249" s="41" t="s">
        <v>432</v>
      </c>
    </row>
    <row r="250" spans="2:14">
      <c r="B250" t="s">
        <v>432</v>
      </c>
      <c r="D250" s="84">
        <f>'Balance Sheet'!J15+'Balance Sheet'!J30</f>
        <v>73394.89</v>
      </c>
      <c r="E250" s="84">
        <f>'Balance Sheet'!K15+'Balance Sheet'!K30</f>
        <v>81064.84</v>
      </c>
      <c r="F250" s="84">
        <f>'Balance Sheet'!L15+'Balance Sheet'!L30</f>
        <v>115580.96999999999</v>
      </c>
      <c r="G250" s="84">
        <f>'Balance Sheet'!M15+'Balance Sheet'!M30</f>
        <v>165459</v>
      </c>
      <c r="H250" s="84">
        <f>'Balance Sheet'!N15+'Balance Sheet'!N30</f>
        <v>260931</v>
      </c>
      <c r="I250" s="84">
        <f>'Balance Sheet'!O15+'Balance Sheet'!O30</f>
        <v>276748</v>
      </c>
      <c r="J250" s="151">
        <f>I250/J252</f>
        <v>345935</v>
      </c>
      <c r="K250" s="151">
        <f t="shared" ref="K250:N250" si="144">J250/K252</f>
        <v>432418.75</v>
      </c>
      <c r="L250" s="151">
        <f t="shared" si="144"/>
        <v>540523.4375</v>
      </c>
      <c r="M250" s="151">
        <f t="shared" si="144"/>
        <v>675654.296875</v>
      </c>
      <c r="N250" s="151">
        <f t="shared" si="144"/>
        <v>844567.87109375</v>
      </c>
    </row>
    <row r="251" spans="2:14">
      <c r="B251" t="s">
        <v>434</v>
      </c>
      <c r="D251" s="84"/>
      <c r="E251" s="84">
        <f>E250-D250</f>
        <v>7669.9499999999971</v>
      </c>
      <c r="F251" s="84">
        <f t="shared" ref="F251:N251" si="145">F250-E250</f>
        <v>34516.12999999999</v>
      </c>
      <c r="G251" s="84">
        <f t="shared" si="145"/>
        <v>49878.030000000013</v>
      </c>
      <c r="H251" s="84">
        <f t="shared" si="145"/>
        <v>95472</v>
      </c>
      <c r="I251" s="84">
        <f>I250-H250</f>
        <v>15817</v>
      </c>
      <c r="J251" s="151">
        <f>J250-I250</f>
        <v>69187</v>
      </c>
      <c r="K251" s="151">
        <f t="shared" si="145"/>
        <v>86483.75</v>
      </c>
      <c r="L251" s="151">
        <f t="shared" si="145"/>
        <v>108104.6875</v>
      </c>
      <c r="M251" s="151">
        <f t="shared" si="145"/>
        <v>135130.859375</v>
      </c>
      <c r="N251" s="151">
        <f t="shared" si="145"/>
        <v>168913.57421875</v>
      </c>
    </row>
    <row r="252" spans="2:14">
      <c r="B252" s="32" t="s">
        <v>433</v>
      </c>
      <c r="C252" s="32"/>
      <c r="D252" s="224"/>
      <c r="E252" s="224">
        <f>E250/D250-1</f>
        <v>0.10450250691839713</v>
      </c>
      <c r="F252" s="224">
        <f>F250/E250-1</f>
        <v>0.42578422408531225</v>
      </c>
      <c r="G252" s="224">
        <f>G250/F250-1</f>
        <v>0.43154188790767223</v>
      </c>
      <c r="H252" s="224">
        <f>H250/G250-1</f>
        <v>0.57701303646220503</v>
      </c>
      <c r="I252" s="224">
        <f>I250/H250-1</f>
        <v>6.0617557898448249E-2</v>
      </c>
      <c r="J252" s="25">
        <v>0.8</v>
      </c>
      <c r="K252" s="25">
        <v>0.8</v>
      </c>
      <c r="L252" s="25">
        <v>0.8</v>
      </c>
      <c r="M252" s="25">
        <v>0.8</v>
      </c>
      <c r="N252" s="25">
        <v>0.8</v>
      </c>
    </row>
    <row r="253" spans="2:14">
      <c r="E253" s="225">
        <f>AVERAGE(E252:I252)</f>
        <v>0.31989184265440695</v>
      </c>
    </row>
  </sheetData>
  <mergeCells count="2">
    <mergeCell ref="D8:I8"/>
    <mergeCell ref="J8:N8"/>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Drop Down 1">
              <controlPr defaultSize="0" autoLine="0" autoPict="0">
                <anchor moveWithCells="1">
                  <from>
                    <xdr:col>9</xdr:col>
                    <xdr:colOff>60960</xdr:colOff>
                    <xdr:row>4</xdr:row>
                    <xdr:rowOff>45720</xdr:rowOff>
                  </from>
                  <to>
                    <xdr:col>10</xdr:col>
                    <xdr:colOff>434340</xdr:colOff>
                    <xdr:row>5</xdr:row>
                    <xdr:rowOff>22860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2BCCD-FEB4-4C72-A860-75AD37F8A5DC}">
  <sheetPr>
    <tabColor rgb="FF001B94"/>
    <pageSetUpPr autoPageBreaks="0"/>
  </sheetPr>
  <dimension ref="A2:R208"/>
  <sheetViews>
    <sheetView showGridLines="0" zoomScale="70" zoomScaleNormal="70" zoomScaleSheetLayoutView="70" workbookViewId="0">
      <pane ySplit="9" topLeftCell="A69" activePane="bottomLeft" state="frozen"/>
      <selection pane="bottomLeft" activeCell="B5" sqref="B5"/>
    </sheetView>
  </sheetViews>
  <sheetFormatPr defaultRowHeight="14.4" outlineLevelRow="1"/>
  <cols>
    <col min="1" max="1" width="1.88671875" customWidth="1"/>
    <col min="2" max="2" width="77.33203125" customWidth="1"/>
    <col min="3" max="3" width="6.44140625" customWidth="1"/>
    <col min="4" max="7" width="15.77734375" customWidth="1"/>
    <col min="8" max="8" width="15.88671875" customWidth="1"/>
    <col min="9" max="9" width="15.77734375" customWidth="1"/>
    <col min="10" max="14" width="15.6640625" customWidth="1"/>
    <col min="15" max="15" width="1.6640625" style="19" customWidth="1"/>
    <col min="16" max="16" width="13.77734375" style="173" bestFit="1" customWidth="1"/>
    <col min="17" max="17" width="12.21875" style="173" bestFit="1" customWidth="1"/>
    <col min="18" max="18" width="12.21875" bestFit="1" customWidth="1"/>
  </cols>
  <sheetData>
    <row r="2" spans="2:17" ht="21">
      <c r="B2" s="282" t="str">
        <f>'Control Sheet'!B2</f>
        <v xml:space="preserve">InterGlobe Aviation </v>
      </c>
    </row>
    <row r="3" spans="2:17" ht="18">
      <c r="B3" s="2" t="s">
        <v>54</v>
      </c>
    </row>
    <row r="4" spans="2:17" ht="18">
      <c r="B4" s="2"/>
    </row>
    <row r="5" spans="2:17" ht="18">
      <c r="B5" s="2"/>
      <c r="J5" t="s">
        <v>1</v>
      </c>
      <c r="K5">
        <v>0</v>
      </c>
    </row>
    <row r="6" spans="2:17">
      <c r="I6" s="111"/>
    </row>
    <row r="7" spans="2:17">
      <c r="P7" s="436" t="s">
        <v>55</v>
      </c>
      <c r="Q7" s="436"/>
    </row>
    <row r="8" spans="2:17">
      <c r="D8" s="495" t="s">
        <v>3</v>
      </c>
      <c r="E8" s="495"/>
      <c r="F8" s="495"/>
      <c r="G8" s="495"/>
      <c r="H8" s="495"/>
      <c r="I8" s="495"/>
      <c r="J8" s="496" t="s">
        <v>4</v>
      </c>
      <c r="K8" s="496"/>
      <c r="L8" s="496"/>
      <c r="M8" s="496"/>
      <c r="N8" s="496"/>
      <c r="O8" s="190"/>
      <c r="P8" s="437" t="s">
        <v>57</v>
      </c>
      <c r="Q8" s="437" t="s">
        <v>58</v>
      </c>
    </row>
    <row r="9" spans="2:17">
      <c r="B9" s="4" t="s">
        <v>5</v>
      </c>
      <c r="D9" s="134">
        <v>2021</v>
      </c>
      <c r="E9" s="134">
        <f>D9+1</f>
        <v>2022</v>
      </c>
      <c r="F9" s="134">
        <f t="shared" ref="F9:I9" si="0">E9+1</f>
        <v>2023</v>
      </c>
      <c r="G9" s="134">
        <f t="shared" si="0"/>
        <v>2024</v>
      </c>
      <c r="H9" s="134">
        <f t="shared" si="0"/>
        <v>2025</v>
      </c>
      <c r="I9" s="134">
        <f t="shared" si="0"/>
        <v>2026</v>
      </c>
      <c r="J9" s="5">
        <f>I9+1</f>
        <v>2027</v>
      </c>
      <c r="K9" s="5">
        <f t="shared" ref="K9:N9" si="1">J9+1</f>
        <v>2028</v>
      </c>
      <c r="L9" s="5">
        <f t="shared" si="1"/>
        <v>2029</v>
      </c>
      <c r="M9" s="5">
        <f t="shared" si="1"/>
        <v>2030</v>
      </c>
      <c r="N9" s="5">
        <f t="shared" si="1"/>
        <v>2031</v>
      </c>
      <c r="O9"/>
    </row>
    <row r="10" spans="2:17">
      <c r="B10" s="6"/>
      <c r="C10" s="6"/>
      <c r="D10" s="6"/>
      <c r="E10" s="6"/>
      <c r="F10" s="6"/>
      <c r="G10" s="6"/>
      <c r="H10" s="6"/>
      <c r="I10" s="6"/>
      <c r="J10" s="6"/>
      <c r="K10" s="6"/>
      <c r="L10" s="6"/>
      <c r="M10" s="6"/>
      <c r="O10"/>
    </row>
    <row r="11" spans="2:17" ht="15.6">
      <c r="B11" s="7" t="s">
        <v>59</v>
      </c>
      <c r="C11" s="8"/>
      <c r="D11" s="8"/>
      <c r="E11" s="8"/>
      <c r="F11" s="8"/>
      <c r="G11" s="8"/>
      <c r="H11" s="8"/>
      <c r="I11" s="8"/>
      <c r="J11" s="8"/>
      <c r="K11" s="8"/>
      <c r="L11" s="8"/>
      <c r="M11" s="54"/>
      <c r="N11" s="54"/>
      <c r="O11"/>
    </row>
    <row r="12" spans="2:17">
      <c r="J12" s="84"/>
      <c r="K12" s="84"/>
      <c r="L12" s="84"/>
      <c r="M12" s="84"/>
      <c r="N12" s="84"/>
      <c r="O12"/>
      <c r="Q12" s="184"/>
    </row>
    <row r="13" spans="2:17">
      <c r="B13" t="s">
        <v>22</v>
      </c>
      <c r="D13" s="111">
        <f>'Schedule Sheet'!D13</f>
        <v>146406.31</v>
      </c>
      <c r="E13" s="111">
        <f>'Schedule Sheet'!E13</f>
        <v>259309.27</v>
      </c>
      <c r="F13" s="111">
        <f>'Schedule Sheet'!F13</f>
        <v>544464.53</v>
      </c>
      <c r="G13" s="111">
        <f>'Schedule Sheet'!G13</f>
        <v>689043</v>
      </c>
      <c r="H13" s="111">
        <f>'Schedule Sheet'!H13</f>
        <v>808029</v>
      </c>
      <c r="I13" s="255">
        <f>'Schedule Sheet'!I13</f>
        <v>849619</v>
      </c>
      <c r="J13" s="146">
        <f>'Schedule Sheet'!J13</f>
        <v>1015783.43</v>
      </c>
      <c r="K13" s="146">
        <f>'Schedule Sheet'!K13</f>
        <v>1214721.5549000001</v>
      </c>
      <c r="L13" s="146">
        <f>'Schedule Sheet'!L13</f>
        <v>1452929.0716069997</v>
      </c>
      <c r="M13" s="146">
        <f>'Schedule Sheet'!M13</f>
        <v>1738192.8294850097</v>
      </c>
      <c r="N13" s="146">
        <f>'Schedule Sheet'!N13</f>
        <v>2079847.9291773739</v>
      </c>
      <c r="O13"/>
      <c r="P13" s="184">
        <f>IF(OR(I13&lt;=0,N13&lt;=0),"NM",_xlfn.RRI($N$9-$I$9,I13,N13))</f>
        <v>0.19608342814476254</v>
      </c>
      <c r="Q13" s="184">
        <f>IF(OR(K13&lt;=0,N13&lt;=0),"NM",_xlfn.RRI($N$9-$K$9,K13,N13))</f>
        <v>0.1963317110942373</v>
      </c>
    </row>
    <row r="14" spans="2:17">
      <c r="B14" s="44" t="s">
        <v>60</v>
      </c>
      <c r="D14" s="133">
        <f>'Schedule Sheet'!D26*-1</f>
        <v>-94483.340000000011</v>
      </c>
      <c r="E14" s="133">
        <f>'Schedule Sheet'!E26*-1</f>
        <v>-194408.44</v>
      </c>
      <c r="F14" s="133">
        <f>'Schedule Sheet'!F26*-1</f>
        <v>-389093.9</v>
      </c>
      <c r="G14" s="133">
        <f>'Schedule Sheet'!G26*-1</f>
        <v>-405950</v>
      </c>
      <c r="H14" s="133">
        <f>'Schedule Sheet'!H26*-1</f>
        <v>-481803</v>
      </c>
      <c r="I14" s="255">
        <f>'Schedule Sheet'!I26*-1</f>
        <v>-564048</v>
      </c>
      <c r="J14" s="146">
        <f>'Schedule Sheet'!J26*-1</f>
        <v>-670417.06380000012</v>
      </c>
      <c r="K14" s="146">
        <f>'Schedule Sheet'!K26*-1</f>
        <v>-801716.22623400006</v>
      </c>
      <c r="L14" s="146">
        <f>'Schedule Sheet'!L26*-1</f>
        <v>-958933.18726061983</v>
      </c>
      <c r="M14" s="146">
        <f>'Schedule Sheet'!M26*-1</f>
        <v>-1147207.2674601064</v>
      </c>
      <c r="N14" s="146">
        <f>'Schedule Sheet'!N26*-1</f>
        <v>-1372699.6332570668</v>
      </c>
      <c r="O14"/>
      <c r="P14" s="184">
        <f>_xlfn.RRI($N$9-$I$9,I14,N14)</f>
        <v>0.1946808184387403</v>
      </c>
      <c r="Q14" s="184">
        <f>_xlfn.RRI($N$9-$K$9,K14,N14)</f>
        <v>0.1963317110942373</v>
      </c>
    </row>
    <row r="15" spans="2:17">
      <c r="B15" s="30" t="s">
        <v>61</v>
      </c>
      <c r="C15" s="6"/>
      <c r="D15" s="135">
        <f>D13+D14</f>
        <v>51922.969999999987</v>
      </c>
      <c r="E15" s="135">
        <f t="shared" ref="E15:H15" si="2">E13+E14</f>
        <v>64900.829999999987</v>
      </c>
      <c r="F15" s="135">
        <f t="shared" si="2"/>
        <v>155370.63</v>
      </c>
      <c r="G15" s="135">
        <f t="shared" si="2"/>
        <v>283093</v>
      </c>
      <c r="H15" s="135">
        <f t="shared" si="2"/>
        <v>326226</v>
      </c>
      <c r="I15" s="147">
        <f t="shared" ref="I15:N15" si="3">I13+I14</f>
        <v>285571</v>
      </c>
      <c r="J15" s="147">
        <f t="shared" si="3"/>
        <v>345366.36619999993</v>
      </c>
      <c r="K15" s="147">
        <f t="shared" si="3"/>
        <v>413005.32866600004</v>
      </c>
      <c r="L15" s="147">
        <f t="shared" si="3"/>
        <v>493995.8843463799</v>
      </c>
      <c r="M15" s="147">
        <f t="shared" si="3"/>
        <v>590985.56202490325</v>
      </c>
      <c r="N15" s="147">
        <f t="shared" si="3"/>
        <v>707148.29592030705</v>
      </c>
      <c r="O15"/>
      <c r="P15" s="438">
        <f>IF(OR(I15&lt;=0,N15&lt;=0),"NM",_xlfn.RRI($N$9-$I$9,I15,N15))</f>
        <v>0.19883462920066708</v>
      </c>
      <c r="Q15" s="438">
        <f>IF(OR(K15&lt;=0,N15&lt;=0),"NM",_xlfn.RRI($N$9-$K$9,K15,N15))</f>
        <v>0.1963317110942373</v>
      </c>
    </row>
    <row r="16" spans="2:17">
      <c r="B16" s="16"/>
      <c r="D16" s="138"/>
      <c r="E16" s="138"/>
      <c r="F16" s="138"/>
      <c r="G16" s="138"/>
      <c r="H16" s="138"/>
      <c r="I16" s="144"/>
      <c r="J16" s="144"/>
      <c r="K16" s="144"/>
      <c r="L16" s="144"/>
      <c r="M16" s="144"/>
      <c r="O16"/>
    </row>
    <row r="17" spans="2:17">
      <c r="B17" s="166" t="s">
        <v>319</v>
      </c>
      <c r="C17" s="166"/>
      <c r="D17" s="167">
        <f>D15/D13</f>
        <v>0.35464980983401595</v>
      </c>
      <c r="E17" s="167">
        <f t="shared" ref="E17:N17" si="4">E15/E13</f>
        <v>0.25028349352878898</v>
      </c>
      <c r="F17" s="167">
        <f t="shared" si="4"/>
        <v>0.28536409892486475</v>
      </c>
      <c r="G17" s="167">
        <f t="shared" si="4"/>
        <v>0.41084954059470891</v>
      </c>
      <c r="H17" s="167">
        <f t="shared" si="4"/>
        <v>0.40373055917547512</v>
      </c>
      <c r="I17" s="167">
        <f t="shared" si="4"/>
        <v>0.33611654164984539</v>
      </c>
      <c r="J17" s="167">
        <f>J15/J13</f>
        <v>0.33999999999999991</v>
      </c>
      <c r="K17" s="167">
        <f t="shared" si="4"/>
        <v>0.34</v>
      </c>
      <c r="L17" s="167">
        <f t="shared" si="4"/>
        <v>0.33999999999999997</v>
      </c>
      <c r="M17" s="167">
        <f t="shared" si="4"/>
        <v>0.33999999999999997</v>
      </c>
      <c r="N17" s="167">
        <f t="shared" si="4"/>
        <v>0.33999999999999997</v>
      </c>
      <c r="O17"/>
    </row>
    <row r="18" spans="2:17">
      <c r="D18" s="230"/>
      <c r="E18" s="230"/>
      <c r="F18" s="230"/>
      <c r="G18" s="230"/>
      <c r="H18" s="230"/>
      <c r="I18" s="230"/>
      <c r="J18" s="230"/>
      <c r="K18" s="230"/>
      <c r="L18" s="230"/>
      <c r="M18" s="230"/>
      <c r="N18" s="230"/>
      <c r="O18"/>
    </row>
    <row r="19" spans="2:17">
      <c r="B19" s="41" t="s">
        <v>62</v>
      </c>
      <c r="G19" s="38"/>
      <c r="H19" s="38"/>
      <c r="I19" s="38"/>
      <c r="O19"/>
    </row>
    <row r="20" spans="2:17">
      <c r="B20" s="41"/>
      <c r="G20" s="38"/>
      <c r="H20" s="38"/>
      <c r="I20" s="38"/>
      <c r="O20"/>
    </row>
    <row r="21" spans="2:17">
      <c r="B21" t="str">
        <f>'Schedule Sheet'!B30</f>
        <v>Employee Benefit Expenses</v>
      </c>
      <c r="D21" s="111">
        <f>'Schedule Sheet'!D30</f>
        <v>32954.92</v>
      </c>
      <c r="E21" s="111">
        <f>'Schedule Sheet'!E30</f>
        <v>34864.43</v>
      </c>
      <c r="F21" s="111">
        <f>'Schedule Sheet'!F30</f>
        <v>47947.519999999997</v>
      </c>
      <c r="G21" s="111">
        <f>'Schedule Sheet'!G30</f>
        <v>64618</v>
      </c>
      <c r="H21" s="111">
        <f>'Schedule Sheet'!H30</f>
        <v>74725</v>
      </c>
      <c r="I21" s="111">
        <f>'Schedule Sheet'!I30</f>
        <v>82722</v>
      </c>
      <c r="J21" s="141">
        <f>'Schedule Sheet'!J30</f>
        <v>101578.34300000001</v>
      </c>
      <c r="K21" s="141">
        <f>'Schedule Sheet'!K30</f>
        <v>121472.15549000002</v>
      </c>
      <c r="L21" s="141">
        <f>'Schedule Sheet'!L30</f>
        <v>188880.77930890996</v>
      </c>
      <c r="M21" s="141">
        <f>'Schedule Sheet'!M30</f>
        <v>260728.92442275144</v>
      </c>
      <c r="N21" s="141">
        <f>'Schedule Sheet'!N30</f>
        <v>311977.18937660608</v>
      </c>
      <c r="O21"/>
      <c r="P21" s="184">
        <f>IF(OR(I21&lt;=0,N21&lt;=0),"NM",_xlfn.RRI($N$9-$I$9,I21,N21))</f>
        <v>0.30406837526550978</v>
      </c>
      <c r="Q21" s="184">
        <f>IF(OR(K21&lt;=0,N21&lt;=0),"NM",_xlfn.RRI($N$9-$K$9,K21,N21))</f>
        <v>0.36945794850777136</v>
      </c>
    </row>
    <row r="22" spans="2:17">
      <c r="B22" t="str">
        <f>'Schedule Sheet'!B33</f>
        <v>Other Expenses</v>
      </c>
      <c r="D22" s="111">
        <f>'Schedule Sheet'!D33</f>
        <v>19104.099999999999</v>
      </c>
      <c r="E22" s="111">
        <f>'Schedule Sheet'!E33</f>
        <v>24563.07</v>
      </c>
      <c r="F22" s="111">
        <f>'Schedule Sheet'!F33</f>
        <v>42469.61</v>
      </c>
      <c r="G22" s="111">
        <f>'Schedule Sheet'!G33</f>
        <v>55300</v>
      </c>
      <c r="H22" s="111">
        <f>'Schedule Sheet'!H33</f>
        <v>70918</v>
      </c>
      <c r="I22" s="111">
        <f>'Schedule Sheet'!I33</f>
        <v>83015</v>
      </c>
      <c r="J22" s="141">
        <f>'Schedule Sheet'!J33</f>
        <v>91420.508700000006</v>
      </c>
      <c r="K22" s="141">
        <f>'Schedule Sheet'!K33</f>
        <v>109324.939941</v>
      </c>
      <c r="L22" s="141">
        <f>'Schedule Sheet'!L33</f>
        <v>130763.61644462997</v>
      </c>
      <c r="M22" s="141">
        <f>'Schedule Sheet'!M33</f>
        <v>156437.35465365087</v>
      </c>
      <c r="N22" s="141">
        <f>'Schedule Sheet'!N33</f>
        <v>187186.31362596364</v>
      </c>
      <c r="O22"/>
      <c r="P22" s="184">
        <f>IF(OR(I22&lt;=0,N22&lt;=0),"NM",_xlfn.RRI($N$9-$I$9,I22,N22))</f>
        <v>0.17658553233237573</v>
      </c>
      <c r="Q22" s="184">
        <f>IF(OR(K22&lt;=0,N22&lt;=0),"NM",_xlfn.RRI($N$9-$K$9,K22,N22))</f>
        <v>0.1963317110942373</v>
      </c>
    </row>
    <row r="23" spans="2:17">
      <c r="G23" s="55"/>
      <c r="H23" s="55"/>
      <c r="I23" s="55"/>
      <c r="O23"/>
    </row>
    <row r="24" spans="2:17">
      <c r="B24" t="s">
        <v>63</v>
      </c>
      <c r="D24" s="111">
        <f>(D21+D22)*-1</f>
        <v>-52059.02</v>
      </c>
      <c r="E24" s="111">
        <f t="shared" ref="E24:M24" si="5">(E21+E22)*-1</f>
        <v>-59427.5</v>
      </c>
      <c r="F24" s="111">
        <f t="shared" si="5"/>
        <v>-90417.13</v>
      </c>
      <c r="G24" s="111">
        <f t="shared" si="5"/>
        <v>-119918</v>
      </c>
      <c r="H24" s="111">
        <f t="shared" si="5"/>
        <v>-145643</v>
      </c>
      <c r="I24" s="111">
        <f t="shared" si="5"/>
        <v>-165737</v>
      </c>
      <c r="J24" s="111">
        <f t="shared" si="5"/>
        <v>-192998.8517</v>
      </c>
      <c r="K24" s="111">
        <f>(K21+K22)*-1</f>
        <v>-230797.09543100002</v>
      </c>
      <c r="L24" s="111">
        <f t="shared" si="5"/>
        <v>-319644.39575353992</v>
      </c>
      <c r="M24" s="111">
        <f t="shared" si="5"/>
        <v>-417166.27907640231</v>
      </c>
      <c r="N24" s="111">
        <f t="shared" ref="N24" si="6">(N21+N22)*-1</f>
        <v>-499163.50300256972</v>
      </c>
      <c r="O24"/>
      <c r="P24" s="184">
        <f>_xlfn.RRI($N$9-$I$9,I24,N24)</f>
        <v>0.24670778116484171</v>
      </c>
      <c r="Q24" s="184">
        <f>_xlfn.RRI($N$9-$K$9,K24,N24)</f>
        <v>0.2932152827121739</v>
      </c>
    </row>
    <row r="25" spans="2:17">
      <c r="B25" s="30" t="s">
        <v>64</v>
      </c>
      <c r="C25" s="6"/>
      <c r="D25" s="135">
        <f>D15+D24</f>
        <v>-136.05000000001019</v>
      </c>
      <c r="E25" s="135">
        <f t="shared" ref="E25:M25" si="7">E15+E24</f>
        <v>5473.3299999999872</v>
      </c>
      <c r="F25" s="135">
        <f t="shared" si="7"/>
        <v>64953.5</v>
      </c>
      <c r="G25" s="135">
        <f t="shared" si="7"/>
        <v>163175</v>
      </c>
      <c r="H25" s="135">
        <f t="shared" si="7"/>
        <v>180583</v>
      </c>
      <c r="I25" s="135">
        <f t="shared" si="7"/>
        <v>119834</v>
      </c>
      <c r="J25" s="135">
        <f t="shared" si="7"/>
        <v>152367.51449999993</v>
      </c>
      <c r="K25" s="135">
        <f>K15+K24</f>
        <v>182208.23323500002</v>
      </c>
      <c r="L25" s="135">
        <f t="shared" si="7"/>
        <v>174351.48859283997</v>
      </c>
      <c r="M25" s="135">
        <f t="shared" si="7"/>
        <v>173819.28294850094</v>
      </c>
      <c r="N25" s="135">
        <f t="shared" ref="N25" si="8">N15+N24</f>
        <v>207984.79291773733</v>
      </c>
      <c r="O25"/>
      <c r="P25" s="438">
        <f>IF(OR(I25&lt;=0,N25&lt;=0),"NM",_xlfn.RRI($N$9-$I$9,I25,N25))</f>
        <v>0.1165811842930069</v>
      </c>
      <c r="Q25" s="438">
        <f>IF(OR(K25&lt;=0,N25&lt;=0),"NM",_xlfn.RRI($N$9-$K$9,K25,N25))</f>
        <v>4.5092012156475292E-2</v>
      </c>
    </row>
    <row r="26" spans="2:17">
      <c r="B26" s="16"/>
      <c r="G26" s="57"/>
      <c r="H26" s="57"/>
      <c r="I26" s="57"/>
      <c r="O26"/>
    </row>
    <row r="27" spans="2:17">
      <c r="B27" s="166" t="s">
        <v>317</v>
      </c>
      <c r="C27" s="166"/>
      <c r="D27" s="168">
        <f>D25/D13</f>
        <v>-9.2926322642794686E-4</v>
      </c>
      <c r="E27" s="167">
        <f t="shared" ref="E27:M27" si="9">E25/E13</f>
        <v>2.1107344137754842E-2</v>
      </c>
      <c r="F27" s="167">
        <f t="shared" si="9"/>
        <v>0.11929794581843559</v>
      </c>
      <c r="G27" s="167">
        <f t="shared" si="9"/>
        <v>0.23681395790973858</v>
      </c>
      <c r="H27" s="167">
        <f t="shared" si="9"/>
        <v>0.22348579073275834</v>
      </c>
      <c r="I27" s="167">
        <f t="shared" si="9"/>
        <v>0.14104439754760664</v>
      </c>
      <c r="J27" s="167">
        <f>J25/J13</f>
        <v>0.14999999999999994</v>
      </c>
      <c r="K27" s="167">
        <f t="shared" si="9"/>
        <v>0.15</v>
      </c>
      <c r="L27" s="167">
        <f t="shared" si="9"/>
        <v>0.12000000000000001</v>
      </c>
      <c r="M27" s="167">
        <f t="shared" si="9"/>
        <v>9.9999999999999992E-2</v>
      </c>
      <c r="N27" s="167">
        <f t="shared" ref="N27" si="10">N25/N13</f>
        <v>9.9999999999999978E-2</v>
      </c>
      <c r="O27"/>
    </row>
    <row r="28" spans="2:17">
      <c r="B28" s="16"/>
      <c r="G28" s="57"/>
      <c r="H28" s="57"/>
      <c r="I28" s="57"/>
      <c r="O28"/>
    </row>
    <row r="29" spans="2:17">
      <c r="B29" s="41" t="s">
        <v>25</v>
      </c>
      <c r="G29" s="57"/>
      <c r="H29" s="57"/>
      <c r="I29" s="57"/>
      <c r="O29"/>
    </row>
    <row r="30" spans="2:17" ht="12.6" customHeight="1">
      <c r="B30" t="s">
        <v>65</v>
      </c>
      <c r="C30" s="111"/>
      <c r="D30" s="84">
        <f>'Income Statement'!J48*-1</f>
        <v>-46994.46</v>
      </c>
      <c r="E30" s="84">
        <f>'Income Statement'!K48*-1</f>
        <v>-50686</v>
      </c>
      <c r="F30" s="84">
        <f>'Income Statement'!L48*-1</f>
        <v>-51029.69</v>
      </c>
      <c r="G30" s="84">
        <f>'Income Statement'!M48*-1</f>
        <v>-64257</v>
      </c>
      <c r="H30" s="84">
        <f>'Income Statement'!N48*-1</f>
        <v>-86802</v>
      </c>
      <c r="I30" s="84">
        <f>'Income Statement'!O48*-1</f>
        <v>-108082</v>
      </c>
      <c r="J30" s="151">
        <f>'Schedule Sheet'!J105*-1</f>
        <v>-118578.13661836252</v>
      </c>
      <c r="K30" s="151">
        <f>'Schedule Sheet'!K105*-1</f>
        <v>-129756.2301925494</v>
      </c>
      <c r="L30" s="151">
        <f>'Schedule Sheet'!L105*-1</f>
        <v>-141566.24334156673</v>
      </c>
      <c r="M30" s="151">
        <f>'Schedule Sheet'!M105*-1</f>
        <v>-153969.32240663856</v>
      </c>
      <c r="N30" s="151">
        <f>'Schedule Sheet'!N105*-1</f>
        <v>-166907.0158823606</v>
      </c>
      <c r="O30"/>
      <c r="P30" s="184">
        <f>_xlfn.RRI($N$9-$I$9,I30,N30)</f>
        <v>9.0797776513138029E-2</v>
      </c>
      <c r="Q30" s="184">
        <f>_xlfn.RRI($N$9-$K$9,K30,N30)</f>
        <v>8.7548893828111485E-2</v>
      </c>
    </row>
    <row r="31" spans="2:17">
      <c r="B31" s="30" t="s">
        <v>66</v>
      </c>
      <c r="C31" s="6"/>
      <c r="D31" s="135">
        <f t="shared" ref="D31:N31" si="11">D25+D30</f>
        <v>-47130.510000000009</v>
      </c>
      <c r="E31" s="135">
        <f t="shared" si="11"/>
        <v>-45212.670000000013</v>
      </c>
      <c r="F31" s="135">
        <f t="shared" si="11"/>
        <v>13923.809999999998</v>
      </c>
      <c r="G31" s="135">
        <f t="shared" si="11"/>
        <v>98918</v>
      </c>
      <c r="H31" s="135">
        <f t="shared" si="11"/>
        <v>93781</v>
      </c>
      <c r="I31" s="135">
        <f t="shared" si="11"/>
        <v>11752</v>
      </c>
      <c r="J31" s="135">
        <f t="shared" si="11"/>
        <v>33789.377881637411</v>
      </c>
      <c r="K31" s="135">
        <f>K25+K30</f>
        <v>52452.003042450626</v>
      </c>
      <c r="L31" s="135">
        <f t="shared" si="11"/>
        <v>32785.245251273242</v>
      </c>
      <c r="M31" s="135">
        <f t="shared" si="11"/>
        <v>19849.960541862383</v>
      </c>
      <c r="N31" s="135">
        <f t="shared" si="11"/>
        <v>41077.777035376726</v>
      </c>
      <c r="O31"/>
      <c r="P31" s="438">
        <f>IF(OR(I31&lt;=0,N31&lt;=0),"NM",_xlfn.RRI($N$9-$I$9,I31,N31))</f>
        <v>0.28439625353797982</v>
      </c>
      <c r="Q31" s="439">
        <f>IF(OR(K31&lt;=0,N31&lt;=0),"NM",_xlfn.RRI($N$9-$K$9,K31,N31))</f>
        <v>-7.8246167827682123E-2</v>
      </c>
    </row>
    <row r="32" spans="2:17">
      <c r="O32"/>
    </row>
    <row r="33" spans="2:17" s="166" customFormat="1">
      <c r="B33" s="166" t="s">
        <v>368</v>
      </c>
      <c r="D33" s="169">
        <f t="shared" ref="D33:M33" si="12">D31/D13</f>
        <v>-0.32191583819030756</v>
      </c>
      <c r="E33" s="169">
        <f t="shared" si="12"/>
        <v>-0.17435809371566244</v>
      </c>
      <c r="F33" s="169">
        <f t="shared" si="12"/>
        <v>2.5573401448208199E-2</v>
      </c>
      <c r="G33" s="169">
        <f t="shared" si="12"/>
        <v>0.14355852972891386</v>
      </c>
      <c r="H33" s="169">
        <f t="shared" si="12"/>
        <v>0.11606142848833396</v>
      </c>
      <c r="I33" s="169">
        <f t="shared" si="12"/>
        <v>1.3832082380455239E-2</v>
      </c>
      <c r="J33" s="169">
        <f t="shared" si="12"/>
        <v>3.3264352305527774E-2</v>
      </c>
      <c r="K33" s="169">
        <f t="shared" si="12"/>
        <v>4.3180268622769809E-2</v>
      </c>
      <c r="L33" s="169">
        <f t="shared" si="12"/>
        <v>2.2564931690031782E-2</v>
      </c>
      <c r="M33" s="169">
        <f t="shared" si="12"/>
        <v>1.1419884034237739E-2</v>
      </c>
      <c r="N33" s="169">
        <f>N31/N13</f>
        <v>1.9750375236147144E-2</v>
      </c>
      <c r="P33" s="440"/>
      <c r="Q33" s="440"/>
    </row>
    <row r="34" spans="2:17">
      <c r="D34" s="281"/>
      <c r="E34" s="281"/>
      <c r="F34" s="281"/>
      <c r="G34" s="281"/>
      <c r="H34" s="281"/>
      <c r="I34" s="281"/>
      <c r="J34" s="111"/>
      <c r="O34"/>
    </row>
    <row r="35" spans="2:17">
      <c r="B35" s="41" t="s">
        <v>26</v>
      </c>
      <c r="G35" s="55"/>
      <c r="H35" s="55"/>
      <c r="I35" s="55"/>
      <c r="J35" s="38"/>
      <c r="O35"/>
    </row>
    <row r="36" spans="2:17">
      <c r="B36" t="s">
        <v>379</v>
      </c>
      <c r="D36" s="111">
        <f>'Income Statement'!J53*-1</f>
        <v>21419.83</v>
      </c>
      <c r="E36" s="111">
        <f>'Income Statement'!K53*-1</f>
        <v>23580.15</v>
      </c>
      <c r="F36" s="111">
        <f>'Income Statement'!L53*-1</f>
        <v>31317.31</v>
      </c>
      <c r="G36" s="111">
        <f>'Income Statement'!M53*-1</f>
        <v>41693.54</v>
      </c>
      <c r="H36" s="111">
        <f>'Income Statement'!N53*-1</f>
        <v>50800</v>
      </c>
      <c r="I36" s="111">
        <f>'Income Statement'!O53*-1</f>
        <v>58908</v>
      </c>
      <c r="J36" s="141">
        <f>'Schedule Sheet'!J234</f>
        <v>63865.677208000001</v>
      </c>
      <c r="K36" s="141">
        <f>'Schedule Sheet'!K234</f>
        <v>67999.928415440008</v>
      </c>
      <c r="L36" s="141">
        <f>'Schedule Sheet'!L234</f>
        <v>91529.248791799007</v>
      </c>
      <c r="M36" s="141">
        <f>'Schedule Sheet'!M234</f>
        <v>97716.842495769073</v>
      </c>
      <c r="N36" s="141">
        <f>'Schedule Sheet'!N234</f>
        <v>103612.85428252419</v>
      </c>
      <c r="O36"/>
      <c r="P36" s="184">
        <f>IF(OR(I36&lt;=0,N36&lt;=0),"NM",_xlfn.RRI($N$9-$I$9,I36,N36))</f>
        <v>0.1195612849137031</v>
      </c>
      <c r="Q36" s="184">
        <f>IF(OR(K36&lt;=0,N36&lt;=0),"NM",_xlfn.RRI($N$9-$K$9,K36,N36))</f>
        <v>0.15071664200841717</v>
      </c>
    </row>
    <row r="37" spans="2:17">
      <c r="B37" t="s">
        <v>381</v>
      </c>
      <c r="D37" s="111">
        <v>0</v>
      </c>
      <c r="E37" s="111">
        <v>0</v>
      </c>
      <c r="F37" s="111">
        <v>0</v>
      </c>
      <c r="G37" s="111">
        <v>0</v>
      </c>
      <c r="H37" s="111">
        <v>0</v>
      </c>
      <c r="I37" s="111">
        <f>'Income Statement'!O52*-1</f>
        <v>17964</v>
      </c>
      <c r="J37" s="141">
        <v>0</v>
      </c>
      <c r="K37" s="141">
        <v>0</v>
      </c>
      <c r="L37" s="141">
        <v>0</v>
      </c>
      <c r="M37" s="141">
        <v>0</v>
      </c>
      <c r="N37" s="141">
        <v>0</v>
      </c>
      <c r="O37"/>
    </row>
    <row r="38" spans="2:17">
      <c r="B38" t="s">
        <v>380</v>
      </c>
      <c r="D38" s="111">
        <f>'Income Statement'!J51</f>
        <v>10369.64</v>
      </c>
      <c r="E38" s="111">
        <f>'Income Statement'!K51</f>
        <v>7255.98</v>
      </c>
      <c r="F38" s="111">
        <f>'Income Statement'!L51</f>
        <v>14349.65</v>
      </c>
      <c r="G38" s="111">
        <f>'Income Statement'!M51</f>
        <v>23269</v>
      </c>
      <c r="H38" s="111">
        <f>'Income Statement'!N51</f>
        <v>32953</v>
      </c>
      <c r="I38" s="111">
        <f>'Income Statement'!O51</f>
        <v>45515</v>
      </c>
      <c r="J38" s="141">
        <f>'Schedule Sheet'!J240</f>
        <v>42662.904060000008</v>
      </c>
      <c r="K38" s="141">
        <f>'Schedule Sheet'!K240</f>
        <v>60736.07774500001</v>
      </c>
      <c r="L38" s="141">
        <f>'Schedule Sheet'!L240</f>
        <v>101705.03501248999</v>
      </c>
      <c r="M38" s="141">
        <f>'Schedule Sheet'!M240</f>
        <v>121673.49806395068</v>
      </c>
      <c r="N38" s="141">
        <f>'Schedule Sheet'!N240</f>
        <v>124790.87575064243</v>
      </c>
      <c r="O38"/>
      <c r="P38" s="184">
        <f>IF(OR(I38&lt;=0,N38&lt;=0),"NM",_xlfn.RRI($N$9-$I$9,I38,N38))</f>
        <v>0.22350474249828611</v>
      </c>
      <c r="Q38" s="184">
        <f>IF(OR(K38&lt;=0,N38&lt;=0),"NM",_xlfn.RRI($N$9-$K$9,K38,N38))</f>
        <v>0.27129214437918714</v>
      </c>
    </row>
    <row r="39" spans="2:17" s="16" customFormat="1">
      <c r="B39" s="30" t="s">
        <v>67</v>
      </c>
      <c r="C39" s="30"/>
      <c r="D39" s="135">
        <f>D31-D36-D37+D38</f>
        <v>-58180.700000000012</v>
      </c>
      <c r="E39" s="135">
        <f t="shared" ref="E39:N39" si="13">E31-E36-E37+E38</f>
        <v>-61536.840000000011</v>
      </c>
      <c r="F39" s="135">
        <f t="shared" si="13"/>
        <v>-3043.850000000004</v>
      </c>
      <c r="G39" s="135">
        <f t="shared" si="13"/>
        <v>80493.459999999992</v>
      </c>
      <c r="H39" s="135">
        <f t="shared" si="13"/>
        <v>75934</v>
      </c>
      <c r="I39" s="135">
        <f t="shared" si="13"/>
        <v>-19605</v>
      </c>
      <c r="J39" s="135">
        <f t="shared" si="13"/>
        <v>12586.604733637418</v>
      </c>
      <c r="K39" s="135">
        <f t="shared" si="13"/>
        <v>45188.152372010627</v>
      </c>
      <c r="L39" s="135">
        <f t="shared" si="13"/>
        <v>42961.031471964219</v>
      </c>
      <c r="M39" s="135">
        <f t="shared" si="13"/>
        <v>43806.616110043993</v>
      </c>
      <c r="N39" s="135">
        <f t="shared" si="13"/>
        <v>62255.798503494967</v>
      </c>
      <c r="P39" s="438" t="str">
        <f>IF(OR(I39&lt;=0,N39&lt;=0),"NM",_xlfn.RRI($N$9-$I$9,I39,N39))</f>
        <v>NM</v>
      </c>
      <c r="Q39" s="438">
        <f>IF(OR(K39&lt;=0,N39&lt;=0),"NM",_xlfn.RRI($N$9-$K$9,K39,N39))</f>
        <v>0.11271789988788394</v>
      </c>
    </row>
    <row r="40" spans="2:17">
      <c r="O40"/>
    </row>
    <row r="41" spans="2:17">
      <c r="B41" s="44" t="s">
        <v>68</v>
      </c>
      <c r="D41" s="111">
        <f>'Income Statement'!J59</f>
        <v>-116.43</v>
      </c>
      <c r="E41" s="111">
        <f>'Income Statement'!K59</f>
        <v>81.61</v>
      </c>
      <c r="F41" s="111">
        <f>'Income Statement'!L59</f>
        <v>14.04</v>
      </c>
      <c r="G41" s="111">
        <f>'Income Statement'!M59</f>
        <v>-1232</v>
      </c>
      <c r="H41" s="111">
        <f>'Income Statement'!N59</f>
        <v>3350</v>
      </c>
      <c r="I41" s="111">
        <f>'Income Statement'!O59</f>
        <v>4331</v>
      </c>
      <c r="J41" s="141">
        <f>'Schedule Sheet'!J116</f>
        <v>-3146.6511834093544</v>
      </c>
      <c r="K41" s="141">
        <f>'Schedule Sheet'!K116</f>
        <v>-11297.038093002657</v>
      </c>
      <c r="L41" s="141">
        <f>'Schedule Sheet'!L116</f>
        <v>-10740.257867991055</v>
      </c>
      <c r="M41" s="141">
        <f>'Schedule Sheet'!M116</f>
        <v>-10951.654027510998</v>
      </c>
      <c r="N41" s="141">
        <f>'Schedule Sheet'!N116</f>
        <v>-15563.949625873742</v>
      </c>
      <c r="O41"/>
      <c r="P41" s="184" t="str">
        <f>IF(OR(I41&lt;=0,N41&lt;=0),"NM",_xlfn.RRI($N$9-$I$9,I41,N41))</f>
        <v>NM</v>
      </c>
      <c r="Q41" s="184">
        <f>_xlfn.RRI($N$9-$K$9,K41,N41)</f>
        <v>0.11271789988788394</v>
      </c>
    </row>
    <row r="42" spans="2:17" ht="15" thickBot="1">
      <c r="B42" s="31" t="s">
        <v>29</v>
      </c>
      <c r="C42" s="58"/>
      <c r="D42" s="140">
        <f>D39-D41</f>
        <v>-58064.270000000011</v>
      </c>
      <c r="E42" s="140">
        <f t="shared" ref="E42:I42" si="14">E39-E41</f>
        <v>-61618.450000000012</v>
      </c>
      <c r="F42" s="140">
        <f t="shared" si="14"/>
        <v>-3057.890000000004</v>
      </c>
      <c r="G42" s="140">
        <f t="shared" si="14"/>
        <v>81725.459999999992</v>
      </c>
      <c r="H42" s="140">
        <f t="shared" si="14"/>
        <v>72584</v>
      </c>
      <c r="I42" s="140">
        <f t="shared" si="14"/>
        <v>-23936</v>
      </c>
      <c r="J42" s="140">
        <f>J39+J41</f>
        <v>9439.9535502280632</v>
      </c>
      <c r="K42" s="140">
        <f t="shared" ref="K42:N42" si="15">K39+K41</f>
        <v>33891.114279007968</v>
      </c>
      <c r="L42" s="140">
        <f t="shared" si="15"/>
        <v>32220.773603973164</v>
      </c>
      <c r="M42" s="140">
        <f t="shared" si="15"/>
        <v>32854.962082532991</v>
      </c>
      <c r="N42" s="140">
        <f t="shared" si="15"/>
        <v>46691.848877621225</v>
      </c>
      <c r="O42"/>
      <c r="P42" s="438" t="str">
        <f>IF(OR(I42&lt;=0,N42&lt;=0),"NM",_xlfn.RRI($N$9-$I$9,I42,N42))</f>
        <v>NM</v>
      </c>
      <c r="Q42" s="438">
        <f>IF(OR(K42&lt;=0,N42&lt;=0),"NM",_xlfn.RRI($N$9-$K$9,K42,N42))</f>
        <v>0.11271789988788394</v>
      </c>
    </row>
    <row r="43" spans="2:17">
      <c r="O43"/>
    </row>
    <row r="44" spans="2:17" s="197" customFormat="1">
      <c r="B44" s="197" t="s">
        <v>69</v>
      </c>
      <c r="D44" s="223" t="str">
        <f>IFERROR(D13/C13-1,"NM")</f>
        <v>NM</v>
      </c>
      <c r="E44" s="223">
        <f t="shared" ref="E44" si="16">IFERROR(E13/D13-1,"NM")</f>
        <v>0.77116184404893473</v>
      </c>
      <c r="F44" s="223">
        <f t="shared" ref="F44" si="17">IFERROR(F13/E13-1,"NM")</f>
        <v>1.0996724490412553</v>
      </c>
      <c r="G44" s="223">
        <f t="shared" ref="G44:N44" si="18">IFERROR(G13/F13-1,"NM")</f>
        <v>0.26554249548634501</v>
      </c>
      <c r="H44" s="222">
        <f t="shared" si="18"/>
        <v>0.17268298204901589</v>
      </c>
      <c r="I44" s="222">
        <f t="shared" si="18"/>
        <v>5.1470924929674533E-2</v>
      </c>
      <c r="J44" s="222">
        <f t="shared" si="18"/>
        <v>0.19557522842591801</v>
      </c>
      <c r="K44" s="222">
        <f t="shared" si="18"/>
        <v>0.19584698767925368</v>
      </c>
      <c r="L44" s="222">
        <f t="shared" si="18"/>
        <v>0.19610051023307129</v>
      </c>
      <c r="M44" s="222">
        <f t="shared" si="18"/>
        <v>0.19633701565520778</v>
      </c>
      <c r="N44" s="222">
        <f t="shared" si="18"/>
        <v>0.19655765108269918</v>
      </c>
      <c r="P44" s="441"/>
      <c r="Q44" s="441"/>
    </row>
    <row r="45" spans="2:17" s="197" customFormat="1">
      <c r="B45" s="197" t="s">
        <v>70</v>
      </c>
      <c r="D45" s="223">
        <f t="shared" ref="D45:F45" si="19">IFERROR(D15/D13,"NM")</f>
        <v>0.35464980983401595</v>
      </c>
      <c r="E45" s="223">
        <f t="shared" si="19"/>
        <v>0.25028349352878898</v>
      </c>
      <c r="F45" s="223">
        <f t="shared" si="19"/>
        <v>0.28536409892486475</v>
      </c>
      <c r="G45" s="223">
        <f t="shared" ref="G45:N45" si="20">IFERROR(G15/G13,"NM")</f>
        <v>0.41084954059470891</v>
      </c>
      <c r="H45" s="223">
        <f t="shared" si="20"/>
        <v>0.40373055917547512</v>
      </c>
      <c r="I45" s="223">
        <f t="shared" si="20"/>
        <v>0.33611654164984539</v>
      </c>
      <c r="J45" s="223">
        <f t="shared" si="20"/>
        <v>0.33999999999999991</v>
      </c>
      <c r="K45" s="223">
        <f t="shared" si="20"/>
        <v>0.34</v>
      </c>
      <c r="L45" s="223">
        <f t="shared" si="20"/>
        <v>0.33999999999999997</v>
      </c>
      <c r="M45" s="223">
        <f t="shared" si="20"/>
        <v>0.33999999999999997</v>
      </c>
      <c r="N45" s="223">
        <f t="shared" si="20"/>
        <v>0.33999999999999997</v>
      </c>
      <c r="P45" s="441"/>
      <c r="Q45" s="441"/>
    </row>
    <row r="46" spans="2:17" s="197" customFormat="1">
      <c r="B46" s="197" t="s">
        <v>71</v>
      </c>
      <c r="D46" s="223">
        <f t="shared" ref="D46:F46" si="21">IFERROR(D25/D13,"NM")</f>
        <v>-9.2926322642794686E-4</v>
      </c>
      <c r="E46" s="223">
        <f t="shared" si="21"/>
        <v>2.1107344137754842E-2</v>
      </c>
      <c r="F46" s="223">
        <f t="shared" si="21"/>
        <v>0.11929794581843559</v>
      </c>
      <c r="G46" s="223">
        <f t="shared" ref="G46:N46" si="22">IFERROR(G25/G13,"NM")</f>
        <v>0.23681395790973858</v>
      </c>
      <c r="H46" s="223">
        <f t="shared" si="22"/>
        <v>0.22348579073275834</v>
      </c>
      <c r="I46" s="223">
        <f t="shared" si="22"/>
        <v>0.14104439754760664</v>
      </c>
      <c r="J46" s="223">
        <f t="shared" si="22"/>
        <v>0.14999999999999994</v>
      </c>
      <c r="K46" s="223">
        <f t="shared" si="22"/>
        <v>0.15</v>
      </c>
      <c r="L46" s="223">
        <f t="shared" si="22"/>
        <v>0.12000000000000001</v>
      </c>
      <c r="M46" s="223">
        <f t="shared" si="22"/>
        <v>9.9999999999999992E-2</v>
      </c>
      <c r="N46" s="223">
        <f t="shared" si="22"/>
        <v>9.9999999999999978E-2</v>
      </c>
      <c r="P46" s="441"/>
      <c r="Q46" s="441"/>
    </row>
    <row r="47" spans="2:17" s="197" customFormat="1">
      <c r="B47" s="197" t="s">
        <v>72</v>
      </c>
      <c r="D47" s="223">
        <f t="shared" ref="D47:F47" si="23">IFERROR(D31/D13,"NM")</f>
        <v>-0.32191583819030756</v>
      </c>
      <c r="E47" s="223">
        <f t="shared" si="23"/>
        <v>-0.17435809371566244</v>
      </c>
      <c r="F47" s="223">
        <f t="shared" si="23"/>
        <v>2.5573401448208199E-2</v>
      </c>
      <c r="G47" s="223">
        <f t="shared" ref="G47:N47" si="24">IFERROR(G31/G13,"NM")</f>
        <v>0.14355852972891386</v>
      </c>
      <c r="H47" s="223">
        <f t="shared" si="24"/>
        <v>0.11606142848833396</v>
      </c>
      <c r="I47" s="223">
        <f t="shared" si="24"/>
        <v>1.3832082380455239E-2</v>
      </c>
      <c r="J47" s="223">
        <f t="shared" si="24"/>
        <v>3.3264352305527774E-2</v>
      </c>
      <c r="K47" s="223">
        <f t="shared" si="24"/>
        <v>4.3180268622769809E-2</v>
      </c>
      <c r="L47" s="223">
        <f t="shared" si="24"/>
        <v>2.2564931690031782E-2</v>
      </c>
      <c r="M47" s="223">
        <f t="shared" si="24"/>
        <v>1.1419884034237739E-2</v>
      </c>
      <c r="N47" s="223">
        <f t="shared" si="24"/>
        <v>1.9750375236147144E-2</v>
      </c>
      <c r="P47" s="441"/>
      <c r="Q47" s="441"/>
    </row>
    <row r="48" spans="2:17" s="197" customFormat="1">
      <c r="B48" s="197" t="s">
        <v>73</v>
      </c>
      <c r="D48" s="223">
        <f t="shared" ref="D48:F48" si="25">IFERROR(-D41/D39,"NM")</f>
        <v>-2.0011790851605427E-3</v>
      </c>
      <c r="E48" s="223">
        <f t="shared" si="25"/>
        <v>1.3261974453026835E-3</v>
      </c>
      <c r="F48" s="223">
        <f t="shared" si="25"/>
        <v>4.6125794635083796E-3</v>
      </c>
      <c r="G48" s="223">
        <f>IFERROR(-G41/G39,"NM")</f>
        <v>1.5305591286546759E-2</v>
      </c>
      <c r="H48" s="223">
        <f t="shared" ref="H48:M48" si="26">IFERROR(-H41/H39,"NM")</f>
        <v>-4.4117259725551139E-2</v>
      </c>
      <c r="I48" s="223">
        <f t="shared" si="26"/>
        <v>0.22091303238969651</v>
      </c>
      <c r="J48" s="223">
        <f t="shared" si="26"/>
        <v>0.25</v>
      </c>
      <c r="K48" s="223">
        <f t="shared" si="26"/>
        <v>0.25</v>
      </c>
      <c r="L48" s="223">
        <f t="shared" si="26"/>
        <v>0.25</v>
      </c>
      <c r="M48" s="223">
        <f t="shared" si="26"/>
        <v>0.25</v>
      </c>
      <c r="N48" s="223">
        <f t="shared" ref="N48" si="27">IFERROR(-N41/N39,"NM")</f>
        <v>0.25</v>
      </c>
      <c r="P48" s="441"/>
      <c r="Q48" s="441"/>
    </row>
    <row r="49" spans="2:17" s="197" customFormat="1">
      <c r="B49" s="197" t="s">
        <v>74</v>
      </c>
      <c r="D49" s="223">
        <f t="shared" ref="D49:F49" si="28">IFERROR(D42/D13,"NM")</f>
        <v>-0.39659677236589058</v>
      </c>
      <c r="E49" s="223">
        <f t="shared" si="28"/>
        <v>-0.23762532669965872</v>
      </c>
      <c r="F49" s="223">
        <f t="shared" si="28"/>
        <v>-5.6163254564994417E-3</v>
      </c>
      <c r="G49" s="223">
        <f>IFERROR(G42/G13,"NM")</f>
        <v>0.11860719867990821</v>
      </c>
      <c r="H49" s="223">
        <f t="shared" ref="H49:N49" si="29">IFERROR(H42/H13,"NM")</f>
        <v>8.9828459127085786E-2</v>
      </c>
      <c r="I49" s="223">
        <f t="shared" si="29"/>
        <v>-2.817262796618249E-2</v>
      </c>
      <c r="J49" s="223">
        <f t="shared" si="29"/>
        <v>9.2932738135215135E-3</v>
      </c>
      <c r="K49" s="223">
        <f t="shared" si="29"/>
        <v>2.7900315214047549E-2</v>
      </c>
      <c r="L49" s="223">
        <f t="shared" si="29"/>
        <v>2.217642570007609E-2</v>
      </c>
      <c r="M49" s="223">
        <f t="shared" si="29"/>
        <v>1.8901793589993828E-2</v>
      </c>
      <c r="N49" s="223">
        <f t="shared" si="29"/>
        <v>2.244964558350614E-2</v>
      </c>
      <c r="P49" s="441"/>
      <c r="Q49" s="441"/>
    </row>
    <row r="50" spans="2:17">
      <c r="O50"/>
    </row>
    <row r="51" spans="2:17" ht="15.6">
      <c r="B51" s="7" t="s">
        <v>75</v>
      </c>
      <c r="C51" s="8"/>
      <c r="D51" s="8"/>
      <c r="E51" s="8"/>
      <c r="F51" s="8"/>
      <c r="G51" s="8"/>
      <c r="H51" s="8"/>
      <c r="I51" s="8"/>
      <c r="J51" s="8"/>
      <c r="K51" s="8"/>
      <c r="L51" s="8"/>
      <c r="M51" s="54"/>
      <c r="N51" s="54"/>
      <c r="O51"/>
    </row>
    <row r="52" spans="2:17">
      <c r="O52"/>
    </row>
    <row r="53" spans="2:17">
      <c r="B53" s="41" t="s">
        <v>76</v>
      </c>
      <c r="J53" s="424"/>
      <c r="K53" s="425"/>
      <c r="L53" s="424"/>
      <c r="M53" s="424"/>
      <c r="N53" s="424"/>
      <c r="O53"/>
    </row>
    <row r="54" spans="2:17" s="19" customFormat="1">
      <c r="B54" s="19" t="s">
        <v>77</v>
      </c>
      <c r="D54" s="171">
        <f>'Cash Flow Statement'!J95</f>
        <v>5088.8500000000004</v>
      </c>
      <c r="E54" s="171">
        <f>'Cash Flow Statement'!K95</f>
        <v>10153.290000000001</v>
      </c>
      <c r="F54" s="171">
        <f>'Cash Flow Statement'!L95</f>
        <v>12679.69</v>
      </c>
      <c r="G54" s="171">
        <f>'Cash Flow Statement'!M95</f>
        <v>6953</v>
      </c>
      <c r="H54" s="171">
        <f>'Cash Flow Statement'!N95</f>
        <v>10731</v>
      </c>
      <c r="I54" s="171">
        <f>'Cash Flow Statement'!O95</f>
        <v>13239</v>
      </c>
      <c r="J54" s="227">
        <f>J202</f>
        <v>12850.010783839816</v>
      </c>
      <c r="K54" s="227">
        <f t="shared" ref="K54:N54" si="30">K202</f>
        <v>75594.011065737941</v>
      </c>
      <c r="L54" s="227">
        <f t="shared" si="30"/>
        <v>30667.138506819974</v>
      </c>
      <c r="M54" s="227">
        <f t="shared" si="30"/>
        <v>7441.8579310505738</v>
      </c>
      <c r="N54" s="227">
        <f t="shared" si="30"/>
        <v>19363.638936836374</v>
      </c>
      <c r="P54" s="442"/>
      <c r="Q54" s="442"/>
    </row>
    <row r="55" spans="2:17" s="19" customFormat="1">
      <c r="B55" s="19" t="s">
        <v>203</v>
      </c>
      <c r="D55" s="171">
        <f>'Balance Sheet'!J28</f>
        <v>107187.8</v>
      </c>
      <c r="E55" s="171">
        <f>'Balance Sheet'!K28</f>
        <v>91048.12</v>
      </c>
      <c r="F55" s="171">
        <f>'Balance Sheet'!L28</f>
        <v>105717.16</v>
      </c>
      <c r="G55" s="171">
        <f>'Balance Sheet'!M28</f>
        <v>160253</v>
      </c>
      <c r="H55" s="171">
        <f>'Balance Sheet'!N28</f>
        <v>178898</v>
      </c>
      <c r="I55" s="171">
        <f>'Balance Sheet'!O28</f>
        <v>226754</v>
      </c>
      <c r="J55" s="227">
        <f>I55+4292.118555</f>
        <v>231046.11855499999</v>
      </c>
      <c r="K55" s="227">
        <f>J55-591.684659731</f>
        <v>230454.433895269</v>
      </c>
      <c r="L55" s="227">
        <f>K55+2236.845325515</f>
        <v>232691.279220784</v>
      </c>
      <c r="M55" s="227">
        <f>L55+831.768270362</f>
        <v>233523.04749114599</v>
      </c>
      <c r="N55" s="227">
        <f>M55+532.783730967</f>
        <v>234055.83122211299</v>
      </c>
      <c r="P55" s="442"/>
      <c r="Q55" s="442"/>
    </row>
    <row r="56" spans="2:17">
      <c r="B56" t="s">
        <v>39</v>
      </c>
      <c r="D56" s="84">
        <f>'Schedule Sheet'!D140</f>
        <v>3164.18</v>
      </c>
      <c r="E56" s="84">
        <f>'Schedule Sheet'!E140</f>
        <v>4080.63</v>
      </c>
      <c r="F56" s="84">
        <f>'Schedule Sheet'!F140</f>
        <v>5910.67</v>
      </c>
      <c r="G56" s="84">
        <f>'Schedule Sheet'!G140</f>
        <v>6248</v>
      </c>
      <c r="H56" s="84">
        <f>'Schedule Sheet'!H140</f>
        <v>8203</v>
      </c>
      <c r="I56" s="193">
        <f>'Schedule Sheet'!I140</f>
        <v>9848</v>
      </c>
      <c r="J56" s="151">
        <f>'Schedule Sheet'!J140</f>
        <v>11020.55447342466</v>
      </c>
      <c r="K56" s="151">
        <f>'Schedule Sheet'!K140</f>
        <v>13178.896869600001</v>
      </c>
      <c r="L56" s="151">
        <f>'Schedule Sheet'!L140</f>
        <v>15763.285270037586</v>
      </c>
      <c r="M56" s="151">
        <f>'Schedule Sheet'!M140</f>
        <v>18858.20165687846</v>
      </c>
      <c r="N56" s="151">
        <f>'Schedule Sheet'!N140</f>
        <v>22564.925478198358</v>
      </c>
      <c r="O56"/>
    </row>
    <row r="57" spans="2:17">
      <c r="B57" t="s">
        <v>828</v>
      </c>
      <c r="D57" s="84">
        <f>'Schedule Sheet'!D134</f>
        <v>2189.7800000000002</v>
      </c>
      <c r="E57" s="84">
        <f>'Schedule Sheet'!E134</f>
        <v>3329.23</v>
      </c>
      <c r="F57" s="84">
        <f>'Schedule Sheet'!F134</f>
        <v>5199.04</v>
      </c>
      <c r="G57" s="84">
        <f>'Schedule Sheet'!G134</f>
        <v>6425</v>
      </c>
      <c r="H57" s="84">
        <f>'Schedule Sheet'!H134</f>
        <v>7397</v>
      </c>
      <c r="I57" s="193">
        <f>'Schedule Sheet'!I134</f>
        <v>5996</v>
      </c>
      <c r="J57" s="151">
        <f>'Schedule Sheet'!J134</f>
        <v>13914.841506849316</v>
      </c>
      <c r="K57" s="151">
        <f>'Schedule Sheet'!K134</f>
        <v>16640.0213</v>
      </c>
      <c r="L57" s="151">
        <f>'Schedule Sheet'!L134</f>
        <v>19903.137967219176</v>
      </c>
      <c r="M57" s="151">
        <f>'Schedule Sheet'!M134</f>
        <v>19048.688542301476</v>
      </c>
      <c r="N57" s="151">
        <f>'Schedule Sheet'!N134</f>
        <v>22792.854018382179</v>
      </c>
      <c r="O57"/>
      <c r="P57" s="184"/>
      <c r="Q57" s="184"/>
    </row>
    <row r="58" spans="2:17">
      <c r="B58" t="s">
        <v>42</v>
      </c>
      <c r="D58" s="84">
        <f>'Schedule Sheet'!D146</f>
        <v>390.93</v>
      </c>
      <c r="E58" s="84">
        <f>'Schedule Sheet'!E146</f>
        <v>632.38</v>
      </c>
      <c r="F58" s="84">
        <f>'Schedule Sheet'!F146</f>
        <v>669.73</v>
      </c>
      <c r="G58" s="84">
        <f>'Schedule Sheet'!G146</f>
        <v>1029</v>
      </c>
      <c r="H58" s="84">
        <f>'Schedule Sheet'!H146</f>
        <v>2138</v>
      </c>
      <c r="I58" s="193">
        <f>'Schedule Sheet'!I146</f>
        <v>3399</v>
      </c>
      <c r="J58" s="151">
        <f>'Schedule Sheet'!J146</f>
        <v>4692.9194466000008</v>
      </c>
      <c r="K58" s="151">
        <f>'Schedule Sheet'!K146</f>
        <v>5612.0135836380005</v>
      </c>
      <c r="L58" s="151">
        <f>'Schedule Sheet'!L146</f>
        <v>6712.5323108243392</v>
      </c>
      <c r="M58" s="151">
        <f>'Schedule Sheet'!M146</f>
        <v>8030.4508722207447</v>
      </c>
      <c r="N58" s="151">
        <f>'Schedule Sheet'!N146</f>
        <v>9608.8974327994674</v>
      </c>
      <c r="O58"/>
    </row>
    <row r="59" spans="2:17">
      <c r="B59" t="s">
        <v>345</v>
      </c>
      <c r="D59" s="84">
        <f>'Schedule Sheet'!D156</f>
        <v>80872.959999999992</v>
      </c>
      <c r="E59" s="84">
        <f>'Schedule Sheet'!E156</f>
        <v>84345.82</v>
      </c>
      <c r="F59" s="84">
        <f>'Schedule Sheet'!F156</f>
        <v>125977.95999999999</v>
      </c>
      <c r="G59" s="84">
        <f>'Schedule Sheet'!G156</f>
        <v>172993</v>
      </c>
      <c r="H59" s="84">
        <f>'Schedule Sheet'!H156</f>
        <v>283615</v>
      </c>
      <c r="I59" s="193">
        <f>'Schedule Sheet'!I156</f>
        <v>305385</v>
      </c>
      <c r="J59" s="151">
        <f>'Schedule Sheet'!J156</f>
        <v>355524.20049999998</v>
      </c>
      <c r="K59" s="151">
        <f>'Schedule Sheet'!K156</f>
        <v>425152.544215</v>
      </c>
      <c r="L59" s="151">
        <f>'Schedule Sheet'!L156</f>
        <v>508525.17506244988</v>
      </c>
      <c r="M59" s="151">
        <f>'Schedule Sheet'!M156</f>
        <v>608367.4903197533</v>
      </c>
      <c r="N59" s="151">
        <f>'Schedule Sheet'!N156</f>
        <v>727946.7752120808</v>
      </c>
      <c r="O59"/>
    </row>
    <row r="60" spans="2:17">
      <c r="B60" t="s">
        <v>51</v>
      </c>
      <c r="D60" s="84">
        <f>'Schedule Sheet'!D151</f>
        <v>9244.67</v>
      </c>
      <c r="E60" s="84">
        <f>'Schedule Sheet'!E151</f>
        <v>8699.3200000000015</v>
      </c>
      <c r="F60" s="84">
        <f>'Schedule Sheet'!F151</f>
        <v>5332.8899999999994</v>
      </c>
      <c r="G60" s="84">
        <f>'Schedule Sheet'!G151</f>
        <v>4630</v>
      </c>
      <c r="H60" s="84">
        <f>'Schedule Sheet'!H151</f>
        <v>16049</v>
      </c>
      <c r="I60" s="193">
        <f>'Schedule Sheet'!I151</f>
        <v>14671</v>
      </c>
      <c r="J60" s="151">
        <f>'Schedule Sheet'!J151</f>
        <v>30473.502899999999</v>
      </c>
      <c r="K60" s="151">
        <f>'Schedule Sheet'!K151</f>
        <v>36441.646647000001</v>
      </c>
      <c r="L60" s="151">
        <f>'Schedule Sheet'!L151</f>
        <v>43587.872148209994</v>
      </c>
      <c r="M60" s="151">
        <f>'Schedule Sheet'!M151</f>
        <v>52145.784884550289</v>
      </c>
      <c r="N60" s="151">
        <f>'Schedule Sheet'!N151</f>
        <v>62395.437875321215</v>
      </c>
      <c r="O60"/>
    </row>
    <row r="61" spans="2:17">
      <c r="B61" s="30" t="s">
        <v>78</v>
      </c>
      <c r="C61" s="30"/>
      <c r="D61" s="135">
        <f>SUM(D54:D60)</f>
        <v>208139.17</v>
      </c>
      <c r="E61" s="135">
        <f t="shared" ref="E61:F61" si="31">SUM(E54:E60)</f>
        <v>202288.79000000004</v>
      </c>
      <c r="F61" s="135">
        <f t="shared" si="31"/>
        <v>261487.14</v>
      </c>
      <c r="G61" s="135">
        <f>SUM(G54:G60)</f>
        <v>358531</v>
      </c>
      <c r="H61" s="135">
        <f>SUM(H54:H60)</f>
        <v>507031</v>
      </c>
      <c r="I61" s="135">
        <f t="shared" ref="I61" si="32">SUM(I54:I60)</f>
        <v>579292</v>
      </c>
      <c r="J61" s="135">
        <f>SUM(J54:J60)</f>
        <v>659522.14816571376</v>
      </c>
      <c r="K61" s="135">
        <f t="shared" ref="K61:N61" si="33">SUM(K54:K60)</f>
        <v>803073.56757624494</v>
      </c>
      <c r="L61" s="135">
        <f t="shared" si="33"/>
        <v>857850.42048634496</v>
      </c>
      <c r="M61" s="135">
        <f t="shared" si="33"/>
        <v>947415.52169790084</v>
      </c>
      <c r="N61" s="135">
        <f t="shared" si="33"/>
        <v>1098728.3601757314</v>
      </c>
      <c r="O61"/>
    </row>
    <row r="62" spans="2:17">
      <c r="H62" s="111"/>
      <c r="O62"/>
    </row>
    <row r="63" spans="2:17">
      <c r="B63" t="s">
        <v>693</v>
      </c>
      <c r="D63" s="111">
        <f>'Balance Sheet'!J9</f>
        <v>7969.66</v>
      </c>
      <c r="E63" s="111">
        <f>'Balance Sheet'!K9</f>
        <v>8239.5300000000007</v>
      </c>
      <c r="F63" s="111">
        <f>'Balance Sheet'!L9</f>
        <v>11111.69</v>
      </c>
      <c r="G63" s="111">
        <f>'Balance Sheet'!M9</f>
        <v>19029</v>
      </c>
      <c r="H63" s="111">
        <f>'Balance Sheet'!N9</f>
        <v>26779</v>
      </c>
      <c r="I63" s="111">
        <f>'Balance Sheet'!O9</f>
        <v>110871</v>
      </c>
      <c r="J63" s="151">
        <f>'Schedule Sheet'!J46</f>
        <v>117767.32549768752</v>
      </c>
      <c r="K63" s="151">
        <f>'Schedule Sheet'!K46</f>
        <v>124424.94361150212</v>
      </c>
      <c r="L63" s="151">
        <f>'Schedule Sheet'!L46</f>
        <v>130673.21719357869</v>
      </c>
      <c r="M63" s="151">
        <f>'Schedule Sheet'!M46</f>
        <v>136305.67221794807</v>
      </c>
      <c r="N63" s="151">
        <f>'Schedule Sheet'!N46</f>
        <v>141074.47979477735</v>
      </c>
      <c r="O63"/>
    </row>
    <row r="64" spans="2:17">
      <c r="B64" t="str">
        <f>'Schedule Sheet'!B49</f>
        <v>Right of use assets</v>
      </c>
      <c r="D64" s="111">
        <f>'Balance Sheet'!J10</f>
        <v>179861.71</v>
      </c>
      <c r="E64" s="111">
        <f>'Balance Sheet'!K10</f>
        <v>204381.48</v>
      </c>
      <c r="F64" s="111">
        <f>'Balance Sheet'!L10</f>
        <v>265364.95</v>
      </c>
      <c r="G64" s="111">
        <f>'Balance Sheet'!M10</f>
        <v>342023</v>
      </c>
      <c r="H64" s="111">
        <f>'Balance Sheet'!N10</f>
        <v>490739</v>
      </c>
      <c r="I64" s="193">
        <f>'Schedule Sheet'!I52</f>
        <v>520540</v>
      </c>
      <c r="J64" s="151">
        <f>'Schedule Sheet'!J52</f>
        <v>552918.2889535249</v>
      </c>
      <c r="K64" s="151">
        <f>'Schedule Sheet'!K52</f>
        <v>584175.84532953892</v>
      </c>
      <c r="L64" s="151">
        <f>'Schedule Sheet'!L52</f>
        <v>613511.52671073074</v>
      </c>
      <c r="M64" s="151">
        <f>'Schedule Sheet'!M52</f>
        <v>639955.93632537511</v>
      </c>
      <c r="N64" s="151">
        <f>'Schedule Sheet'!N52</f>
        <v>662345.51607159094</v>
      </c>
      <c r="O64"/>
    </row>
    <row r="65" spans="2:18">
      <c r="B65" t="str">
        <f>'Schedule Sheet'!B56</f>
        <v>Capital Work In Progress</v>
      </c>
      <c r="D65" s="111">
        <f>'Schedule Sheet'!D56</f>
        <v>663.51</v>
      </c>
      <c r="E65" s="111">
        <f>'Schedule Sheet'!E56</f>
        <v>1193.18</v>
      </c>
      <c r="F65" s="111">
        <f>'Schedule Sheet'!F56</f>
        <v>0</v>
      </c>
      <c r="G65" s="111">
        <f>'Schedule Sheet'!G56</f>
        <v>1</v>
      </c>
      <c r="H65" s="111">
        <f>'Schedule Sheet'!H56</f>
        <v>7</v>
      </c>
      <c r="I65" s="193">
        <f>'Schedule Sheet'!I56</f>
        <v>387</v>
      </c>
      <c r="J65" s="151">
        <f>'Schedule Sheet'!K56</f>
        <v>0</v>
      </c>
      <c r="K65" s="151">
        <f>'Schedule Sheet'!L56</f>
        <v>0</v>
      </c>
      <c r="L65" s="151">
        <f>'Schedule Sheet'!M56</f>
        <v>0</v>
      </c>
      <c r="M65" s="151">
        <f>'Schedule Sheet'!N56</f>
        <v>0</v>
      </c>
      <c r="N65" s="151">
        <f>'Schedule Sheet'!O56</f>
        <v>0</v>
      </c>
      <c r="O65"/>
    </row>
    <row r="66" spans="2:18">
      <c r="B66" t="str">
        <f>'Schedule Sheet'!B72</f>
        <v>Other Non-Current Assets</v>
      </c>
      <c r="D66" s="111">
        <f>'Schedule Sheet'!D72</f>
        <v>9498.1299999999992</v>
      </c>
      <c r="E66" s="111">
        <f>'Schedule Sheet'!E72</f>
        <v>12266.99</v>
      </c>
      <c r="F66" s="111">
        <f>'Schedule Sheet'!F72</f>
        <v>14971.32</v>
      </c>
      <c r="G66" s="111">
        <f>'Schedule Sheet'!G72</f>
        <v>19161</v>
      </c>
      <c r="H66" s="111">
        <f>'Schedule Sheet'!H72</f>
        <v>24169</v>
      </c>
      <c r="I66" s="193">
        <f>'Schedule Sheet'!I72</f>
        <v>38373</v>
      </c>
      <c r="J66" s="151">
        <f>'Schedule Sheet'!J72</f>
        <v>42210.3</v>
      </c>
      <c r="K66" s="151">
        <f>'Schedule Sheet'!K72</f>
        <v>46431.330000000009</v>
      </c>
      <c r="L66" s="151">
        <f>'Schedule Sheet'!L72</f>
        <v>51074.463000000011</v>
      </c>
      <c r="M66" s="151">
        <f>'Schedule Sheet'!M72</f>
        <v>56181.909300000014</v>
      </c>
      <c r="N66" s="151">
        <f>'Schedule Sheet'!N72</f>
        <v>61800.100230000018</v>
      </c>
      <c r="O66"/>
    </row>
    <row r="67" spans="2:18">
      <c r="B67" t="str">
        <f>'Schedule Sheet'!B60</f>
        <v>Financial Assets</v>
      </c>
      <c r="C67" s="56"/>
      <c r="D67" s="111">
        <f>'Schedule Sheet'!D60</f>
        <v>15823.74</v>
      </c>
      <c r="E67" s="111">
        <f>'Schedule Sheet'!E60</f>
        <v>20911.34</v>
      </c>
      <c r="F67" s="111">
        <f>'Schedule Sheet'!F60</f>
        <v>24500.34</v>
      </c>
      <c r="G67" s="111">
        <f>'Schedule Sheet'!G60</f>
        <v>62711</v>
      </c>
      <c r="H67" s="111">
        <f>'Schedule Sheet'!H60</f>
        <v>88116</v>
      </c>
      <c r="I67" s="193">
        <f>'Schedule Sheet'!I60</f>
        <v>90417</v>
      </c>
      <c r="J67" s="151">
        <f>'Schedule Sheet'!J60</f>
        <v>99458.700000000012</v>
      </c>
      <c r="K67" s="151">
        <f>'Schedule Sheet'!K60</f>
        <v>109404.57000000002</v>
      </c>
      <c r="L67" s="151">
        <f>'Schedule Sheet'!L60</f>
        <v>119250.98130000003</v>
      </c>
      <c r="M67" s="151">
        <f>'Schedule Sheet'!M60</f>
        <v>128791.05980400003</v>
      </c>
      <c r="N67" s="151">
        <f>'Schedule Sheet'!N60</f>
        <v>139094.34458832003</v>
      </c>
      <c r="O67"/>
    </row>
    <row r="68" spans="2:18">
      <c r="B68" t="str">
        <f>'Schedule Sheet'!B64</f>
        <v>Deferred Tax</v>
      </c>
      <c r="D68" s="111">
        <f>'Schedule Sheet'!D64</f>
        <v>3026.93</v>
      </c>
      <c r="E68" s="111">
        <f>'Schedule Sheet'!E64</f>
        <v>2949.44</v>
      </c>
      <c r="F68" s="111">
        <f>'Schedule Sheet'!F64</f>
        <v>2949.44</v>
      </c>
      <c r="G68" s="111">
        <f>'Schedule Sheet'!G64</f>
        <v>4192</v>
      </c>
      <c r="H68" s="111">
        <f>'Schedule Sheet'!H64</f>
        <v>4192</v>
      </c>
      <c r="I68" s="193">
        <f>'Schedule Sheet'!I64</f>
        <v>0</v>
      </c>
      <c r="J68" s="151">
        <f>'Schedule Sheet'!J64</f>
        <v>0</v>
      </c>
      <c r="K68" s="151">
        <f>'Schedule Sheet'!K64</f>
        <v>0</v>
      </c>
      <c r="L68" s="151">
        <f>'Schedule Sheet'!L64</f>
        <v>0</v>
      </c>
      <c r="M68" s="151">
        <f>'Schedule Sheet'!M64</f>
        <v>0</v>
      </c>
      <c r="N68" s="151">
        <f>'Schedule Sheet'!N64</f>
        <v>0</v>
      </c>
      <c r="O68"/>
    </row>
    <row r="69" spans="2:18">
      <c r="B69" t="str">
        <f>'Schedule Sheet'!B68</f>
        <v>Income Tax</v>
      </c>
      <c r="D69" s="111">
        <f>'Schedule Sheet'!D68</f>
        <v>5139.53</v>
      </c>
      <c r="E69" s="111">
        <f>'Schedule Sheet'!E68</f>
        <v>7119.22</v>
      </c>
      <c r="F69" s="111">
        <f>'Schedule Sheet'!F68</f>
        <v>10997.87</v>
      </c>
      <c r="G69" s="111">
        <f>'Schedule Sheet'!G68</f>
        <v>16101</v>
      </c>
      <c r="H69" s="111">
        <f>'Schedule Sheet'!H68</f>
        <v>17080</v>
      </c>
      <c r="I69" s="193">
        <f>'Schedule Sheet'!I68</f>
        <v>19775</v>
      </c>
      <c r="J69" s="151">
        <f>'Schedule Sheet'!J68</f>
        <v>24718.75</v>
      </c>
      <c r="K69" s="151">
        <f>'Schedule Sheet'!K68</f>
        <v>30898.4375</v>
      </c>
      <c r="L69" s="151">
        <f>'Schedule Sheet'!L68</f>
        <v>38623.046875</v>
      </c>
      <c r="M69" s="151">
        <f>'Schedule Sheet'!M68</f>
        <v>48278.80859375</v>
      </c>
      <c r="N69" s="151">
        <f>'Schedule Sheet'!N68</f>
        <v>60348.5107421875</v>
      </c>
      <c r="O69"/>
    </row>
    <row r="70" spans="2:18">
      <c r="B70" t="str">
        <f>'Schedule Sheet'!B76</f>
        <v>Intangible Non Current Asset - Amount Spend</v>
      </c>
      <c r="D70" s="111">
        <f>'Schedule Sheet'!D79</f>
        <v>334.96</v>
      </c>
      <c r="E70" s="111">
        <f>'Schedule Sheet'!E79</f>
        <v>215.62</v>
      </c>
      <c r="F70" s="111">
        <f>'Schedule Sheet'!F79</f>
        <v>107.27</v>
      </c>
      <c r="G70" s="111">
        <f>'Schedule Sheet'!G79</f>
        <v>483</v>
      </c>
      <c r="H70" s="111">
        <f>'Schedule Sheet'!H79</f>
        <v>299</v>
      </c>
      <c r="I70" s="193">
        <f>'Schedule Sheet'!J79</f>
        <v>159.99893042508285</v>
      </c>
      <c r="J70" s="151">
        <f>'Schedule Sheet'!J79</f>
        <v>159.99893042508285</v>
      </c>
      <c r="K70" s="151">
        <f>'Schedule Sheet'!K79</f>
        <v>159.99786085016569</v>
      </c>
      <c r="L70" s="151">
        <f>'Schedule Sheet'!L79</f>
        <v>159.99679127524854</v>
      </c>
      <c r="M70" s="151">
        <f>'Schedule Sheet'!M79</f>
        <v>159.99572170033139</v>
      </c>
      <c r="N70" s="151">
        <f>'Schedule Sheet'!N79</f>
        <v>159.99465212541423</v>
      </c>
      <c r="O70"/>
    </row>
    <row r="71" spans="2:18">
      <c r="B71" t="str">
        <f>'Schedule Sheet'!B85</f>
        <v>Intangible Non Current Asset - Under Development</v>
      </c>
      <c r="D71" s="111">
        <f>'Schedule Sheet'!D85</f>
        <v>54.19</v>
      </c>
      <c r="E71" s="111">
        <f>'Schedule Sheet'!E85</f>
        <v>60.39</v>
      </c>
      <c r="F71" s="111">
        <f>'Schedule Sheet'!F85</f>
        <v>208.17</v>
      </c>
      <c r="G71" s="111">
        <f>'Schedule Sheet'!G85</f>
        <v>13</v>
      </c>
      <c r="H71" s="111">
        <f>'Schedule Sheet'!H85</f>
        <v>23</v>
      </c>
      <c r="I71" s="194">
        <f>'Schedule Sheet'!I85+0.001069575</f>
        <v>206.001069575</v>
      </c>
      <c r="J71" s="141">
        <f>'Schedule Sheet'!J85</f>
        <v>206</v>
      </c>
      <c r="K71" s="141">
        <f>'Schedule Sheet'!K85</f>
        <v>206</v>
      </c>
      <c r="L71" s="141">
        <f>'Schedule Sheet'!L85</f>
        <v>206</v>
      </c>
      <c r="M71" s="141">
        <f>'Schedule Sheet'!M85</f>
        <v>206</v>
      </c>
      <c r="N71" s="141">
        <f>'Schedule Sheet'!N85</f>
        <v>206</v>
      </c>
      <c r="O71"/>
    </row>
    <row r="72" spans="2:18">
      <c r="B72" s="30" t="s">
        <v>334</v>
      </c>
      <c r="C72" s="30"/>
      <c r="D72" s="135">
        <f>SUM(D63:D71)</f>
        <v>222372.36</v>
      </c>
      <c r="E72" s="135">
        <f t="shared" ref="E72:M72" si="34">SUM(E63:E71)</f>
        <v>257337.19</v>
      </c>
      <c r="F72" s="135">
        <f t="shared" si="34"/>
        <v>330211.05000000005</v>
      </c>
      <c r="G72" s="135">
        <f t="shared" si="34"/>
        <v>463714</v>
      </c>
      <c r="H72" s="135">
        <f t="shared" si="34"/>
        <v>651404</v>
      </c>
      <c r="I72" s="135">
        <f t="shared" si="34"/>
        <v>780729</v>
      </c>
      <c r="J72" s="135">
        <f t="shared" si="34"/>
        <v>837439.36338163761</v>
      </c>
      <c r="K72" s="135">
        <f t="shared" si="34"/>
        <v>895701.12430189131</v>
      </c>
      <c r="L72" s="135">
        <f t="shared" si="34"/>
        <v>953499.23187058466</v>
      </c>
      <c r="M72" s="135">
        <f t="shared" si="34"/>
        <v>1009879.3819627736</v>
      </c>
      <c r="N72" s="135">
        <f t="shared" ref="N72" si="35">SUM(N63:N71)</f>
        <v>1065028.9460790013</v>
      </c>
      <c r="O72"/>
    </row>
    <row r="73" spans="2:18">
      <c r="O73"/>
    </row>
    <row r="74" spans="2:18" ht="15" thickBot="1">
      <c r="B74" s="31" t="s">
        <v>79</v>
      </c>
      <c r="C74" s="58"/>
      <c r="D74" s="140">
        <f t="shared" ref="D74:F74" si="36">SUM(D61,D72)</f>
        <v>430511.53</v>
      </c>
      <c r="E74" s="140">
        <f t="shared" si="36"/>
        <v>459625.98000000004</v>
      </c>
      <c r="F74" s="140">
        <f t="shared" si="36"/>
        <v>591698.19000000006</v>
      </c>
      <c r="G74" s="140">
        <f t="shared" ref="G74:M74" si="37">SUM(G61,G72)</f>
        <v>822245</v>
      </c>
      <c r="H74" s="140">
        <f t="shared" si="37"/>
        <v>1158435</v>
      </c>
      <c r="I74" s="140">
        <f>SUM(I61,I72)</f>
        <v>1360021</v>
      </c>
      <c r="J74" s="140">
        <f>SUM(J61,J72)</f>
        <v>1496961.5115473513</v>
      </c>
      <c r="K74" s="140">
        <f t="shared" si="37"/>
        <v>1698774.6918781362</v>
      </c>
      <c r="L74" s="140">
        <f t="shared" si="37"/>
        <v>1811349.6523569296</v>
      </c>
      <c r="M74" s="140">
        <f t="shared" si="37"/>
        <v>1957294.9036606746</v>
      </c>
      <c r="N74" s="140">
        <f t="shared" ref="N74" si="38">SUM(N61,N72)</f>
        <v>2163757.3062547324</v>
      </c>
      <c r="O74"/>
      <c r="P74" s="177"/>
      <c r="Q74" s="177"/>
      <c r="R74" s="111"/>
    </row>
    <row r="75" spans="2:18">
      <c r="O75"/>
      <c r="P75" s="184"/>
      <c r="R75" s="56"/>
    </row>
    <row r="76" spans="2:18">
      <c r="O76"/>
    </row>
    <row r="77" spans="2:18">
      <c r="B77" s="41" t="s">
        <v>80</v>
      </c>
      <c r="O77"/>
    </row>
    <row r="78" spans="2:18">
      <c r="B78" t="s">
        <v>832</v>
      </c>
      <c r="D78" s="84">
        <f>SUM('Balance Sheet'!J63:J64)</f>
        <v>15513.289999999999</v>
      </c>
      <c r="E78" s="84">
        <f>SUM('Balance Sheet'!K63:K64)</f>
        <v>31518.2</v>
      </c>
      <c r="F78" s="84">
        <f>SUM('Balance Sheet'!L63:L64)</f>
        <v>32089.89</v>
      </c>
      <c r="G78" s="84">
        <f>SUM('Balance Sheet'!M63:M64)</f>
        <v>31576</v>
      </c>
      <c r="H78" s="84">
        <f>SUM('Balance Sheet'!N63:N64)</f>
        <v>41756</v>
      </c>
      <c r="I78" s="84">
        <f>SUM('Balance Sheet'!O63:O64)</f>
        <v>49905</v>
      </c>
      <c r="J78" s="151">
        <f>'Schedule Sheet'!J161</f>
        <v>55102.772367123303</v>
      </c>
      <c r="K78" s="151">
        <f>'Schedule Sheet'!K161</f>
        <v>65894.484347999998</v>
      </c>
      <c r="L78" s="151">
        <f>'Schedule Sheet'!L161</f>
        <v>65680.355291823274</v>
      </c>
      <c r="M78" s="151">
        <f>'Schedule Sheet'!M161</f>
        <v>78575.840236993594</v>
      </c>
      <c r="N78" s="151">
        <f>'Schedule Sheet'!N161</f>
        <v>94020.522825826498</v>
      </c>
      <c r="O78"/>
      <c r="P78" s="184"/>
      <c r="Q78" s="184"/>
    </row>
    <row r="79" spans="2:18">
      <c r="B79" t="s">
        <v>389</v>
      </c>
      <c r="D79" s="84">
        <f>'Balance Sheet'!J67</f>
        <v>30.76</v>
      </c>
      <c r="E79" s="84">
        <f>'Balance Sheet'!K67</f>
        <v>30.76</v>
      </c>
      <c r="F79" s="84">
        <f>'Balance Sheet'!L67</f>
        <v>30.76</v>
      </c>
      <c r="G79" s="84">
        <f>'Balance Sheet'!M67</f>
        <v>5890</v>
      </c>
      <c r="H79" s="84">
        <f>'Balance Sheet'!N67</f>
        <v>17468</v>
      </c>
      <c r="I79" s="84">
        <f>'Balance Sheet'!O67</f>
        <v>26210</v>
      </c>
      <c r="J79" s="151">
        <f>'Schedule Sheet'!J176</f>
        <v>30473.502899999999</v>
      </c>
      <c r="K79" s="151">
        <f>'Schedule Sheet'!K176</f>
        <v>36441.646647000001</v>
      </c>
      <c r="L79" s="151">
        <f>'Schedule Sheet'!L176</f>
        <v>43587.872148209994</v>
      </c>
      <c r="M79" s="151">
        <f>'Schedule Sheet'!M176</f>
        <v>34763.856589700197</v>
      </c>
      <c r="N79" s="151">
        <f>'Schedule Sheet'!N176</f>
        <v>41596.958583547479</v>
      </c>
      <c r="O79"/>
      <c r="P79" s="184"/>
      <c r="Q79" s="184"/>
    </row>
    <row r="80" spans="2:18">
      <c r="B80" t="s">
        <v>52</v>
      </c>
      <c r="D80" s="84">
        <f>'Balance Sheet'!J66</f>
        <v>16083.58</v>
      </c>
      <c r="E80" s="84">
        <f>'Balance Sheet'!K66</f>
        <v>7602.76</v>
      </c>
      <c r="F80" s="84">
        <f>'Balance Sheet'!L66</f>
        <v>2896.5</v>
      </c>
      <c r="G80" s="84">
        <f>'Balance Sheet'!M66</f>
        <v>65334</v>
      </c>
      <c r="H80" s="84">
        <f>'Balance Sheet'!N66</f>
        <v>83727</v>
      </c>
      <c r="I80" s="84">
        <f>'Balance Sheet'!O66</f>
        <v>87657</v>
      </c>
      <c r="J80" s="151">
        <f>'Schedule Sheet'!J180</f>
        <v>96422.7</v>
      </c>
      <c r="K80" s="151">
        <f>'Schedule Sheet'!K180</f>
        <v>104136.516</v>
      </c>
      <c r="L80" s="151">
        <f>'Schedule Sheet'!L180</f>
        <v>112467.43728</v>
      </c>
      <c r="M80" s="151">
        <f>'Schedule Sheet'!M180</f>
        <v>121464.8322624</v>
      </c>
      <c r="N80" s="151">
        <f>'Schedule Sheet'!N180</f>
        <v>131182.018843392</v>
      </c>
      <c r="O80"/>
      <c r="P80" s="184"/>
      <c r="Q80" s="184"/>
    </row>
    <row r="81" spans="1:17">
      <c r="A81" t="s">
        <v>13</v>
      </c>
      <c r="B81" t="s">
        <v>387</v>
      </c>
      <c r="D81" s="84">
        <f>SUM('Balance Sheet'!J60:J61)</f>
        <v>91974.92</v>
      </c>
      <c r="E81" s="84">
        <f>SUM('Balance Sheet'!K60:K61)</f>
        <v>114030.07</v>
      </c>
      <c r="F81" s="84">
        <f>SUM('Balance Sheet'!L60:L61)</f>
        <v>126296.04</v>
      </c>
      <c r="G81" s="84">
        <f>SUM('Balance Sheet'!M60:M61)</f>
        <v>134166</v>
      </c>
      <c r="H81" s="84">
        <f>SUM('Balance Sheet'!N60:N61)</f>
        <v>121415</v>
      </c>
      <c r="I81" s="84">
        <f>SUM('Balance Sheet'!O60:O61)</f>
        <v>132787</v>
      </c>
      <c r="J81" s="151">
        <f>'Schedule Sheet'!J166</f>
        <v>142209.68020000003</v>
      </c>
      <c r="K81" s="151">
        <f>'Schedule Sheet'!K166</f>
        <v>170061.01768600004</v>
      </c>
      <c r="L81" s="151">
        <f>'Schedule Sheet'!L166</f>
        <v>203410.07002497997</v>
      </c>
      <c r="M81" s="151">
        <f>'Schedule Sheet'!M166</f>
        <v>243346.99612790137</v>
      </c>
      <c r="N81" s="151">
        <f>'Schedule Sheet'!N166</f>
        <v>291178.71008483239</v>
      </c>
      <c r="O81"/>
      <c r="P81" s="184"/>
      <c r="Q81" s="184"/>
    </row>
    <row r="82" spans="1:17">
      <c r="B82" t="s">
        <v>230</v>
      </c>
      <c r="D82" s="84">
        <f>'Balance Sheet'!J68</f>
        <v>17923.740000000002</v>
      </c>
      <c r="E82" s="84">
        <f>'Balance Sheet'!K68</f>
        <v>33584.980000000003</v>
      </c>
      <c r="F82" s="84">
        <f>'Balance Sheet'!L68</f>
        <v>50820.639999999999</v>
      </c>
      <c r="G82" s="84">
        <f>'Balance Sheet'!M68</f>
        <v>31</v>
      </c>
      <c r="H82" s="84">
        <f>'Balance Sheet'!N68</f>
        <v>31</v>
      </c>
      <c r="I82" s="84">
        <f>'Balance Sheet'!O68</f>
        <v>43</v>
      </c>
      <c r="J82" s="151">
        <v>43</v>
      </c>
      <c r="K82" s="151">
        <v>43</v>
      </c>
      <c r="L82" s="151">
        <v>43</v>
      </c>
      <c r="M82" s="151">
        <v>43</v>
      </c>
      <c r="N82" s="151">
        <v>43</v>
      </c>
      <c r="O82"/>
      <c r="P82" s="184"/>
      <c r="Q82" s="184"/>
    </row>
    <row r="83" spans="1:17">
      <c r="B83" t="s">
        <v>222</v>
      </c>
      <c r="D83" s="84">
        <f>'Balance Sheet'!J69</f>
        <v>476.03</v>
      </c>
      <c r="E83" s="84">
        <f>'Balance Sheet'!K69</f>
        <v>476.04</v>
      </c>
      <c r="F83" s="84">
        <f>'Balance Sheet'!L69</f>
        <v>476.04</v>
      </c>
      <c r="G83" s="84">
        <f>'Balance Sheet'!M69</f>
        <v>476</v>
      </c>
      <c r="H83" s="84">
        <f>'Balance Sheet'!N69</f>
        <v>258</v>
      </c>
      <c r="I83" s="84">
        <f>'Balance Sheet'!O69</f>
        <v>48</v>
      </c>
      <c r="J83" s="151">
        <v>43</v>
      </c>
      <c r="K83" s="151">
        <v>43</v>
      </c>
      <c r="L83" s="151">
        <v>43</v>
      </c>
      <c r="M83" s="151">
        <v>43</v>
      </c>
      <c r="N83" s="151">
        <v>43</v>
      </c>
      <c r="O83"/>
      <c r="P83" s="184"/>
      <c r="Q83" s="184"/>
    </row>
    <row r="84" spans="1:17">
      <c r="B84" t="s">
        <v>218</v>
      </c>
      <c r="D84" s="84">
        <f>'Balance Sheet'!J65</f>
        <v>47234.6</v>
      </c>
      <c r="E84" s="84">
        <f>'Balance Sheet'!K65</f>
        <v>36928.589999999997</v>
      </c>
      <c r="F84" s="84">
        <f>'Balance Sheet'!L65</f>
        <v>25901.59</v>
      </c>
      <c r="G84" s="84">
        <f>'Balance Sheet'!M65</f>
        <v>70509</v>
      </c>
      <c r="H84" s="84">
        <f>'Balance Sheet'!N65</f>
        <v>77523</v>
      </c>
      <c r="I84" s="84">
        <f>'Balance Sheet'!O65</f>
        <v>86060</v>
      </c>
      <c r="J84" s="151">
        <f>'Schedule Sheet'!J171</f>
        <v>91420.508700000006</v>
      </c>
      <c r="K84" s="151">
        <f>'Schedule Sheet'!K171</f>
        <v>109324.939941</v>
      </c>
      <c r="L84" s="151">
        <f>'Schedule Sheet'!L171</f>
        <v>116234.32572855998</v>
      </c>
      <c r="M84" s="151">
        <f>'Schedule Sheet'!M171</f>
        <v>139055.42635880079</v>
      </c>
      <c r="N84" s="151">
        <f>'Schedule Sheet'!N171</f>
        <v>166387.83433418992</v>
      </c>
      <c r="O84"/>
      <c r="P84" s="184"/>
      <c r="Q84" s="184"/>
    </row>
    <row r="85" spans="1:17">
      <c r="B85" s="30" t="s">
        <v>81</v>
      </c>
      <c r="C85" s="30"/>
      <c r="D85" s="135">
        <f t="shared" ref="D85:N85" si="39">SUM(D78:D84)</f>
        <v>189236.91999999998</v>
      </c>
      <c r="E85" s="135">
        <f t="shared" si="39"/>
        <v>224171.40000000002</v>
      </c>
      <c r="F85" s="135">
        <f t="shared" si="39"/>
        <v>238511.46000000002</v>
      </c>
      <c r="G85" s="135">
        <f t="shared" si="39"/>
        <v>307982</v>
      </c>
      <c r="H85" s="135">
        <f t="shared" si="39"/>
        <v>342178</v>
      </c>
      <c r="I85" s="135">
        <f t="shared" si="39"/>
        <v>382710</v>
      </c>
      <c r="J85" s="135">
        <f t="shared" si="39"/>
        <v>415715.16416712338</v>
      </c>
      <c r="K85" s="135">
        <f t="shared" si="39"/>
        <v>485944.60462200007</v>
      </c>
      <c r="L85" s="135">
        <f t="shared" si="39"/>
        <v>541466.06047357316</v>
      </c>
      <c r="M85" s="135">
        <f t="shared" si="39"/>
        <v>617292.95157579589</v>
      </c>
      <c r="N85" s="135">
        <f t="shared" si="39"/>
        <v>724452.04467178823</v>
      </c>
      <c r="O85"/>
      <c r="P85" s="184"/>
      <c r="Q85" s="184"/>
    </row>
    <row r="86" spans="1:17">
      <c r="I86" s="111"/>
      <c r="O86"/>
    </row>
    <row r="87" spans="1:17">
      <c r="B87" t="s">
        <v>215</v>
      </c>
      <c r="D87" s="84">
        <f>SUM('Balance Sheet'!J49:J50)</f>
        <v>206621.62</v>
      </c>
      <c r="E87" s="84">
        <f>SUM('Balance Sheet'!K49:K50)</f>
        <v>254748.3</v>
      </c>
      <c r="F87" s="84">
        <f>SUM('Balance Sheet'!L49:L50)</f>
        <v>322246.09000000003</v>
      </c>
      <c r="G87" s="84">
        <f>SUM('Balance Sheet'!M49:M50)</f>
        <v>378635</v>
      </c>
      <c r="H87" s="84">
        <f>SUM('Balance Sheet'!N49:N50)</f>
        <v>546683</v>
      </c>
      <c r="I87" s="84">
        <f>SUM('Balance Sheet'!O49:O50)</f>
        <v>644705</v>
      </c>
      <c r="J87" s="151">
        <f>SUM('Schedule Sheet'!J200,'Schedule Sheet'!J201)</f>
        <v>676940.25</v>
      </c>
      <c r="K87" s="151">
        <f>SUM('Schedule Sheet'!K200,'Schedule Sheet'!K201)</f>
        <v>710787.26249999995</v>
      </c>
      <c r="L87" s="151">
        <f>SUM('Schedule Sheet'!L200,'Schedule Sheet'!L201)</f>
        <v>746326.62562499999</v>
      </c>
      <c r="M87" s="151">
        <f>SUM('Schedule Sheet'!M200,'Schedule Sheet'!M201)</f>
        <v>761253.15813749994</v>
      </c>
      <c r="N87" s="151">
        <f>SUM('Schedule Sheet'!N200,'Schedule Sheet'!N201)</f>
        <v>776478.22130024992</v>
      </c>
      <c r="O87"/>
      <c r="P87" s="184"/>
      <c r="Q87" s="184"/>
    </row>
    <row r="88" spans="1:17" s="19" customFormat="1">
      <c r="B88" t="s">
        <v>218</v>
      </c>
      <c r="D88" s="171">
        <f>'Balance Sheet'!J51</f>
        <v>26049.29</v>
      </c>
      <c r="E88" s="171">
        <f>'Balance Sheet'!K51</f>
        <v>33093</v>
      </c>
      <c r="F88" s="171">
        <f>'Balance Sheet'!L51</f>
        <v>78811.100000000006</v>
      </c>
      <c r="G88" s="171">
        <f>'Balance Sheet'!M51</f>
        <v>92343</v>
      </c>
      <c r="H88" s="171">
        <f>'Balance Sheet'!N51</f>
        <v>151192</v>
      </c>
      <c r="I88" s="171">
        <f>'Balance Sheet'!O51</f>
        <v>229111</v>
      </c>
      <c r="J88" s="151">
        <f>'Schedule Sheet'!J210</f>
        <v>284419.36040000006</v>
      </c>
      <c r="K88" s="151">
        <f>'Schedule Sheet'!K210</f>
        <v>340122.03537200007</v>
      </c>
      <c r="L88" s="151">
        <f>'Schedule Sheet'!L210</f>
        <v>319644.39575353992</v>
      </c>
      <c r="M88" s="151">
        <f>'Schedule Sheet'!M210</f>
        <v>330256.63760215184</v>
      </c>
      <c r="N88" s="151">
        <f>'Schedule Sheet'!N210</f>
        <v>353574.14796015358</v>
      </c>
      <c r="P88" s="184"/>
      <c r="Q88" s="184"/>
    </row>
    <row r="89" spans="1:17">
      <c r="B89" t="s">
        <v>219</v>
      </c>
      <c r="D89" s="84">
        <f>'Balance Sheet'!J52</f>
        <v>5522.94</v>
      </c>
      <c r="E89" s="84">
        <f>'Balance Sheet'!K52</f>
        <v>5896.88</v>
      </c>
      <c r="F89" s="84">
        <f>'Balance Sheet'!L52</f>
        <v>13364.54</v>
      </c>
      <c r="G89" s="84">
        <f>'Balance Sheet'!M52</f>
        <v>22301</v>
      </c>
      <c r="H89" s="84">
        <f>'Balance Sheet'!N52</f>
        <v>24079</v>
      </c>
      <c r="I89" s="84">
        <f>'Balance Sheet'!O52</f>
        <v>33100</v>
      </c>
      <c r="J89" s="151">
        <f>'Schedule Sheet'!J214</f>
        <v>39720</v>
      </c>
      <c r="K89" s="151">
        <f>'Schedule Sheet'!K214</f>
        <v>47664</v>
      </c>
      <c r="L89" s="151">
        <f>'Schedule Sheet'!L214</f>
        <v>57196.800000000003</v>
      </c>
      <c r="M89" s="151">
        <f>'Schedule Sheet'!M214</f>
        <v>68636.160000000003</v>
      </c>
      <c r="N89" s="151">
        <f>'Schedule Sheet'!N214</f>
        <v>82363.392000000007</v>
      </c>
      <c r="O89"/>
      <c r="P89" s="184"/>
      <c r="Q89" s="184"/>
    </row>
    <row r="90" spans="1:17">
      <c r="B90" t="s">
        <v>221</v>
      </c>
      <c r="D90" s="84">
        <f>'Balance Sheet'!J54</f>
        <v>241.9</v>
      </c>
      <c r="E90" s="84">
        <f>'Balance Sheet'!K54</f>
        <v>342.79</v>
      </c>
      <c r="F90" s="84">
        <f>'Balance Sheet'!L54</f>
        <v>451.97</v>
      </c>
      <c r="G90" s="84">
        <f>'Balance Sheet'!M54</f>
        <v>717</v>
      </c>
      <c r="H90" s="84">
        <f>'Balance Sheet'!N54</f>
        <v>573</v>
      </c>
      <c r="I90" s="84">
        <f>'Balance Sheet'!O54</f>
        <v>521</v>
      </c>
      <c r="J90" s="151">
        <f>'Schedule Sheet'!J220</f>
        <v>1015.7834300000001</v>
      </c>
      <c r="K90" s="151">
        <f>'Schedule Sheet'!K220</f>
        <v>1214.7215549000002</v>
      </c>
      <c r="L90" s="151">
        <f>'Schedule Sheet'!L220</f>
        <v>1452.9290716069997</v>
      </c>
      <c r="M90" s="151">
        <f>'Schedule Sheet'!M220</f>
        <v>1738.1928294850097</v>
      </c>
      <c r="N90" s="151">
        <f>'Schedule Sheet'!N220</f>
        <v>2079.8479291773738</v>
      </c>
      <c r="O90"/>
      <c r="P90" s="184"/>
      <c r="Q90" s="184"/>
    </row>
    <row r="91" spans="1:17">
      <c r="B91" t="s">
        <v>370</v>
      </c>
      <c r="D91" s="84">
        <f>'Balance Sheet'!J46</f>
        <v>0</v>
      </c>
      <c r="E91" s="84">
        <f>'Balance Sheet'!K46</f>
        <v>0</v>
      </c>
      <c r="F91" s="84">
        <f>'Balance Sheet'!L46</f>
        <v>0</v>
      </c>
      <c r="G91" s="84">
        <f>'Balance Sheet'!M46</f>
        <v>0</v>
      </c>
      <c r="H91" s="84">
        <f>'Balance Sheet'!N46</f>
        <v>0</v>
      </c>
      <c r="I91" s="84">
        <v>163</v>
      </c>
      <c r="J91" s="151">
        <v>0</v>
      </c>
      <c r="K91" s="151">
        <v>0</v>
      </c>
      <c r="L91" s="151">
        <v>0</v>
      </c>
      <c r="M91" s="151">
        <v>0</v>
      </c>
      <c r="N91" s="151">
        <v>0</v>
      </c>
      <c r="O91"/>
      <c r="P91" s="184"/>
      <c r="Q91" s="184"/>
    </row>
    <row r="92" spans="1:17">
      <c r="B92" t="s">
        <v>222</v>
      </c>
      <c r="D92" s="84">
        <f>'Balance Sheet'!J55</f>
        <v>1730.27</v>
      </c>
      <c r="E92" s="84">
        <f>'Balance Sheet'!K55</f>
        <v>1254.23</v>
      </c>
      <c r="F92" s="84">
        <f>'Balance Sheet'!L55</f>
        <v>778.19</v>
      </c>
      <c r="G92" s="84">
        <f>'Balance Sheet'!M55</f>
        <v>302</v>
      </c>
      <c r="H92" s="84">
        <f>'Balance Sheet'!N55</f>
        <v>48</v>
      </c>
      <c r="I92" s="84">
        <f>'Balance Sheet'!O55</f>
        <v>0</v>
      </c>
      <c r="J92" s="151">
        <f>'Schedule Sheet'!J226</f>
        <v>0</v>
      </c>
      <c r="K92" s="151">
        <f>'Schedule Sheet'!K226</f>
        <v>0</v>
      </c>
      <c r="L92" s="151">
        <f>'Schedule Sheet'!L226</f>
        <v>0</v>
      </c>
      <c r="M92" s="151">
        <f>'Schedule Sheet'!M226</f>
        <v>0</v>
      </c>
      <c r="N92" s="151">
        <f>'Schedule Sheet'!N226</f>
        <v>0</v>
      </c>
      <c r="O92"/>
      <c r="P92" s="184"/>
      <c r="Q92" s="184"/>
    </row>
    <row r="93" spans="1:17">
      <c r="B93" s="30" t="s">
        <v>82</v>
      </c>
      <c r="C93" s="30"/>
      <c r="D93" s="135">
        <f>SUM(D87:D92)</f>
        <v>240166.02</v>
      </c>
      <c r="E93" s="135">
        <f t="shared" ref="E93:N93" si="40">SUM(E87:E92)</f>
        <v>295335.19999999995</v>
      </c>
      <c r="F93" s="135">
        <f t="shared" si="40"/>
        <v>415651.89</v>
      </c>
      <c r="G93" s="135">
        <f t="shared" si="40"/>
        <v>494298</v>
      </c>
      <c r="H93" s="135">
        <f t="shared" si="40"/>
        <v>722575</v>
      </c>
      <c r="I93" s="135">
        <f t="shared" si="40"/>
        <v>907600</v>
      </c>
      <c r="J93" s="135">
        <f t="shared" si="40"/>
        <v>1002095.3938300001</v>
      </c>
      <c r="K93" s="135">
        <f t="shared" si="40"/>
        <v>1099788.0194269</v>
      </c>
      <c r="L93" s="135">
        <f t="shared" si="40"/>
        <v>1124620.7504501471</v>
      </c>
      <c r="M93" s="135">
        <f t="shared" si="40"/>
        <v>1161884.1485691366</v>
      </c>
      <c r="N93" s="135">
        <f t="shared" si="40"/>
        <v>1214495.6091895809</v>
      </c>
      <c r="O93"/>
      <c r="P93" s="184"/>
      <c r="Q93" s="184"/>
    </row>
    <row r="94" spans="1:17">
      <c r="O94"/>
    </row>
    <row r="95" spans="1:17">
      <c r="B95" t="s">
        <v>211</v>
      </c>
      <c r="D95" s="84">
        <f>'Balance Sheet'!J42</f>
        <v>3849.1</v>
      </c>
      <c r="E95" s="84">
        <f>'Balance Sheet'!K42</f>
        <v>3852.55</v>
      </c>
      <c r="F95" s="84">
        <f>'Balance Sheet'!L42</f>
        <v>3855.47</v>
      </c>
      <c r="G95" s="84">
        <f>'Balance Sheet'!M42</f>
        <v>3860</v>
      </c>
      <c r="H95" s="84">
        <f>'Balance Sheet'!N42</f>
        <v>3864</v>
      </c>
      <c r="I95" s="84">
        <f>'Balance Sheet'!O42</f>
        <v>3866</v>
      </c>
      <c r="J95" s="151">
        <f>I95</f>
        <v>3866</v>
      </c>
      <c r="K95" s="151">
        <f t="shared" ref="K95:N95" si="41">J95</f>
        <v>3866</v>
      </c>
      <c r="L95" s="151">
        <f t="shared" si="41"/>
        <v>3866</v>
      </c>
      <c r="M95" s="151">
        <f t="shared" si="41"/>
        <v>3866</v>
      </c>
      <c r="N95" s="151">
        <f t="shared" si="41"/>
        <v>3866</v>
      </c>
      <c r="O95"/>
      <c r="P95" s="184"/>
      <c r="Q95" s="184"/>
    </row>
    <row r="96" spans="1:17">
      <c r="B96" t="s">
        <v>212</v>
      </c>
      <c r="D96" s="84">
        <f>'Balance Sheet'!J43</f>
        <v>-2740.51</v>
      </c>
      <c r="E96" s="84">
        <f>'Balance Sheet'!K43</f>
        <v>-63733.17</v>
      </c>
      <c r="F96" s="84">
        <f>'Balance Sheet'!L43</f>
        <v>-66320.63</v>
      </c>
      <c r="G96" s="84">
        <f>'Balance Sheet'!M43</f>
        <v>16105</v>
      </c>
      <c r="H96" s="84">
        <f>'Balance Sheet'!N43</f>
        <v>89818</v>
      </c>
      <c r="I96" s="84">
        <f>'Balance Sheet'!O43</f>
        <v>65845</v>
      </c>
      <c r="J96" s="151">
        <f>'Schedule Sheet'!J126</f>
        <v>75284.953550228034</v>
      </c>
      <c r="K96" s="151">
        <f>'Schedule Sheet'!K126</f>
        <v>109176.06782923601</v>
      </c>
      <c r="L96" s="151">
        <f>'Schedule Sheet'!L126</f>
        <v>141396.84143320916</v>
      </c>
      <c r="M96" s="151">
        <f>'Schedule Sheet'!M126</f>
        <v>174251.80351574215</v>
      </c>
      <c r="N96" s="151">
        <f>'Schedule Sheet'!N126</f>
        <v>220943.65239336339</v>
      </c>
      <c r="O96"/>
      <c r="P96" s="184"/>
      <c r="Q96" s="184"/>
    </row>
    <row r="97" spans="2:17">
      <c r="B97" s="30" t="s">
        <v>83</v>
      </c>
      <c r="C97" s="30"/>
      <c r="D97" s="135">
        <f>D95+D96</f>
        <v>1108.5899999999997</v>
      </c>
      <c r="E97" s="135">
        <f t="shared" ref="E97:N97" si="42">E95+E96</f>
        <v>-59880.619999999995</v>
      </c>
      <c r="F97" s="135">
        <f t="shared" si="42"/>
        <v>-62465.16</v>
      </c>
      <c r="G97" s="135">
        <f t="shared" si="42"/>
        <v>19965</v>
      </c>
      <c r="H97" s="135">
        <f t="shared" si="42"/>
        <v>93682</v>
      </c>
      <c r="I97" s="135">
        <f t="shared" si="42"/>
        <v>69711</v>
      </c>
      <c r="J97" s="135">
        <f t="shared" si="42"/>
        <v>79150.953550228034</v>
      </c>
      <c r="K97" s="135">
        <f t="shared" si="42"/>
        <v>113042.06782923601</v>
      </c>
      <c r="L97" s="135">
        <f t="shared" si="42"/>
        <v>145262.84143320916</v>
      </c>
      <c r="M97" s="135">
        <f t="shared" si="42"/>
        <v>178117.80351574215</v>
      </c>
      <c r="N97" s="135">
        <f t="shared" si="42"/>
        <v>224809.65239336339</v>
      </c>
      <c r="O97"/>
      <c r="P97" s="184"/>
      <c r="Q97" s="184"/>
    </row>
    <row r="98" spans="2:17">
      <c r="O98"/>
    </row>
    <row r="99" spans="2:17" ht="15" thickBot="1">
      <c r="B99" s="31" t="s">
        <v>84</v>
      </c>
      <c r="C99" s="31"/>
      <c r="D99" s="140">
        <f t="shared" ref="D99:N99" si="43">D97+D93+D85</f>
        <v>430511.52999999997</v>
      </c>
      <c r="E99" s="140">
        <f t="shared" si="43"/>
        <v>459625.98</v>
      </c>
      <c r="F99" s="140">
        <f t="shared" si="43"/>
        <v>591698.18999999994</v>
      </c>
      <c r="G99" s="140">
        <f t="shared" si="43"/>
        <v>822245</v>
      </c>
      <c r="H99" s="140">
        <f t="shared" si="43"/>
        <v>1158435</v>
      </c>
      <c r="I99" s="140">
        <f t="shared" si="43"/>
        <v>1360021</v>
      </c>
      <c r="J99" s="140">
        <f>J97+J93+J85</f>
        <v>1496961.5115473515</v>
      </c>
      <c r="K99" s="140">
        <f t="shared" si="43"/>
        <v>1698774.691878136</v>
      </c>
      <c r="L99" s="140">
        <f t="shared" si="43"/>
        <v>1811349.6523569294</v>
      </c>
      <c r="M99" s="140">
        <f t="shared" si="43"/>
        <v>1957294.9036606746</v>
      </c>
      <c r="N99" s="140">
        <f t="shared" si="43"/>
        <v>2163757.3062547324</v>
      </c>
      <c r="O99"/>
      <c r="P99" s="184"/>
      <c r="Q99" s="184"/>
    </row>
    <row r="100" spans="2:17">
      <c r="O100"/>
    </row>
    <row r="101" spans="2:17">
      <c r="D101" s="111">
        <f t="shared" ref="D101:I101" si="44">D74-D99</f>
        <v>0</v>
      </c>
      <c r="E101" s="111">
        <f t="shared" si="44"/>
        <v>0</v>
      </c>
      <c r="F101" s="111">
        <f t="shared" si="44"/>
        <v>0</v>
      </c>
      <c r="G101" s="111">
        <f t="shared" si="44"/>
        <v>0</v>
      </c>
      <c r="H101" s="111">
        <f t="shared" si="44"/>
        <v>0</v>
      </c>
      <c r="I101" s="111">
        <f t="shared" si="44"/>
        <v>0</v>
      </c>
      <c r="J101" s="229">
        <f>J74-J99</f>
        <v>0</v>
      </c>
      <c r="K101" s="229">
        <f>K74-K99</f>
        <v>0</v>
      </c>
      <c r="L101" s="229">
        <f>L74-L99</f>
        <v>0</v>
      </c>
      <c r="M101" s="229">
        <f>M74-M99</f>
        <v>0</v>
      </c>
      <c r="N101" s="229">
        <f>N74-N99</f>
        <v>0</v>
      </c>
      <c r="O101"/>
    </row>
    <row r="102" spans="2:17">
      <c r="O102"/>
      <c r="P102" s="177"/>
    </row>
    <row r="103" spans="2:17">
      <c r="B103" s="197" t="s">
        <v>85</v>
      </c>
      <c r="C103" s="197"/>
      <c r="D103" s="198">
        <f t="shared" ref="D103:F103" si="45">D61-D85</f>
        <v>18902.250000000029</v>
      </c>
      <c r="E103" s="198">
        <f t="shared" si="45"/>
        <v>-21882.609999999986</v>
      </c>
      <c r="F103" s="198">
        <f t="shared" si="45"/>
        <v>22975.679999999993</v>
      </c>
      <c r="G103" s="198">
        <f>G61-G85</f>
        <v>50549</v>
      </c>
      <c r="H103" s="198">
        <f t="shared" ref="H103:N103" si="46">H61-H85</f>
        <v>164853</v>
      </c>
      <c r="I103" s="198">
        <f t="shared" si="46"/>
        <v>196582</v>
      </c>
      <c r="J103" s="198">
        <f t="shared" si="46"/>
        <v>243806.98399859038</v>
      </c>
      <c r="K103" s="198">
        <f t="shared" si="46"/>
        <v>317128.96295424487</v>
      </c>
      <c r="L103" s="198">
        <f t="shared" si="46"/>
        <v>316384.36001277179</v>
      </c>
      <c r="M103" s="198">
        <f t="shared" si="46"/>
        <v>330122.57012210495</v>
      </c>
      <c r="N103" s="198">
        <f t="shared" si="46"/>
        <v>374276.31550394313</v>
      </c>
      <c r="O103"/>
      <c r="P103" s="177"/>
    </row>
    <row r="104" spans="2:17">
      <c r="B104" s="197" t="s">
        <v>829</v>
      </c>
      <c r="C104" s="197"/>
      <c r="D104" s="199">
        <f t="shared" ref="D104:N104" si="47">D57/D13*365</f>
        <v>5.4592571863876644</v>
      </c>
      <c r="E104" s="199">
        <f t="shared" si="47"/>
        <v>4.6861762790046031</v>
      </c>
      <c r="F104" s="199">
        <f t="shared" si="47"/>
        <v>3.485350276169505</v>
      </c>
      <c r="G104" s="199">
        <f t="shared" si="47"/>
        <v>3.4034523244558028</v>
      </c>
      <c r="H104" s="199">
        <f t="shared" si="47"/>
        <v>3.341346659587713</v>
      </c>
      <c r="I104" s="199">
        <f t="shared" si="47"/>
        <v>2.5759075538564935</v>
      </c>
      <c r="J104" s="199">
        <f t="shared" si="47"/>
        <v>5</v>
      </c>
      <c r="K104" s="199">
        <f t="shared" si="47"/>
        <v>5</v>
      </c>
      <c r="L104" s="199">
        <f t="shared" si="47"/>
        <v>5</v>
      </c>
      <c r="M104" s="199">
        <f t="shared" si="47"/>
        <v>4</v>
      </c>
      <c r="N104" s="199">
        <f t="shared" si="47"/>
        <v>4</v>
      </c>
      <c r="O104"/>
    </row>
    <row r="105" spans="2:17">
      <c r="B105" s="197" t="s">
        <v>41</v>
      </c>
      <c r="C105" s="197"/>
      <c r="D105" s="199">
        <f>-D56/D14*365</f>
        <v>12.223590952648369</v>
      </c>
      <c r="E105" s="199">
        <f t="shared" ref="E105:N105" si="48">-E56/E14*365</f>
        <v>7.6613440753909652</v>
      </c>
      <c r="F105" s="199">
        <f t="shared" si="48"/>
        <v>5.5446629978007875</v>
      </c>
      <c r="G105" s="199">
        <f t="shared" si="48"/>
        <v>5.6177361744057146</v>
      </c>
      <c r="H105" s="199">
        <f t="shared" si="48"/>
        <v>6.214355244778468</v>
      </c>
      <c r="I105" s="199">
        <f t="shared" si="48"/>
        <v>6.3727200521941398</v>
      </c>
      <c r="J105" s="199">
        <f t="shared" si="48"/>
        <v>5.9999999999999991</v>
      </c>
      <c r="K105" s="199">
        <f t="shared" si="48"/>
        <v>5.9999999999999991</v>
      </c>
      <c r="L105" s="199">
        <f t="shared" si="48"/>
        <v>5.9999999999999991</v>
      </c>
      <c r="M105" s="199">
        <f t="shared" si="48"/>
        <v>5.9999999999999991</v>
      </c>
      <c r="N105" s="199">
        <f t="shared" si="48"/>
        <v>5.9999999999999991</v>
      </c>
      <c r="O105"/>
    </row>
    <row r="106" spans="2:17">
      <c r="B106" s="449" t="s">
        <v>831</v>
      </c>
      <c r="C106" s="197"/>
      <c r="D106" s="199">
        <f>D78/D13*365</f>
        <v>38.675592944047288</v>
      </c>
      <c r="E106" s="199">
        <f t="shared" ref="E106:F106" si="49">E78/E13*365</f>
        <v>44.364565138762686</v>
      </c>
      <c r="F106" s="199">
        <f t="shared" si="49"/>
        <v>21.512530577519897</v>
      </c>
      <c r="G106" s="199">
        <f t="shared" ref="G106:N106" si="50">G78/G13*365</f>
        <v>16.726445229107615</v>
      </c>
      <c r="H106" s="199">
        <f t="shared" si="50"/>
        <v>18.861872531802693</v>
      </c>
      <c r="I106" s="199">
        <f t="shared" si="50"/>
        <v>21.439404015211526</v>
      </c>
      <c r="J106" s="199">
        <f t="shared" si="50"/>
        <v>19.800000000000004</v>
      </c>
      <c r="K106" s="199">
        <f t="shared" si="50"/>
        <v>19.799999999999997</v>
      </c>
      <c r="L106" s="199">
        <f t="shared" si="50"/>
        <v>16.5</v>
      </c>
      <c r="M106" s="199">
        <f t="shared" si="50"/>
        <v>16.5</v>
      </c>
      <c r="N106" s="199">
        <f t="shared" si="50"/>
        <v>16.5</v>
      </c>
      <c r="O106"/>
    </row>
    <row r="107" spans="2:17">
      <c r="B107" s="197" t="s">
        <v>43</v>
      </c>
      <c r="C107" s="197"/>
      <c r="D107" s="200">
        <f t="shared" ref="D107:F107" si="51">D58/D13</f>
        <v>2.6701717979231909E-3</v>
      </c>
      <c r="E107" s="200">
        <f t="shared" si="51"/>
        <v>2.438709576406582E-3</v>
      </c>
      <c r="F107" s="200">
        <f t="shared" si="51"/>
        <v>1.2300709469540651E-3</v>
      </c>
      <c r="G107" s="200">
        <f t="shared" ref="G107:N107" si="52">G58/G13</f>
        <v>1.4933755948467657E-3</v>
      </c>
      <c r="H107" s="200">
        <f t="shared" si="52"/>
        <v>2.6459446381256117E-3</v>
      </c>
      <c r="I107" s="200">
        <f t="shared" si="52"/>
        <v>4.0006167470360244E-3</v>
      </c>
      <c r="J107" s="200">
        <f t="shared" si="52"/>
        <v>4.6200000000000008E-3</v>
      </c>
      <c r="K107" s="200">
        <f t="shared" si="52"/>
        <v>4.62E-3</v>
      </c>
      <c r="L107" s="200">
        <f t="shared" si="52"/>
        <v>4.62E-3</v>
      </c>
      <c r="M107" s="200">
        <f t="shared" si="52"/>
        <v>4.62E-3</v>
      </c>
      <c r="N107" s="200">
        <f t="shared" si="52"/>
        <v>4.62E-3</v>
      </c>
      <c r="O107"/>
    </row>
    <row r="108" spans="2:17">
      <c r="B108" s="197" t="s">
        <v>88</v>
      </c>
      <c r="C108" s="197"/>
      <c r="D108" s="200">
        <f t="shared" ref="D108:F108" si="53">D60/D13</f>
        <v>6.3143931433009962E-2</v>
      </c>
      <c r="E108" s="200">
        <f t="shared" si="53"/>
        <v>3.3548048629345191E-2</v>
      </c>
      <c r="F108" s="200">
        <f t="shared" si="53"/>
        <v>9.7947427355827912E-3</v>
      </c>
      <c r="G108" s="200">
        <f t="shared" ref="G108:N108" si="54">G60/G13</f>
        <v>6.7194645326924445E-3</v>
      </c>
      <c r="H108" s="200">
        <f t="shared" si="54"/>
        <v>1.9861910896762369E-2</v>
      </c>
      <c r="I108" s="200">
        <f t="shared" si="54"/>
        <v>1.7267740010522364E-2</v>
      </c>
      <c r="J108" s="200">
        <f t="shared" si="54"/>
        <v>0.03</v>
      </c>
      <c r="K108" s="200">
        <f t="shared" si="54"/>
        <v>0.03</v>
      </c>
      <c r="L108" s="200">
        <f t="shared" si="54"/>
        <v>3.0000000000000002E-2</v>
      </c>
      <c r="M108" s="200">
        <f t="shared" si="54"/>
        <v>0.03</v>
      </c>
      <c r="N108" s="200">
        <f t="shared" si="54"/>
        <v>0.03</v>
      </c>
      <c r="O108"/>
    </row>
    <row r="109" spans="2:17">
      <c r="B109" s="197" t="s">
        <v>89</v>
      </c>
      <c r="C109" s="197"/>
      <c r="D109" s="200">
        <f t="shared" ref="D109:F109" si="55">D80/D13</f>
        <v>0.10985578422132215</v>
      </c>
      <c r="E109" s="200">
        <f t="shared" si="55"/>
        <v>2.9319275782157733E-2</v>
      </c>
      <c r="F109" s="200">
        <f t="shared" si="55"/>
        <v>5.3199057797208571E-3</v>
      </c>
      <c r="G109" s="200">
        <f t="shared" ref="G109:N109" si="56">G80/G13</f>
        <v>9.4818465610999603E-2</v>
      </c>
      <c r="H109" s="200">
        <f t="shared" si="56"/>
        <v>0.10361880576068433</v>
      </c>
      <c r="I109" s="200">
        <f t="shared" si="56"/>
        <v>0.10317212774196434</v>
      </c>
      <c r="J109" s="200">
        <f t="shared" si="56"/>
        <v>9.4924466330386967E-2</v>
      </c>
      <c r="K109" s="200">
        <f t="shared" si="56"/>
        <v>8.5728713366391915E-2</v>
      </c>
      <c r="L109" s="200">
        <f t="shared" si="56"/>
        <v>7.7407383111693373E-2</v>
      </c>
      <c r="M109" s="200">
        <f t="shared" si="56"/>
        <v>6.9879952443704138E-2</v>
      </c>
      <c r="N109" s="200">
        <f t="shared" si="56"/>
        <v>6.3072889610384833E-2</v>
      </c>
      <c r="O109"/>
    </row>
    <row r="110" spans="2:17">
      <c r="B110" s="197" t="s">
        <v>47</v>
      </c>
      <c r="C110" s="197"/>
      <c r="D110" s="200">
        <f t="shared" ref="D110:F110" si="57">D79/D13</f>
        <v>2.1010023406778028E-4</v>
      </c>
      <c r="E110" s="200">
        <f t="shared" si="57"/>
        <v>1.186228321108613E-4</v>
      </c>
      <c r="F110" s="200">
        <f t="shared" si="57"/>
        <v>5.6495874947078737E-5</v>
      </c>
      <c r="G110" s="200">
        <f t="shared" ref="G110:N110" si="58">G79/G13</f>
        <v>8.5480877100558312E-3</v>
      </c>
      <c r="H110" s="200">
        <f t="shared" si="58"/>
        <v>2.1618035986332173E-2</v>
      </c>
      <c r="I110" s="200">
        <f t="shared" si="58"/>
        <v>3.0849121782822654E-2</v>
      </c>
      <c r="J110" s="200">
        <f t="shared" si="58"/>
        <v>0.03</v>
      </c>
      <c r="K110" s="200">
        <f t="shared" si="58"/>
        <v>0.03</v>
      </c>
      <c r="L110" s="200">
        <f t="shared" si="58"/>
        <v>3.0000000000000002E-2</v>
      </c>
      <c r="M110" s="200">
        <f t="shared" si="58"/>
        <v>2.0000000000000004E-2</v>
      </c>
      <c r="N110" s="200">
        <f t="shared" si="58"/>
        <v>0.02</v>
      </c>
      <c r="O110"/>
    </row>
    <row r="111" spans="2:17">
      <c r="O111"/>
    </row>
    <row r="112" spans="2:17" ht="15.6">
      <c r="B112" s="7" t="s">
        <v>90</v>
      </c>
      <c r="C112" s="8"/>
      <c r="D112" s="8"/>
      <c r="E112" s="8"/>
      <c r="F112" s="8"/>
      <c r="G112" s="8"/>
      <c r="H112" s="8"/>
      <c r="I112" s="8"/>
      <c r="J112" s="8"/>
      <c r="K112" s="8"/>
      <c r="L112" s="8"/>
      <c r="M112" s="54"/>
      <c r="N112" s="54"/>
      <c r="O112"/>
    </row>
    <row r="113" spans="2:15">
      <c r="O113"/>
    </row>
    <row r="114" spans="2:15">
      <c r="B114" s="41" t="s">
        <v>400</v>
      </c>
      <c r="D114" s="201">
        <f t="shared" ref="D114:N114" si="59">D39</f>
        <v>-58180.700000000012</v>
      </c>
      <c r="E114" s="201">
        <f t="shared" si="59"/>
        <v>-61536.840000000011</v>
      </c>
      <c r="F114" s="201">
        <f t="shared" si="59"/>
        <v>-3043.850000000004</v>
      </c>
      <c r="G114" s="201">
        <f t="shared" si="59"/>
        <v>80493.459999999992</v>
      </c>
      <c r="H114" s="201">
        <f t="shared" si="59"/>
        <v>75934</v>
      </c>
      <c r="I114" s="201">
        <f t="shared" si="59"/>
        <v>-19605</v>
      </c>
      <c r="J114" s="201">
        <f t="shared" si="59"/>
        <v>12586.604733637418</v>
      </c>
      <c r="K114" s="201">
        <f t="shared" si="59"/>
        <v>45188.152372010627</v>
      </c>
      <c r="L114" s="201">
        <f t="shared" si="59"/>
        <v>42961.031471964219</v>
      </c>
      <c r="M114" s="201">
        <f t="shared" si="59"/>
        <v>43806.616110043993</v>
      </c>
      <c r="N114" s="201">
        <f t="shared" si="59"/>
        <v>62255.798503494967</v>
      </c>
      <c r="O114"/>
    </row>
    <row r="115" spans="2:15">
      <c r="B115" t="s">
        <v>399</v>
      </c>
      <c r="D115" s="84">
        <f>'Cash Flow Statement'!J12</f>
        <v>46994.46</v>
      </c>
      <c r="E115" s="84">
        <f>'Cash Flow Statement'!K12</f>
        <v>50686</v>
      </c>
      <c r="F115" s="84">
        <f>'Cash Flow Statement'!L12</f>
        <v>51029.69</v>
      </c>
      <c r="G115" s="84">
        <f>'Cash Flow Statement'!M12</f>
        <v>64257</v>
      </c>
      <c r="H115" s="84">
        <f>'Cash Flow Statement'!N12</f>
        <v>86802</v>
      </c>
      <c r="I115" s="84">
        <f>'Cash Flow Statement'!O12</f>
        <v>108082</v>
      </c>
      <c r="J115" s="151">
        <f>J30*-1</f>
        <v>118578.13661836252</v>
      </c>
      <c r="K115" s="151">
        <f>K30*-1</f>
        <v>129756.2301925494</v>
      </c>
      <c r="L115" s="151">
        <f>L30*-1</f>
        <v>141566.24334156673</v>
      </c>
      <c r="M115" s="151">
        <f>M30*-1</f>
        <v>153969.32240663856</v>
      </c>
      <c r="N115" s="151">
        <f>N30*-1</f>
        <v>166907.0158823606</v>
      </c>
      <c r="O115"/>
    </row>
    <row r="116" spans="2:15" hidden="1" outlineLevel="1">
      <c r="B116" s="208" t="s">
        <v>178</v>
      </c>
      <c r="D116" s="84"/>
      <c r="E116" s="84"/>
      <c r="F116" s="84"/>
      <c r="G116" s="84"/>
      <c r="H116" s="84"/>
      <c r="I116" s="84"/>
      <c r="J116" s="151"/>
      <c r="K116" s="151"/>
      <c r="L116" s="151"/>
      <c r="M116" s="151"/>
      <c r="N116" s="151"/>
      <c r="O116"/>
    </row>
    <row r="117" spans="2:15" hidden="1" outlineLevel="1">
      <c r="B117" s="208" t="s">
        <v>256</v>
      </c>
      <c r="D117" s="84"/>
      <c r="E117" s="84"/>
      <c r="F117" s="84"/>
      <c r="G117" s="84"/>
      <c r="H117" s="84"/>
      <c r="I117" s="84"/>
      <c r="J117" s="151"/>
      <c r="K117" s="151"/>
      <c r="L117" s="151"/>
      <c r="M117" s="151"/>
      <c r="N117" s="151"/>
      <c r="O117"/>
    </row>
    <row r="118" spans="2:15" hidden="1" outlineLevel="1">
      <c r="D118" s="84"/>
      <c r="E118" s="84"/>
      <c r="F118" s="84"/>
      <c r="G118" s="84"/>
      <c r="H118" s="84"/>
      <c r="I118" s="84"/>
      <c r="J118" s="151"/>
      <c r="K118" s="151"/>
      <c r="L118" s="151"/>
      <c r="M118" s="151"/>
      <c r="N118" s="151"/>
      <c r="O118"/>
    </row>
    <row r="119" spans="2:15" collapsed="1">
      <c r="B119" t="s">
        <v>128</v>
      </c>
      <c r="D119" s="84">
        <f>SUM('Cash Flow Statement'!J13,'Cash Flow Statement'!J25,'Cash Flow Statement'!J15)</f>
        <v>20858.330000000002</v>
      </c>
      <c r="E119" s="84">
        <f>SUM('Cash Flow Statement'!K13,'Cash Flow Statement'!K25,'Cash Flow Statement'!K15)</f>
        <v>23310.07</v>
      </c>
      <c r="F119" s="84">
        <f>SUM('Cash Flow Statement'!L13,'Cash Flow Statement'!L25,'Cash Flow Statement'!L15)</f>
        <v>31066.9</v>
      </c>
      <c r="G119" s="84">
        <f>SUM('Cash Flow Statement'!M13,'Cash Flow Statement'!M25,'Cash Flow Statement'!M15)</f>
        <v>41689</v>
      </c>
      <c r="H119" s="84">
        <f>SUM('Cash Flow Statement'!N13,'Cash Flow Statement'!N25,'Cash Flow Statement'!N15)</f>
        <v>50799</v>
      </c>
      <c r="I119" s="84">
        <f>SUM('Cash Flow Statement'!O13,'Cash Flow Statement'!O25,'Cash Flow Statement'!O15)</f>
        <v>58901</v>
      </c>
      <c r="J119" s="151">
        <f>J36</f>
        <v>63865.677208000001</v>
      </c>
      <c r="K119" s="151">
        <f>K36</f>
        <v>67999.928415440008</v>
      </c>
      <c r="L119" s="151">
        <f>L36</f>
        <v>91529.248791799007</v>
      </c>
      <c r="M119" s="151">
        <f>M36</f>
        <v>97716.842495769073</v>
      </c>
      <c r="N119" s="151">
        <f>N36</f>
        <v>103612.85428252419</v>
      </c>
      <c r="O119"/>
    </row>
    <row r="120" spans="2:15" hidden="1" outlineLevel="1">
      <c r="B120" s="209" t="s">
        <v>236</v>
      </c>
      <c r="D120" s="84"/>
      <c r="E120" s="84"/>
      <c r="F120" s="84"/>
      <c r="G120" s="84"/>
      <c r="H120" s="84"/>
      <c r="I120" s="84"/>
      <c r="J120" s="151"/>
      <c r="K120" s="151"/>
      <c r="L120" s="151"/>
      <c r="M120" s="151"/>
      <c r="N120" s="151"/>
      <c r="O120"/>
    </row>
    <row r="121" spans="2:15" hidden="1" outlineLevel="1">
      <c r="B121" s="208" t="s">
        <v>248</v>
      </c>
      <c r="D121" s="84"/>
      <c r="E121" s="84"/>
      <c r="F121" s="84"/>
      <c r="G121" s="84"/>
      <c r="H121" s="84"/>
      <c r="I121" s="84"/>
      <c r="J121" s="151"/>
      <c r="K121" s="151"/>
      <c r="L121" s="151"/>
      <c r="M121" s="151"/>
      <c r="N121" s="151"/>
      <c r="O121"/>
    </row>
    <row r="122" spans="2:15" hidden="1" outlineLevel="1">
      <c r="B122" s="208" t="s">
        <v>257</v>
      </c>
      <c r="D122" s="84"/>
      <c r="E122" s="84"/>
      <c r="F122" s="84"/>
      <c r="G122" s="84"/>
      <c r="H122" s="84"/>
      <c r="I122" s="84"/>
      <c r="J122" s="151"/>
      <c r="K122" s="151"/>
      <c r="L122" s="151"/>
      <c r="M122" s="151"/>
      <c r="N122" s="151"/>
      <c r="O122"/>
    </row>
    <row r="123" spans="2:15" hidden="1" outlineLevel="1">
      <c r="B123" s="209" t="s">
        <v>238</v>
      </c>
      <c r="D123" s="84"/>
      <c r="E123" s="84"/>
      <c r="F123" s="84"/>
      <c r="G123" s="84"/>
      <c r="H123" s="84"/>
      <c r="I123" s="84"/>
      <c r="J123" s="151"/>
      <c r="K123" s="151"/>
      <c r="L123" s="151"/>
      <c r="M123" s="151"/>
      <c r="N123" s="151"/>
      <c r="O123"/>
    </row>
    <row r="124" spans="2:15" hidden="1" outlineLevel="1">
      <c r="D124" s="84"/>
      <c r="E124" s="84"/>
      <c r="F124" s="84"/>
      <c r="G124" s="84"/>
      <c r="H124" s="84"/>
      <c r="I124" s="84"/>
      <c r="J124" s="151"/>
      <c r="K124" s="151"/>
      <c r="L124" s="151"/>
      <c r="M124" s="151"/>
      <c r="N124" s="151"/>
      <c r="O124"/>
    </row>
    <row r="125" spans="2:15" collapsed="1">
      <c r="B125" t="s">
        <v>391</v>
      </c>
      <c r="D125" s="84">
        <f>'Cash Flow Statement'!J17+'Cash Flow Statement'!J20</f>
        <v>-2443.85</v>
      </c>
      <c r="E125" s="84">
        <f>'Cash Flow Statement'!K17+'Cash Flow Statement'!K20</f>
        <v>-2019.38</v>
      </c>
      <c r="F125" s="84">
        <f>'Cash Flow Statement'!L17+'Cash Flow Statement'!L20</f>
        <v>-4655.34</v>
      </c>
      <c r="G125" s="84">
        <f>'Cash Flow Statement'!M17+'Cash Flow Statement'!M20</f>
        <v>-11583</v>
      </c>
      <c r="H125" s="84">
        <f>'Cash Flow Statement'!N17+'Cash Flow Statement'!N20</f>
        <v>-15953</v>
      </c>
      <c r="I125" s="84">
        <f>'Cash Flow Statement'!O17+'Cash Flow Statement'!O20</f>
        <v>-19523</v>
      </c>
      <c r="J125" s="151">
        <f>'Schedule Sheet'!J243*-1</f>
        <v>-22749.145025000002</v>
      </c>
      <c r="K125" s="151">
        <f>'Schedule Sheet'!K243*-1</f>
        <v>-26727.855710750006</v>
      </c>
      <c r="L125" s="151">
        <f>'Schedule Sheet'!L243*-1</f>
        <v>-31388.807818122496</v>
      </c>
      <c r="M125" s="151">
        <f>'Schedule Sheet'!M243*-1</f>
        <v>-36857.927506187669</v>
      </c>
      <c r="N125" s="151">
        <f>'Schedule Sheet'!N243*-1</f>
        <v>-43352.055990020046</v>
      </c>
      <c r="O125"/>
    </row>
    <row r="126" spans="2:15" hidden="1" outlineLevel="1">
      <c r="B126" s="209" t="s">
        <v>240</v>
      </c>
      <c r="D126" s="84"/>
      <c r="E126" s="84"/>
      <c r="F126" s="84"/>
      <c r="G126" s="84"/>
      <c r="H126" s="84"/>
      <c r="I126" s="84"/>
      <c r="J126" s="151"/>
      <c r="K126" s="151"/>
      <c r="L126" s="151"/>
      <c r="M126" s="151"/>
      <c r="N126" s="151"/>
      <c r="O126"/>
    </row>
    <row r="127" spans="2:15" hidden="1" outlineLevel="1">
      <c r="B127" s="208" t="s">
        <v>243</v>
      </c>
      <c r="D127" s="84"/>
      <c r="E127" s="84"/>
      <c r="F127" s="84"/>
      <c r="G127" s="84"/>
      <c r="H127" s="84"/>
      <c r="I127" s="84"/>
      <c r="J127" s="151"/>
      <c r="K127" s="151"/>
      <c r="L127" s="151"/>
      <c r="M127" s="151"/>
      <c r="N127" s="151"/>
      <c r="O127"/>
    </row>
    <row r="128" spans="2:15" hidden="1" outlineLevel="1">
      <c r="D128" s="84"/>
      <c r="E128" s="84"/>
      <c r="F128" s="84"/>
      <c r="G128" s="84"/>
      <c r="H128" s="84"/>
      <c r="I128" s="84"/>
      <c r="J128" s="151"/>
      <c r="K128" s="151"/>
      <c r="L128" s="151"/>
      <c r="M128" s="151"/>
      <c r="N128" s="151"/>
      <c r="O128"/>
    </row>
    <row r="129" spans="2:15" collapsed="1">
      <c r="B129" t="s">
        <v>392</v>
      </c>
      <c r="D129" s="84">
        <f>'Cash Flow Statement'!J14</f>
        <v>-4664.75</v>
      </c>
      <c r="E129" s="84">
        <f>'Cash Flow Statement'!K14</f>
        <v>7886.01</v>
      </c>
      <c r="F129" s="84">
        <f>'Cash Flow Statement'!L14</f>
        <v>30035.37</v>
      </c>
      <c r="G129" s="84">
        <f>'Cash Flow Statement'!M14</f>
        <v>8262</v>
      </c>
      <c r="H129" s="84">
        <f>'Cash Flow Statement'!N14</f>
        <v>17083</v>
      </c>
      <c r="I129" s="84">
        <f>'Cash Flow Statement'!O14</f>
        <v>93186</v>
      </c>
      <c r="J129" s="151">
        <f>I129</f>
        <v>93186</v>
      </c>
      <c r="K129" s="151">
        <f>J129</f>
        <v>93186</v>
      </c>
      <c r="L129" s="151">
        <v>0</v>
      </c>
      <c r="M129" s="151">
        <v>0</v>
      </c>
      <c r="N129" s="151">
        <v>0</v>
      </c>
      <c r="O129"/>
    </row>
    <row r="130" spans="2:15" hidden="1" outlineLevel="1">
      <c r="B130" s="208" t="s">
        <v>237</v>
      </c>
      <c r="D130" s="84"/>
      <c r="E130" s="84"/>
      <c r="F130" s="84"/>
      <c r="G130" s="84"/>
      <c r="H130" s="84"/>
      <c r="I130" s="84"/>
      <c r="J130" s="151"/>
      <c r="K130" s="151"/>
      <c r="L130" s="151">
        <v>0</v>
      </c>
      <c r="M130" s="151">
        <v>0</v>
      </c>
      <c r="N130" s="151">
        <v>0</v>
      </c>
      <c r="O130"/>
    </row>
    <row r="131" spans="2:15" hidden="1" outlineLevel="1">
      <c r="D131" s="84"/>
      <c r="E131" s="84"/>
      <c r="F131" s="84"/>
      <c r="G131" s="84"/>
      <c r="H131" s="84"/>
      <c r="I131" s="84"/>
      <c r="J131" s="151"/>
      <c r="K131" s="151"/>
      <c r="L131" s="151">
        <v>0</v>
      </c>
      <c r="M131" s="151">
        <v>0</v>
      </c>
      <c r="N131" s="151">
        <v>0</v>
      </c>
      <c r="O131"/>
    </row>
    <row r="132" spans="2:15" collapsed="1">
      <c r="B132" t="s">
        <v>393</v>
      </c>
      <c r="D132" s="84">
        <f>'Cash Flow Statement'!J19+'Cash Flow Statement'!J23+'Cash Flow Statement'!J16</f>
        <v>-4367.66</v>
      </c>
      <c r="E132" s="84">
        <f>'Cash Flow Statement'!K19+'Cash Flow Statement'!K23+'Cash Flow Statement'!K16</f>
        <v>-2347.2599999999998</v>
      </c>
      <c r="F132" s="84">
        <f>'Cash Flow Statement'!L19+'Cash Flow Statement'!L23+'Cash Flow Statement'!L16</f>
        <v>-4605.1500000000005</v>
      </c>
      <c r="G132" s="84">
        <f>'Cash Flow Statement'!M19+'Cash Flow Statement'!M23+'Cash Flow Statement'!M16</f>
        <v>-9978</v>
      </c>
      <c r="H132" s="84">
        <f>'Cash Flow Statement'!N19+'Cash Flow Statement'!N23+'Cash Flow Statement'!N16</f>
        <v>-14830</v>
      </c>
      <c r="I132" s="84">
        <f>'Cash Flow Statement'!O19+'Cash Flow Statement'!O23+'Cash Flow Statement'!O16</f>
        <v>-22734</v>
      </c>
      <c r="J132" s="151">
        <f>I132</f>
        <v>-22734</v>
      </c>
      <c r="K132" s="151">
        <f>J132</f>
        <v>-22734</v>
      </c>
      <c r="L132" s="151">
        <v>0</v>
      </c>
      <c r="M132" s="151">
        <v>0</v>
      </c>
      <c r="N132" s="151">
        <v>0</v>
      </c>
      <c r="O132"/>
    </row>
    <row r="133" spans="2:15" hidden="1" outlineLevel="1">
      <c r="B133" s="209" t="s">
        <v>242</v>
      </c>
      <c r="D133" s="84"/>
      <c r="E133" s="84"/>
      <c r="F133" s="84"/>
      <c r="G133" s="84"/>
      <c r="H133" s="84"/>
      <c r="I133" s="84"/>
      <c r="J133" s="151"/>
      <c r="K133" s="151"/>
      <c r="L133" s="151">
        <v>0</v>
      </c>
      <c r="M133" s="151">
        <v>0</v>
      </c>
      <c r="N133" s="151">
        <v>0</v>
      </c>
      <c r="O133"/>
    </row>
    <row r="134" spans="2:15" hidden="1" outlineLevel="1">
      <c r="B134" s="208" t="s">
        <v>246</v>
      </c>
      <c r="D134" s="84"/>
      <c r="E134" s="84"/>
      <c r="F134" s="84"/>
      <c r="G134" s="84"/>
      <c r="H134" s="84"/>
      <c r="I134" s="84"/>
      <c r="J134" s="151"/>
      <c r="K134" s="151"/>
      <c r="L134" s="151">
        <v>0</v>
      </c>
      <c r="M134" s="151">
        <v>0</v>
      </c>
      <c r="N134" s="151">
        <v>0</v>
      </c>
      <c r="O134"/>
    </row>
    <row r="135" spans="2:15" hidden="1" outlineLevel="1">
      <c r="B135" s="208" t="s">
        <v>239</v>
      </c>
      <c r="D135" s="84"/>
      <c r="E135" s="84"/>
      <c r="F135" s="84"/>
      <c r="G135" s="84"/>
      <c r="H135" s="84"/>
      <c r="I135" s="84"/>
      <c r="J135" s="151"/>
      <c r="K135" s="151"/>
      <c r="L135" s="151">
        <v>0</v>
      </c>
      <c r="M135" s="151">
        <v>0</v>
      </c>
      <c r="N135" s="151">
        <v>0</v>
      </c>
      <c r="O135"/>
    </row>
    <row r="136" spans="2:15" hidden="1" outlineLevel="1">
      <c r="D136" s="84"/>
      <c r="E136" s="84"/>
      <c r="F136" s="84"/>
      <c r="G136" s="84"/>
      <c r="H136" s="84"/>
      <c r="I136" s="84"/>
      <c r="J136" s="151"/>
      <c r="K136" s="151"/>
      <c r="L136" s="151">
        <v>0</v>
      </c>
      <c r="M136" s="151">
        <v>0</v>
      </c>
      <c r="N136" s="151">
        <v>0</v>
      </c>
      <c r="O136"/>
    </row>
    <row r="137" spans="2:15" collapsed="1">
      <c r="B137" t="s">
        <v>394</v>
      </c>
      <c r="D137" s="84">
        <f>'Cash Flow Statement'!J27+'Cash Flow Statement'!J28+'Cash Flow Statement'!J37+'Cash Flow Statement'!J38</f>
        <v>2.92</v>
      </c>
      <c r="E137" s="84">
        <f>'Cash Flow Statement'!K27+'Cash Flow Statement'!K28+'Cash Flow Statement'!K37+'Cash Flow Statement'!K38</f>
        <v>0.33</v>
      </c>
      <c r="F137" s="84">
        <f>'Cash Flow Statement'!L27+'Cash Flow Statement'!L28+'Cash Flow Statement'!L37+'Cash Flow Statement'!L38</f>
        <v>67.75</v>
      </c>
      <c r="G137" s="84">
        <f>'Cash Flow Statement'!M27+'Cash Flow Statement'!M28+'Cash Flow Statement'!M37+'Cash Flow Statement'!M38</f>
        <v>3</v>
      </c>
      <c r="H137" s="84">
        <f>'Cash Flow Statement'!N27+'Cash Flow Statement'!N28+'Cash Flow Statement'!N37+'Cash Flow Statement'!N38</f>
        <v>14</v>
      </c>
      <c r="I137" s="84">
        <f>'Cash Flow Statement'!O27+'Cash Flow Statement'!O28+'Cash Flow Statement'!O37+'Cash Flow Statement'!O38</f>
        <v>263</v>
      </c>
      <c r="J137" s="151">
        <f>I137</f>
        <v>263</v>
      </c>
      <c r="K137" s="151">
        <f>J137</f>
        <v>263</v>
      </c>
      <c r="L137" s="151">
        <v>0</v>
      </c>
      <c r="M137" s="151">
        <v>0</v>
      </c>
      <c r="N137" s="151">
        <v>0</v>
      </c>
      <c r="O137"/>
    </row>
    <row r="138" spans="2:15" hidden="1" outlineLevel="1">
      <c r="B138" s="208" t="s">
        <v>250</v>
      </c>
      <c r="D138" s="84"/>
      <c r="E138" s="84"/>
      <c r="F138" s="84"/>
      <c r="G138" s="84"/>
      <c r="H138" s="84"/>
      <c r="I138" s="84"/>
      <c r="J138" s="151"/>
      <c r="K138" s="151"/>
      <c r="L138" s="151">
        <v>0</v>
      </c>
      <c r="M138" s="151">
        <v>0</v>
      </c>
      <c r="N138" s="151">
        <v>0</v>
      </c>
      <c r="O138"/>
    </row>
    <row r="139" spans="2:15" hidden="1" outlineLevel="1">
      <c r="B139" s="208" t="s">
        <v>251</v>
      </c>
      <c r="D139" s="84"/>
      <c r="E139" s="84"/>
      <c r="F139" s="84"/>
      <c r="G139" s="84"/>
      <c r="H139" s="84"/>
      <c r="I139" s="84"/>
      <c r="J139" s="151"/>
      <c r="K139" s="151"/>
      <c r="L139" s="151">
        <v>0</v>
      </c>
      <c r="M139" s="151">
        <v>0</v>
      </c>
      <c r="N139" s="151">
        <v>0</v>
      </c>
      <c r="O139"/>
    </row>
    <row r="140" spans="2:15" hidden="1" outlineLevel="1">
      <c r="B140" s="208" t="s">
        <v>260</v>
      </c>
      <c r="D140" s="84"/>
      <c r="E140" s="84"/>
      <c r="F140" s="84"/>
      <c r="G140" s="84"/>
      <c r="H140" s="84"/>
      <c r="I140" s="84"/>
      <c r="J140" s="151"/>
      <c r="K140" s="151"/>
      <c r="L140" s="151">
        <v>0</v>
      </c>
      <c r="M140" s="151">
        <v>0</v>
      </c>
      <c r="N140" s="151">
        <v>0</v>
      </c>
      <c r="O140"/>
    </row>
    <row r="141" spans="2:15" hidden="1" outlineLevel="1">
      <c r="B141" s="208" t="s">
        <v>259</v>
      </c>
      <c r="D141" s="84"/>
      <c r="E141" s="84"/>
      <c r="F141" s="84"/>
      <c r="G141" s="84"/>
      <c r="H141" s="84"/>
      <c r="I141" s="84"/>
      <c r="J141" s="151"/>
      <c r="K141" s="151"/>
      <c r="L141" s="151">
        <v>0</v>
      </c>
      <c r="M141" s="151">
        <v>0</v>
      </c>
      <c r="N141" s="151">
        <v>0</v>
      </c>
      <c r="O141"/>
    </row>
    <row r="142" spans="2:15" hidden="1" outlineLevel="1">
      <c r="D142" s="84"/>
      <c r="E142" s="84"/>
      <c r="F142" s="84"/>
      <c r="G142" s="84"/>
      <c r="H142" s="84"/>
      <c r="I142" s="84"/>
      <c r="J142" s="151"/>
      <c r="K142" s="151"/>
      <c r="L142" s="151">
        <v>0</v>
      </c>
      <c r="M142" s="151">
        <v>0</v>
      </c>
      <c r="N142" s="151">
        <v>0</v>
      </c>
      <c r="O142"/>
    </row>
    <row r="143" spans="2:15" collapsed="1">
      <c r="B143" t="s">
        <v>395</v>
      </c>
      <c r="D143" s="84">
        <f>'Cash Flow Statement'!J30+'Cash Flow Statement'!J31+'Cash Flow Statement'!J36+'Cash Flow Statement'!J39</f>
        <v>748.33999999999992</v>
      </c>
      <c r="E143" s="84">
        <f>'Cash Flow Statement'!K30+'Cash Flow Statement'!K31+'Cash Flow Statement'!K36+'Cash Flow Statement'!K39</f>
        <v>200.46</v>
      </c>
      <c r="F143" s="84">
        <f>'Cash Flow Statement'!L30+'Cash Flow Statement'!L31+'Cash Flow Statement'!L36+'Cash Flow Statement'!L39</f>
        <v>288.79000000000002</v>
      </c>
      <c r="G143" s="84">
        <f>'Cash Flow Statement'!M30+'Cash Flow Statement'!M31+'Cash Flow Statement'!M36+'Cash Flow Statement'!M39</f>
        <v>704</v>
      </c>
      <c r="H143" s="84">
        <f>'Cash Flow Statement'!N30+'Cash Flow Statement'!N31+'Cash Flow Statement'!N36+'Cash Flow Statement'!N39</f>
        <v>496</v>
      </c>
      <c r="I143" s="84">
        <f>'Cash Flow Statement'!O30+'Cash Flow Statement'!O31+'Cash Flow Statement'!O36+'Cash Flow Statement'!O39</f>
        <v>517</v>
      </c>
      <c r="J143" s="151">
        <f>I143</f>
        <v>517</v>
      </c>
      <c r="K143" s="151">
        <f>J143</f>
        <v>517</v>
      </c>
      <c r="L143" s="151">
        <v>0</v>
      </c>
      <c r="M143" s="151">
        <v>0</v>
      </c>
      <c r="N143" s="151">
        <v>0</v>
      </c>
      <c r="O143"/>
    </row>
    <row r="144" spans="2:15" hidden="1" outlineLevel="1">
      <c r="B144" s="208" t="s">
        <v>252</v>
      </c>
      <c r="D144" s="84"/>
      <c r="E144" s="84"/>
      <c r="F144" s="84"/>
      <c r="G144" s="84"/>
      <c r="H144" s="84"/>
      <c r="I144" s="84"/>
      <c r="J144" s="151"/>
      <c r="K144" s="151"/>
      <c r="L144" s="151">
        <v>0</v>
      </c>
      <c r="M144" s="151">
        <v>0</v>
      </c>
      <c r="N144" s="151">
        <v>0</v>
      </c>
      <c r="O144"/>
    </row>
    <row r="145" spans="2:15" hidden="1" outlineLevel="1">
      <c r="B145" s="209" t="s">
        <v>258</v>
      </c>
      <c r="D145" s="84"/>
      <c r="E145" s="84"/>
      <c r="F145" s="84"/>
      <c r="G145" s="84"/>
      <c r="H145" s="84"/>
      <c r="I145" s="84"/>
      <c r="J145" s="151"/>
      <c r="K145" s="151"/>
      <c r="L145" s="151">
        <v>0</v>
      </c>
      <c r="M145" s="151">
        <v>0</v>
      </c>
      <c r="N145" s="151">
        <v>0</v>
      </c>
      <c r="O145"/>
    </row>
    <row r="146" spans="2:15" hidden="1" outlineLevel="1">
      <c r="B146" s="209" t="s">
        <v>261</v>
      </c>
      <c r="D146" s="84"/>
      <c r="E146" s="84"/>
      <c r="F146" s="84"/>
      <c r="G146" s="84"/>
      <c r="H146" s="84"/>
      <c r="I146" s="84"/>
      <c r="J146" s="151"/>
      <c r="K146" s="151"/>
      <c r="L146" s="151">
        <v>0</v>
      </c>
      <c r="M146" s="151">
        <v>0</v>
      </c>
      <c r="N146" s="151">
        <v>0</v>
      </c>
      <c r="O146"/>
    </row>
    <row r="147" spans="2:15" hidden="1" outlineLevel="1">
      <c r="D147" s="84"/>
      <c r="E147" s="84"/>
      <c r="F147" s="84"/>
      <c r="G147" s="84"/>
      <c r="H147" s="84"/>
      <c r="I147" s="84"/>
      <c r="J147" s="151"/>
      <c r="K147" s="151"/>
      <c r="L147" s="151">
        <v>0</v>
      </c>
      <c r="M147" s="151">
        <v>0</v>
      </c>
      <c r="N147" s="151">
        <v>0</v>
      </c>
      <c r="O147"/>
    </row>
    <row r="148" spans="2:15" collapsed="1">
      <c r="B148" t="s">
        <v>396</v>
      </c>
      <c r="D148" s="84">
        <f>'Cash Flow Statement'!J32++'Cash Flow Statement'!J33</f>
        <v>-22.79</v>
      </c>
      <c r="E148" s="84">
        <f>'Cash Flow Statement'!K32++'Cash Flow Statement'!K33</f>
        <v>-757.59</v>
      </c>
      <c r="F148" s="84">
        <f>'Cash Flow Statement'!L32++'Cash Flow Statement'!L33</f>
        <v>-11.88</v>
      </c>
      <c r="G148" s="84">
        <f>'Cash Flow Statement'!M32++'Cash Flow Statement'!M33</f>
        <v>-16</v>
      </c>
      <c r="H148" s="84">
        <f>'Cash Flow Statement'!N32++'Cash Flow Statement'!N33</f>
        <v>-19</v>
      </c>
      <c r="I148" s="84">
        <f>'Cash Flow Statement'!O32++'Cash Flow Statement'!O33</f>
        <v>-17</v>
      </c>
      <c r="J148" s="151">
        <v>0</v>
      </c>
      <c r="K148" s="151">
        <v>0</v>
      </c>
      <c r="L148" s="151">
        <v>0</v>
      </c>
      <c r="M148" s="151">
        <v>0</v>
      </c>
      <c r="N148" s="151">
        <v>0</v>
      </c>
      <c r="O148"/>
    </row>
    <row r="149" spans="2:15" hidden="1" outlineLevel="1">
      <c r="B149" s="208" t="s">
        <v>254</v>
      </c>
      <c r="D149" s="84"/>
      <c r="E149" s="84"/>
      <c r="F149" s="84"/>
      <c r="G149" s="84"/>
      <c r="H149" s="84"/>
      <c r="I149" s="84"/>
      <c r="J149" s="151"/>
      <c r="K149" s="151"/>
      <c r="L149" s="151">
        <v>0</v>
      </c>
      <c r="M149" s="151">
        <v>0</v>
      </c>
      <c r="N149" s="151">
        <v>0</v>
      </c>
      <c r="O149"/>
    </row>
    <row r="150" spans="2:15" ht="15" hidden="1" customHeight="1" outlineLevel="1">
      <c r="B150" s="208" t="s">
        <v>255</v>
      </c>
      <c r="D150" s="84"/>
      <c r="E150" s="84"/>
      <c r="F150" s="84"/>
      <c r="G150" s="84"/>
      <c r="H150" s="84"/>
      <c r="I150" s="84"/>
      <c r="J150" s="151"/>
      <c r="K150" s="151"/>
      <c r="L150" s="151">
        <v>0</v>
      </c>
      <c r="M150" s="151">
        <v>0</v>
      </c>
      <c r="N150" s="151">
        <v>0</v>
      </c>
      <c r="O150"/>
    </row>
    <row r="151" spans="2:15" hidden="1" outlineLevel="1">
      <c r="D151" s="84"/>
      <c r="E151" s="84"/>
      <c r="F151" s="84"/>
      <c r="G151" s="84"/>
      <c r="H151" s="84"/>
      <c r="I151" s="84"/>
      <c r="J151" s="151"/>
      <c r="K151" s="151"/>
      <c r="L151" s="151">
        <v>0</v>
      </c>
      <c r="M151" s="151">
        <v>0</v>
      </c>
      <c r="N151" s="151">
        <v>0</v>
      </c>
      <c r="O151"/>
    </row>
    <row r="152" spans="2:15" collapsed="1">
      <c r="B152" t="s">
        <v>397</v>
      </c>
      <c r="D152" s="84">
        <f>'Cash Flow Statement'!J18+'Cash Flow Statement'!J24+'Cash Flow Statement'!J21+'Cash Flow Statement'!J22+'Cash Flow Statement'!J29</f>
        <v>-3375.34</v>
      </c>
      <c r="E152" s="84">
        <f>'Cash Flow Statement'!K18+'Cash Flow Statement'!K24+'Cash Flow Statement'!K21+'Cash Flow Statement'!K22+'Cash Flow Statement'!K29</f>
        <v>-147.74</v>
      </c>
      <c r="F152" s="84">
        <f>'Cash Flow Statement'!L18+'Cash Flow Statement'!L24+'Cash Flow Statement'!L21+'Cash Flow Statement'!L22+'Cash Flow Statement'!L29</f>
        <v>-326.64000000000004</v>
      </c>
      <c r="G152" s="84">
        <f>'Cash Flow Statement'!M18+'Cash Flow Statement'!M24+'Cash Flow Statement'!M21+'Cash Flow Statement'!M22+'Cash Flow Statement'!M29</f>
        <v>-44</v>
      </c>
      <c r="H152" s="84">
        <f>'Cash Flow Statement'!N18+'Cash Flow Statement'!N24+'Cash Flow Statement'!N21+'Cash Flow Statement'!N22+'Cash Flow Statement'!N29</f>
        <v>335</v>
      </c>
      <c r="I152" s="84">
        <f>'Cash Flow Statement'!O18+'Cash Flow Statement'!O24+'Cash Flow Statement'!O21+'Cash Flow Statement'!O22+'Cash Flow Statement'!O29</f>
        <v>17724</v>
      </c>
      <c r="J152" s="151">
        <f>I152</f>
        <v>17724</v>
      </c>
      <c r="K152" s="151">
        <f>J152</f>
        <v>17724</v>
      </c>
      <c r="L152" s="151">
        <v>0</v>
      </c>
      <c r="M152" s="151">
        <v>0</v>
      </c>
      <c r="N152" s="151">
        <v>0</v>
      </c>
      <c r="O152"/>
    </row>
    <row r="153" spans="2:15" hidden="1" outlineLevel="1">
      <c r="B153" s="208" t="s">
        <v>241</v>
      </c>
      <c r="D153" s="84"/>
      <c r="E153" s="84"/>
      <c r="F153" s="84"/>
      <c r="G153" s="84"/>
      <c r="H153" s="84"/>
      <c r="I153" s="84"/>
      <c r="J153" s="151"/>
      <c r="K153" s="151"/>
      <c r="L153" s="151">
        <v>0</v>
      </c>
      <c r="M153" s="151">
        <v>0</v>
      </c>
      <c r="N153" s="151">
        <v>0</v>
      </c>
      <c r="O153"/>
    </row>
    <row r="154" spans="2:15" hidden="1" outlineLevel="1">
      <c r="B154" s="209" t="s">
        <v>247</v>
      </c>
      <c r="D154" s="84"/>
      <c r="E154" s="84"/>
      <c r="F154" s="84"/>
      <c r="G154" s="84"/>
      <c r="H154" s="84"/>
      <c r="I154" s="84"/>
      <c r="J154" s="151"/>
      <c r="K154" s="151"/>
      <c r="L154" s="151">
        <v>0</v>
      </c>
      <c r="M154" s="151">
        <v>0</v>
      </c>
      <c r="N154" s="151">
        <v>0</v>
      </c>
      <c r="O154"/>
    </row>
    <row r="155" spans="2:15" hidden="1" outlineLevel="1">
      <c r="B155" s="209" t="s">
        <v>244</v>
      </c>
      <c r="D155" s="84"/>
      <c r="E155" s="84"/>
      <c r="F155" s="84"/>
      <c r="G155" s="84"/>
      <c r="H155" s="84"/>
      <c r="I155" s="84"/>
      <c r="J155" s="151"/>
      <c r="K155" s="151"/>
      <c r="L155" s="151">
        <v>0</v>
      </c>
      <c r="M155" s="151">
        <v>0</v>
      </c>
      <c r="N155" s="151">
        <v>0</v>
      </c>
      <c r="O155"/>
    </row>
    <row r="156" spans="2:15" hidden="1" outlineLevel="1">
      <c r="B156" s="209" t="s">
        <v>245</v>
      </c>
      <c r="D156" s="84"/>
      <c r="E156" s="84"/>
      <c r="F156" s="84"/>
      <c r="G156" s="84"/>
      <c r="H156" s="84"/>
      <c r="I156" s="84"/>
      <c r="J156" s="151"/>
      <c r="K156" s="151"/>
      <c r="L156" s="151">
        <v>0</v>
      </c>
      <c r="M156" s="151">
        <v>0</v>
      </c>
      <c r="N156" s="151">
        <v>0</v>
      </c>
      <c r="O156"/>
    </row>
    <row r="157" spans="2:15" hidden="1" outlineLevel="1">
      <c r="B157" s="208" t="s">
        <v>371</v>
      </c>
      <c r="D157" s="84"/>
      <c r="E157" s="84"/>
      <c r="F157" s="84"/>
      <c r="G157" s="84"/>
      <c r="H157" s="84"/>
      <c r="I157" s="84"/>
      <c r="J157" s="151"/>
      <c r="K157" s="151"/>
      <c r="L157" s="151">
        <v>0</v>
      </c>
      <c r="M157" s="151">
        <v>0</v>
      </c>
      <c r="N157" s="151">
        <v>0</v>
      </c>
      <c r="O157"/>
    </row>
    <row r="158" spans="2:15" hidden="1" outlineLevel="1">
      <c r="D158" s="84"/>
      <c r="E158" s="84"/>
      <c r="F158" s="84"/>
      <c r="G158" s="84"/>
      <c r="H158" s="84"/>
      <c r="I158" s="84"/>
      <c r="J158" s="151"/>
      <c r="K158" s="151"/>
      <c r="L158" s="151">
        <v>0</v>
      </c>
      <c r="M158" s="151">
        <v>0</v>
      </c>
      <c r="N158" s="151">
        <v>0</v>
      </c>
      <c r="O158"/>
    </row>
    <row r="159" spans="2:15" collapsed="1">
      <c r="B159" t="s">
        <v>398</v>
      </c>
      <c r="D159" s="84">
        <f>'Cash Flow Statement'!J26</f>
        <v>1.17</v>
      </c>
      <c r="E159" s="84">
        <f>'Cash Flow Statement'!K26</f>
        <v>0</v>
      </c>
      <c r="F159" s="84">
        <f>'Cash Flow Statement'!L26</f>
        <v>0</v>
      </c>
      <c r="G159" s="84">
        <f>'Cash Flow Statement'!M26</f>
        <v>0</v>
      </c>
      <c r="H159" s="84">
        <f>'Cash Flow Statement'!N26</f>
        <v>0</v>
      </c>
      <c r="I159" s="84">
        <f>'Cash Flow Statement'!O26</f>
        <v>0</v>
      </c>
      <c r="J159" s="151">
        <v>0</v>
      </c>
      <c r="K159" s="151">
        <v>0</v>
      </c>
      <c r="L159" s="151">
        <v>0</v>
      </c>
      <c r="M159" s="151">
        <v>0</v>
      </c>
      <c r="N159" s="151">
        <v>0</v>
      </c>
      <c r="O159"/>
    </row>
    <row r="160" spans="2:15" hidden="1" outlineLevel="1">
      <c r="B160" s="209" t="s">
        <v>249</v>
      </c>
      <c r="D160" s="84"/>
      <c r="E160" s="84"/>
      <c r="F160" s="84"/>
      <c r="G160" s="84"/>
      <c r="H160" s="84"/>
      <c r="I160" s="84"/>
      <c r="J160" s="55"/>
      <c r="K160" s="55"/>
      <c r="L160" s="55"/>
      <c r="M160" s="55"/>
      <c r="O160"/>
    </row>
    <row r="161" spans="2:17" collapsed="1">
      <c r="B161" s="112" t="s">
        <v>262</v>
      </c>
      <c r="C161" s="6"/>
      <c r="D161" s="211">
        <f t="shared" ref="D161:N161" si="60">SUM(D114:D159)</f>
        <v>-4449.8700000000108</v>
      </c>
      <c r="E161" s="211">
        <f t="shared" si="60"/>
        <v>15274.059999999985</v>
      </c>
      <c r="F161" s="211">
        <f t="shared" si="60"/>
        <v>99845.639999999985</v>
      </c>
      <c r="G161" s="211">
        <f t="shared" si="60"/>
        <v>173787.46</v>
      </c>
      <c r="H161" s="211">
        <f t="shared" si="60"/>
        <v>200661</v>
      </c>
      <c r="I161" s="211">
        <f t="shared" si="60"/>
        <v>216794</v>
      </c>
      <c r="J161" s="211">
        <f t="shared" si="60"/>
        <v>261237.27353499993</v>
      </c>
      <c r="K161" s="211">
        <f t="shared" si="60"/>
        <v>305172.45526924997</v>
      </c>
      <c r="L161" s="211">
        <f t="shared" si="60"/>
        <v>244667.71578720747</v>
      </c>
      <c r="M161" s="211">
        <f t="shared" si="60"/>
        <v>258634.85350626396</v>
      </c>
      <c r="N161" s="211">
        <f t="shared" si="60"/>
        <v>289423.61267835973</v>
      </c>
      <c r="O161"/>
    </row>
    <row r="162" spans="2:17">
      <c r="D162" s="84"/>
      <c r="E162" s="84"/>
      <c r="F162" s="84"/>
      <c r="G162" s="84"/>
      <c r="H162" s="84"/>
      <c r="I162" s="84"/>
      <c r="J162" s="55"/>
      <c r="K162" s="55"/>
      <c r="L162" s="55"/>
      <c r="M162" s="55"/>
      <c r="O162"/>
    </row>
    <row r="163" spans="2:17">
      <c r="B163" s="98" t="s">
        <v>235</v>
      </c>
      <c r="D163" s="84"/>
      <c r="E163" s="84"/>
      <c r="F163" s="84"/>
      <c r="G163" s="84"/>
      <c r="H163" s="84"/>
      <c r="I163" s="84"/>
      <c r="J163" s="55"/>
      <c r="K163" s="55"/>
      <c r="L163" s="55"/>
      <c r="M163" s="55"/>
      <c r="O163"/>
    </row>
    <row r="164" spans="2:17">
      <c r="B164" s="19" t="s">
        <v>263</v>
      </c>
      <c r="D164" s="84">
        <f>'Cash Flow Statement'!J43</f>
        <v>-7554.77</v>
      </c>
      <c r="E164" s="84">
        <f>'Cash Flow Statement'!K43</f>
        <v>-4666.1000000000004</v>
      </c>
      <c r="F164" s="84">
        <f>'Cash Flow Statement'!L43</f>
        <v>-5089.59</v>
      </c>
      <c r="G164" s="84">
        <f>'Cash Flow Statement'!M43</f>
        <v>-25342</v>
      </c>
      <c r="H164" s="84">
        <f>'Cash Flow Statement'!N43</f>
        <v>-42053</v>
      </c>
      <c r="I164" s="84">
        <f>'Cash Flow Statement'!O43</f>
        <v>-34531</v>
      </c>
      <c r="J164" s="151">
        <f>('Schedule Sheet'!J187+'Schedule Sheet'!J188)*-1</f>
        <v>-17096.4223466</v>
      </c>
      <c r="K164" s="151">
        <f>('Schedule Sheet'!K187+'Schedule Sheet'!K188)*-1</f>
        <v>-6887.2378840380015</v>
      </c>
      <c r="L164" s="151">
        <f>('Schedule Sheet'!L187+'Schedule Sheet'!L188)*-1</f>
        <v>-8246.7442283963319</v>
      </c>
      <c r="M164" s="151">
        <f>('Schedule Sheet'!M187+'Schedule Sheet'!M188)*-1</f>
        <v>-9875.8312977367004</v>
      </c>
      <c r="N164" s="151">
        <f>('Schedule Sheet'!N187+'Schedule Sheet'!N188)*-1</f>
        <v>-11828.099551349649</v>
      </c>
      <c r="O164"/>
    </row>
    <row r="165" spans="2:17">
      <c r="B165" s="98" t="s">
        <v>264</v>
      </c>
      <c r="D165" s="84">
        <f>'Cash Flow Statement'!J44</f>
        <v>-302.89999999999998</v>
      </c>
      <c r="E165" s="84">
        <f>'Cash Flow Statement'!K44</f>
        <v>-916.45</v>
      </c>
      <c r="F165" s="84">
        <f>'Cash Flow Statement'!L44</f>
        <v>-1830.04</v>
      </c>
      <c r="G165" s="84">
        <f>'Cash Flow Statement'!M44</f>
        <v>-337</v>
      </c>
      <c r="H165" s="84">
        <f>'Cash Flow Statement'!N44</f>
        <v>-1955</v>
      </c>
      <c r="I165" s="84">
        <f>'Cash Flow Statement'!O44</f>
        <v>-1645</v>
      </c>
      <c r="J165" s="151">
        <f>'Schedule Sheet'!J185*-1</f>
        <v>-1172.5544734246596</v>
      </c>
      <c r="K165" s="151">
        <f>'Schedule Sheet'!K185*-1</f>
        <v>-2158.3423961753415</v>
      </c>
      <c r="L165" s="151">
        <f>'Schedule Sheet'!L185*-1</f>
        <v>-2584.388400437585</v>
      </c>
      <c r="M165" s="151">
        <f>'Schedule Sheet'!M185*-1</f>
        <v>-3094.9163868408741</v>
      </c>
      <c r="N165" s="151">
        <f>'Schedule Sheet'!N185*-1</f>
        <v>-3706.723821319898</v>
      </c>
      <c r="O165"/>
    </row>
    <row r="166" spans="2:17">
      <c r="B166" s="19" t="s">
        <v>265</v>
      </c>
      <c r="D166" s="84">
        <f>'Cash Flow Statement'!J45</f>
        <v>-3462.49</v>
      </c>
      <c r="E166" s="84">
        <f>'Cash Flow Statement'!K45</f>
        <v>14393.47</v>
      </c>
      <c r="F166" s="84">
        <f>'Cash Flow Statement'!L45</f>
        <v>40291.18</v>
      </c>
      <c r="G166" s="84">
        <f>'Cash Flow Statement'!M45</f>
        <v>70379</v>
      </c>
      <c r="H166" s="84">
        <f>'Cash Flow Statement'!N45</f>
        <v>90242</v>
      </c>
      <c r="I166" s="84">
        <f>'Cash Flow Statement'!O45</f>
        <v>55410</v>
      </c>
      <c r="J166" s="151">
        <f>SUM('Schedule Sheet'!J191:J194)</f>
        <v>23587.483967123306</v>
      </c>
      <c r="K166" s="151">
        <f>SUM('Schedule Sheet'!K191:K194)</f>
        <v>42378.102968876701</v>
      </c>
      <c r="L166" s="151">
        <f>SUM('Schedule Sheet'!L191:L194)</f>
        <v>22172.403512593242</v>
      </c>
      <c r="M166" s="151">
        <f>SUM('Schedule Sheet'!M191:M194)</f>
        <v>35889.96499930133</v>
      </c>
      <c r="N166" s="151">
        <f>SUM('Schedule Sheet'!N191:N194)</f>
        <v>59327.379139061311</v>
      </c>
      <c r="O166"/>
    </row>
    <row r="167" spans="2:17">
      <c r="B167" s="98" t="s">
        <v>266</v>
      </c>
      <c r="C167" s="111"/>
      <c r="D167" s="84">
        <f>'Cash Flow Statement'!J46</f>
        <v>392.63</v>
      </c>
      <c r="E167" s="84">
        <f>'Cash Flow Statement'!K46</f>
        <v>-1195.3900000000001</v>
      </c>
      <c r="F167" s="84">
        <f>'Cash Flow Statement'!L46</f>
        <v>-2045.11</v>
      </c>
      <c r="G167" s="84">
        <f>'Cash Flow Statement'!M46</f>
        <v>-1197</v>
      </c>
      <c r="H167" s="84">
        <f>'Cash Flow Statement'!N46</f>
        <v>-1057</v>
      </c>
      <c r="I167" s="84">
        <f>'Cash Flow Statement'!O46</f>
        <v>1239</v>
      </c>
      <c r="J167" s="151">
        <f>'Schedule Sheet'!J186*-1</f>
        <v>-7918.8415068493159</v>
      </c>
      <c r="K167" s="151">
        <f>'Schedule Sheet'!K186*-1</f>
        <v>-2725.1797931506844</v>
      </c>
      <c r="L167" s="151">
        <f>'Schedule Sheet'!L186*-1</f>
        <v>-3263.1166672191757</v>
      </c>
      <c r="M167" s="151">
        <f>'Schedule Sheet'!M186*-1</f>
        <v>854.44942491770053</v>
      </c>
      <c r="N167" s="151">
        <f>'Schedule Sheet'!N186*-1</f>
        <v>-3744.1654760807032</v>
      </c>
      <c r="O167"/>
    </row>
    <row r="168" spans="2:17" s="16" customFormat="1">
      <c r="B168" s="18" t="s">
        <v>268</v>
      </c>
      <c r="D168" s="226">
        <f>D161+SUM(D164:D167)</f>
        <v>-15377.400000000012</v>
      </c>
      <c r="E168" s="226">
        <f t="shared" ref="E168:N168" si="61">E161+SUM(E164:E167)</f>
        <v>22889.589999999982</v>
      </c>
      <c r="F168" s="226">
        <f t="shared" si="61"/>
        <v>131172.07999999999</v>
      </c>
      <c r="G168" s="226">
        <f t="shared" si="61"/>
        <v>217290.46</v>
      </c>
      <c r="H168" s="226">
        <f t="shared" si="61"/>
        <v>245838</v>
      </c>
      <c r="I168" s="226">
        <f t="shared" si="61"/>
        <v>237267</v>
      </c>
      <c r="J168" s="151">
        <f>J161+SUM(J164:J167)</f>
        <v>258636.93917524925</v>
      </c>
      <c r="K168" s="151">
        <f t="shared" si="61"/>
        <v>335779.79816476267</v>
      </c>
      <c r="L168" s="151">
        <f t="shared" si="61"/>
        <v>252745.87000374764</v>
      </c>
      <c r="M168" s="151">
        <f t="shared" si="61"/>
        <v>282408.52024590538</v>
      </c>
      <c r="N168" s="151">
        <f t="shared" si="61"/>
        <v>329472.0029686708</v>
      </c>
      <c r="P168" s="436"/>
      <c r="Q168" s="436"/>
    </row>
    <row r="169" spans="2:17">
      <c r="B169" s="18"/>
      <c r="D169" s="212"/>
      <c r="E169" s="212"/>
      <c r="F169" s="212"/>
      <c r="G169" s="212"/>
      <c r="H169" s="212"/>
      <c r="I169" s="212"/>
      <c r="J169" s="151"/>
      <c r="K169" s="151"/>
      <c r="L169" s="151"/>
      <c r="M169" s="151"/>
      <c r="N169" s="151"/>
      <c r="O169"/>
    </row>
    <row r="170" spans="2:17">
      <c r="B170" s="19"/>
      <c r="D170" s="84">
        <f>SUM(D164:D167)</f>
        <v>-10927.53</v>
      </c>
      <c r="E170" s="84">
        <f>SUM(E164:E167)</f>
        <v>7615.5299999999979</v>
      </c>
      <c r="F170" s="84">
        <f t="shared" ref="F170:N170" si="62">SUM(F164:F167)</f>
        <v>31326.440000000002</v>
      </c>
      <c r="G170" s="84">
        <f t="shared" si="62"/>
        <v>43503</v>
      </c>
      <c r="H170" s="84">
        <f t="shared" si="62"/>
        <v>45177</v>
      </c>
      <c r="I170" s="84">
        <f>SUM(I164:I167)</f>
        <v>20473</v>
      </c>
      <c r="J170" s="151">
        <f t="shared" si="62"/>
        <v>-2600.3343597506719</v>
      </c>
      <c r="K170" s="151">
        <f>SUM(K164:K167)</f>
        <v>30607.342895512676</v>
      </c>
      <c r="L170" s="151">
        <f t="shared" si="62"/>
        <v>8078.1542165401497</v>
      </c>
      <c r="M170" s="151">
        <f>SUM(M164:M167)</f>
        <v>23773.666739641456</v>
      </c>
      <c r="N170" s="151">
        <f t="shared" si="62"/>
        <v>40048.390290311057</v>
      </c>
      <c r="O170"/>
    </row>
    <row r="171" spans="2:17">
      <c r="B171" s="19"/>
      <c r="D171" s="84"/>
      <c r="E171" s="84"/>
      <c r="F171" s="84"/>
      <c r="G171" s="84"/>
      <c r="H171" s="84"/>
      <c r="I171" s="84"/>
      <c r="J171" s="151"/>
      <c r="K171" s="151"/>
      <c r="L171" s="151"/>
      <c r="M171" s="151"/>
      <c r="N171" s="151"/>
      <c r="O171"/>
    </row>
    <row r="172" spans="2:17">
      <c r="B172" s="98" t="s">
        <v>269</v>
      </c>
      <c r="D172" s="84">
        <f>'Cash Flow Statement'!J50</f>
        <v>-764.14</v>
      </c>
      <c r="E172" s="84">
        <f>'Cash Flow Statement'!K50</f>
        <v>-1983.81</v>
      </c>
      <c r="F172" s="84">
        <f>'Cash Flow Statement'!L50</f>
        <v>-3892.69</v>
      </c>
      <c r="G172" s="84">
        <f>'Cash Flow Statement'!M50</f>
        <v>-5114</v>
      </c>
      <c r="H172" s="84">
        <f>'Cash Flow Statement'!N50</f>
        <v>-4325</v>
      </c>
      <c r="I172" s="84">
        <f>'Cash Flow Statement'!O50</f>
        <v>-2568</v>
      </c>
      <c r="J172" s="151">
        <f>'Schedule Sheet'!J116</f>
        <v>-3146.6511834093544</v>
      </c>
      <c r="K172" s="151">
        <f>'Schedule Sheet'!K116</f>
        <v>-11297.038093002657</v>
      </c>
      <c r="L172" s="151">
        <f>'Schedule Sheet'!L116</f>
        <v>-10740.257867991055</v>
      </c>
      <c r="M172" s="151">
        <f>'Schedule Sheet'!M116</f>
        <v>-10951.654027510998</v>
      </c>
      <c r="N172" s="151">
        <f>'Schedule Sheet'!N116</f>
        <v>-15563.949625873742</v>
      </c>
      <c r="O172"/>
    </row>
    <row r="173" spans="2:17">
      <c r="B173" s="39" t="s">
        <v>270</v>
      </c>
      <c r="C173" s="6"/>
      <c r="D173" s="211">
        <f t="shared" ref="D173:M173" si="63">D168+D172</f>
        <v>-16141.540000000012</v>
      </c>
      <c r="E173" s="211">
        <f t="shared" si="63"/>
        <v>20905.779999999981</v>
      </c>
      <c r="F173" s="211">
        <f t="shared" si="63"/>
        <v>127279.38999999998</v>
      </c>
      <c r="G173" s="211">
        <f t="shared" si="63"/>
        <v>212176.46</v>
      </c>
      <c r="H173" s="211">
        <f t="shared" si="63"/>
        <v>241513</v>
      </c>
      <c r="I173" s="211">
        <f t="shared" si="63"/>
        <v>234699</v>
      </c>
      <c r="J173" s="211">
        <f>J168+J172</f>
        <v>255490.2879918399</v>
      </c>
      <c r="K173" s="211">
        <f t="shared" si="63"/>
        <v>324482.76007176004</v>
      </c>
      <c r="L173" s="211">
        <f t="shared" si="63"/>
        <v>242005.61213575659</v>
      </c>
      <c r="M173" s="211">
        <f t="shared" si="63"/>
        <v>271456.86621839437</v>
      </c>
      <c r="N173" s="211">
        <f>N168+N172</f>
        <v>313908.05334279704</v>
      </c>
      <c r="O173"/>
    </row>
    <row r="174" spans="2:17">
      <c r="D174" s="111">
        <f t="shared" ref="D174:I174" si="64">D197+D185</f>
        <v>14217.010000000024</v>
      </c>
      <c r="E174" s="111">
        <f t="shared" si="64"/>
        <v>-15853.910000000033</v>
      </c>
      <c r="F174" s="111">
        <f t="shared" si="64"/>
        <v>-124919.48000000001</v>
      </c>
      <c r="G174" s="111">
        <f t="shared" si="64"/>
        <v>-217875</v>
      </c>
      <c r="H174" s="111">
        <f t="shared" si="64"/>
        <v>-237747</v>
      </c>
      <c r="I174" s="111">
        <f t="shared" si="64"/>
        <v>-232286</v>
      </c>
      <c r="J174" s="111">
        <f>J197+J185</f>
        <v>-255880.42720800001</v>
      </c>
      <c r="K174" s="111">
        <f t="shared" ref="K174:N174" si="65">K197+K185</f>
        <v>-261738.75978986191</v>
      </c>
      <c r="L174" s="111">
        <f t="shared" si="65"/>
        <v>-286932.48469467455</v>
      </c>
      <c r="M174" s="111">
        <f t="shared" si="65"/>
        <v>-294682.14679416374</v>
      </c>
      <c r="N174" s="111">
        <f t="shared" si="65"/>
        <v>-301986.27233701124</v>
      </c>
      <c r="O174"/>
    </row>
    <row r="175" spans="2:17">
      <c r="B175" s="18" t="s">
        <v>271</v>
      </c>
      <c r="J175" s="55"/>
      <c r="K175" s="55"/>
      <c r="L175" s="55"/>
      <c r="M175" s="55"/>
      <c r="O175"/>
    </row>
    <row r="176" spans="2:17">
      <c r="B176" s="98" t="s">
        <v>405</v>
      </c>
      <c r="D176" s="111">
        <f>'Cash Flow Statement'!J54</f>
        <v>-128822.39999999999</v>
      </c>
      <c r="E176" s="111">
        <f>'Cash Flow Statement'!K54</f>
        <v>-202685.26</v>
      </c>
      <c r="F176" s="111">
        <f>'Cash Flow Statement'!L54</f>
        <v>-292773.40999999997</v>
      </c>
      <c r="G176" s="111">
        <f>'Cash Flow Statement'!M54</f>
        <v>-237939</v>
      </c>
      <c r="H176" s="111">
        <f>'Cash Flow Statement'!N54</f>
        <v>-226798</v>
      </c>
      <c r="I176" s="111">
        <f>'Cash Flow Statement'!O54</f>
        <v>-440338</v>
      </c>
      <c r="J176" s="151">
        <f>I176</f>
        <v>-440338</v>
      </c>
      <c r="K176" s="151">
        <f t="shared" ref="K176:N176" si="66">J176</f>
        <v>-440338</v>
      </c>
      <c r="L176" s="151">
        <f t="shared" si="66"/>
        <v>-440338</v>
      </c>
      <c r="M176" s="151">
        <f t="shared" si="66"/>
        <v>-440338</v>
      </c>
      <c r="N176" s="151">
        <f t="shared" si="66"/>
        <v>-440338</v>
      </c>
      <c r="O176"/>
    </row>
    <row r="177" spans="2:15">
      <c r="B177" s="19" t="s">
        <v>406</v>
      </c>
      <c r="D177" s="111">
        <f>'Cash Flow Statement'!J55</f>
        <v>154787.67000000001</v>
      </c>
      <c r="E177" s="111">
        <f>'Cash Flow Statement'!K55</f>
        <v>197361.86</v>
      </c>
      <c r="F177" s="111">
        <f>'Cash Flow Statement'!L55</f>
        <v>262858.34999999998</v>
      </c>
      <c r="G177" s="111">
        <f>'Cash Flow Statement'!M55</f>
        <v>198244</v>
      </c>
      <c r="H177" s="111">
        <f>'Cash Flow Statement'!N55</f>
        <v>146584</v>
      </c>
      <c r="I177" s="111">
        <f>'Cash Flow Statement'!O55</f>
        <v>440465</v>
      </c>
      <c r="J177" s="151">
        <f t="shared" ref="J177:N177" si="67">I177</f>
        <v>440465</v>
      </c>
      <c r="K177" s="151">
        <f t="shared" si="67"/>
        <v>440465</v>
      </c>
      <c r="L177" s="151">
        <f t="shared" si="67"/>
        <v>440465</v>
      </c>
      <c r="M177" s="151">
        <f t="shared" si="67"/>
        <v>440465</v>
      </c>
      <c r="N177" s="151">
        <f t="shared" si="67"/>
        <v>440465</v>
      </c>
      <c r="O177"/>
    </row>
    <row r="178" spans="2:15">
      <c r="B178" s="98" t="s">
        <v>407</v>
      </c>
      <c r="D178" s="111">
        <f>'Cash Flow Statement'!J56</f>
        <v>-99558.59</v>
      </c>
      <c r="E178" s="111">
        <f>'Cash Flow Statement'!K56</f>
        <v>-177938.44</v>
      </c>
      <c r="F178" s="111">
        <f>'Cash Flow Statement'!L56</f>
        <v>-172651.41</v>
      </c>
      <c r="G178" s="111">
        <f>'Cash Flow Statement'!M56</f>
        <v>-217753</v>
      </c>
      <c r="H178" s="111">
        <f>'Cash Flow Statement'!N56</f>
        <v>-225906</v>
      </c>
      <c r="I178" s="111">
        <f>'Cash Flow Statement'!O56</f>
        <v>-288526</v>
      </c>
      <c r="J178" s="151">
        <f t="shared" ref="J178:N178" si="68">I178</f>
        <v>-288526</v>
      </c>
      <c r="K178" s="151">
        <f t="shared" si="68"/>
        <v>-288526</v>
      </c>
      <c r="L178" s="151">
        <f t="shared" si="68"/>
        <v>-288526</v>
      </c>
      <c r="M178" s="151">
        <f t="shared" si="68"/>
        <v>-288526</v>
      </c>
      <c r="N178" s="151">
        <f t="shared" si="68"/>
        <v>-288526</v>
      </c>
      <c r="O178"/>
    </row>
    <row r="179" spans="2:15">
      <c r="B179" s="19" t="s">
        <v>408</v>
      </c>
      <c r="D179" s="111">
        <f>'Cash Flow Statement'!J57</f>
        <v>89567.28</v>
      </c>
      <c r="E179" s="111">
        <f>'Cash Flow Statement'!K57</f>
        <v>194766.58</v>
      </c>
      <c r="F179" s="111">
        <f>'Cash Flow Statement'!L57</f>
        <v>159316.71</v>
      </c>
      <c r="G179" s="111">
        <f>'Cash Flow Statement'!M57</f>
        <v>147875</v>
      </c>
      <c r="H179" s="111">
        <f>'Cash Flow Statement'!N57</f>
        <v>191233</v>
      </c>
      <c r="I179" s="111">
        <f>'Cash Flow Statement'!O57</f>
        <v>277995</v>
      </c>
      <c r="J179" s="151">
        <f t="shared" ref="J179:N179" si="69">I179</f>
        <v>277995</v>
      </c>
      <c r="K179" s="151">
        <f t="shared" si="69"/>
        <v>277995</v>
      </c>
      <c r="L179" s="151">
        <f t="shared" si="69"/>
        <v>277995</v>
      </c>
      <c r="M179" s="151">
        <f t="shared" si="69"/>
        <v>277995</v>
      </c>
      <c r="N179" s="151">
        <f t="shared" si="69"/>
        <v>277995</v>
      </c>
      <c r="O179"/>
    </row>
    <row r="180" spans="2:15">
      <c r="B180" s="98" t="s">
        <v>276</v>
      </c>
      <c r="D180" s="111">
        <f>'Cash Flow Statement'!J58</f>
        <v>1366.92</v>
      </c>
      <c r="E180" s="111">
        <f>'Cash Flow Statement'!K58</f>
        <v>915.5</v>
      </c>
      <c r="F180" s="111">
        <f>'Cash Flow Statement'!L58</f>
        <v>1568.31</v>
      </c>
      <c r="G180" s="111">
        <f>'Cash Flow Statement'!M58</f>
        <v>5758</v>
      </c>
      <c r="H180" s="111">
        <f>'Cash Flow Statement'!N58</f>
        <v>11320</v>
      </c>
      <c r="I180" s="111">
        <f>'Cash Flow Statement'!O58</f>
        <v>13526</v>
      </c>
      <c r="J180" s="151">
        <f t="shared" ref="J180:N180" si="70">I180</f>
        <v>13526</v>
      </c>
      <c r="K180" s="151">
        <f t="shared" si="70"/>
        <v>13526</v>
      </c>
      <c r="L180" s="151">
        <f t="shared" si="70"/>
        <v>13526</v>
      </c>
      <c r="M180" s="151">
        <f t="shared" si="70"/>
        <v>13526</v>
      </c>
      <c r="N180" s="151">
        <f t="shared" si="70"/>
        <v>13526</v>
      </c>
    </row>
    <row r="181" spans="2:15">
      <c r="B181" s="19" t="s">
        <v>277</v>
      </c>
      <c r="D181" s="111">
        <f>'Cash Flow Statement'!J59</f>
        <v>0</v>
      </c>
      <c r="E181" s="111">
        <f>'Cash Flow Statement'!K59</f>
        <v>0</v>
      </c>
      <c r="F181" s="111">
        <f>'Cash Flow Statement'!L59</f>
        <v>0</v>
      </c>
      <c r="G181" s="111">
        <f>'Cash Flow Statement'!M59</f>
        <v>-9192</v>
      </c>
      <c r="H181" s="111">
        <f>'Cash Flow Statement'!N59</f>
        <v>-8097</v>
      </c>
      <c r="I181" s="111">
        <f>'Cash Flow Statement'!O59</f>
        <v>-5617</v>
      </c>
      <c r="J181" s="151">
        <f t="shared" ref="J181:N181" si="71">I181</f>
        <v>-5617</v>
      </c>
      <c r="K181" s="151">
        <f t="shared" si="71"/>
        <v>-5617</v>
      </c>
      <c r="L181" s="151">
        <f t="shared" si="71"/>
        <v>-5617</v>
      </c>
      <c r="M181" s="151">
        <f t="shared" si="71"/>
        <v>-5617</v>
      </c>
      <c r="N181" s="151">
        <f t="shared" si="71"/>
        <v>-5617</v>
      </c>
      <c r="O181"/>
    </row>
    <row r="182" spans="2:15">
      <c r="B182" s="98" t="s">
        <v>278</v>
      </c>
      <c r="D182" s="111">
        <f>'Cash Flow Statement'!J60</f>
        <v>18833.68</v>
      </c>
      <c r="E182" s="111">
        <f>'Cash Flow Statement'!K60</f>
        <v>6006.43</v>
      </c>
      <c r="F182" s="111">
        <f>'Cash Flow Statement'!L60</f>
        <v>6740.71</v>
      </c>
      <c r="G182" s="111">
        <f>'Cash Flow Statement'!M60</f>
        <v>0</v>
      </c>
      <c r="H182" s="111">
        <f>'Cash Flow Statement'!N60</f>
        <v>0</v>
      </c>
      <c r="I182" s="111">
        <f>'Cash Flow Statement'!O60</f>
        <v>0</v>
      </c>
      <c r="J182" s="151">
        <v>0</v>
      </c>
      <c r="K182" s="151">
        <v>0</v>
      </c>
      <c r="L182" s="151">
        <v>0</v>
      </c>
      <c r="M182" s="151">
        <v>0</v>
      </c>
      <c r="N182" s="151">
        <v>0</v>
      </c>
      <c r="O182"/>
    </row>
    <row r="183" spans="2:15">
      <c r="B183" s="98" t="s">
        <v>279</v>
      </c>
      <c r="D183" s="111">
        <f>'Cash Flow Statement'!J61</f>
        <v>-4368.87</v>
      </c>
      <c r="E183" s="111">
        <f>'Cash Flow Statement'!K61</f>
        <v>-3468.81</v>
      </c>
      <c r="F183" s="111">
        <f>'Cash Flow Statement'!L61</f>
        <v>-5698.04</v>
      </c>
      <c r="G183" s="111">
        <f>'Cash Flow Statement'!M61</f>
        <v>-11026</v>
      </c>
      <c r="H183" s="111">
        <f>'Cash Flow Statement'!N61</f>
        <v>-16048</v>
      </c>
      <c r="I183" s="111">
        <f>'Cash Flow Statement'!O61</f>
        <v>-17101</v>
      </c>
      <c r="J183" s="151">
        <f>'Schedule Sheet'!J44*-1</f>
        <v>-27717.75</v>
      </c>
      <c r="K183" s="151">
        <f>'Schedule Sheet'!K44*-1</f>
        <v>-29441.831374421879</v>
      </c>
      <c r="L183" s="151">
        <f>'Schedule Sheet'!L44*-1</f>
        <v>-31106.235902875531</v>
      </c>
      <c r="M183" s="151">
        <f>'Schedule Sheet'!M44*-1</f>
        <v>-32668.304298394673</v>
      </c>
      <c r="N183" s="151">
        <f>'Schedule Sheet'!N44*-1</f>
        <v>-34076.418054487018</v>
      </c>
      <c r="O183"/>
    </row>
    <row r="184" spans="2:15">
      <c r="B184" s="19" t="s">
        <v>280</v>
      </c>
      <c r="D184" s="111">
        <f>'Cash Flow Statement'!J62</f>
        <v>164.69</v>
      </c>
      <c r="E184" s="111">
        <f>'Cash Flow Statement'!K62</f>
        <v>66.650000000000006</v>
      </c>
      <c r="F184" s="111">
        <f>'Cash Flow Statement'!L62</f>
        <v>43.9</v>
      </c>
      <c r="G184" s="111">
        <f>'Cash Flow Statement'!M62</f>
        <v>5943</v>
      </c>
      <c r="H184" s="111">
        <f>'Cash Flow Statement'!N62</f>
        <v>119</v>
      </c>
      <c r="I184" s="111">
        <f>'Cash Flow Statement'!O62</f>
        <v>71</v>
      </c>
      <c r="J184" s="151">
        <v>0</v>
      </c>
      <c r="K184" s="151">
        <v>0</v>
      </c>
      <c r="L184" s="151">
        <v>0</v>
      </c>
      <c r="M184" s="151">
        <v>0</v>
      </c>
      <c r="N184" s="151">
        <v>0</v>
      </c>
      <c r="O184"/>
    </row>
    <row r="185" spans="2:15">
      <c r="B185" s="112" t="s">
        <v>281</v>
      </c>
      <c r="C185" s="6"/>
      <c r="D185" s="135">
        <f>SUM(D176:D184)</f>
        <v>31970.380000000019</v>
      </c>
      <c r="E185" s="135">
        <f t="shared" ref="E185:N185" si="72">SUM(E176:E184)</f>
        <v>15024.509999999962</v>
      </c>
      <c r="F185" s="135">
        <f t="shared" si="72"/>
        <v>-40594.880000000012</v>
      </c>
      <c r="G185" s="135">
        <f t="shared" si="72"/>
        <v>-118090</v>
      </c>
      <c r="H185" s="135">
        <f t="shared" si="72"/>
        <v>-127593</v>
      </c>
      <c r="I185" s="135">
        <f t="shared" si="72"/>
        <v>-19525</v>
      </c>
      <c r="J185" s="135">
        <f>SUM(J176:J184)</f>
        <v>-30212.75</v>
      </c>
      <c r="K185" s="135">
        <f t="shared" si="72"/>
        <v>-31936.831374421879</v>
      </c>
      <c r="L185" s="135">
        <f t="shared" si="72"/>
        <v>-33601.235902875531</v>
      </c>
      <c r="M185" s="135">
        <f t="shared" si="72"/>
        <v>-35163.304298394673</v>
      </c>
      <c r="N185" s="135">
        <f t="shared" si="72"/>
        <v>-36571.418054487018</v>
      </c>
      <c r="O185"/>
    </row>
    <row r="186" spans="2:15">
      <c r="B186" s="107"/>
      <c r="O186"/>
    </row>
    <row r="187" spans="2:15">
      <c r="B187" s="18" t="s">
        <v>282</v>
      </c>
      <c r="O187"/>
    </row>
    <row r="188" spans="2:15">
      <c r="B188" s="19" t="s">
        <v>401</v>
      </c>
      <c r="D188" s="111">
        <f>'Cash Flow Statement'!J66</f>
        <v>-19967.919999999998</v>
      </c>
      <c r="E188" s="111">
        <f>'Cash Flow Statement'!K66</f>
        <v>-24893.18</v>
      </c>
      <c r="F188" s="111">
        <f>'Cash Flow Statement'!L66</f>
        <v>-41137.71</v>
      </c>
      <c r="G188" s="111">
        <f>'Cash Flow Statement'!M66</f>
        <v>-62422</v>
      </c>
      <c r="H188" s="111">
        <f>'Cash Flow Statement'!N66</f>
        <v>-69011</v>
      </c>
      <c r="I188" s="111">
        <f>'Cash Flow Statement'!O66</f>
        <v>-161802</v>
      </c>
      <c r="J188" s="151">
        <f>I188</f>
        <v>-161802</v>
      </c>
      <c r="K188" s="151">
        <f t="shared" ref="K188:N188" si="73">J188</f>
        <v>-161802</v>
      </c>
      <c r="L188" s="151">
        <f t="shared" si="73"/>
        <v>-161802</v>
      </c>
      <c r="M188" s="151">
        <f t="shared" si="73"/>
        <v>-161802</v>
      </c>
      <c r="N188" s="151">
        <f t="shared" si="73"/>
        <v>-161802</v>
      </c>
      <c r="O188"/>
    </row>
    <row r="189" spans="2:15">
      <c r="B189" s="98" t="s">
        <v>402</v>
      </c>
      <c r="D189" s="111">
        <f>'Cash Flow Statement'!J67</f>
        <v>-15928.23</v>
      </c>
      <c r="E189" s="111">
        <f>'Cash Flow Statement'!K67</f>
        <v>-19518.400000000001</v>
      </c>
      <c r="F189" s="111">
        <f>'Cash Flow Statement'!L67</f>
        <v>-26339.65</v>
      </c>
      <c r="G189" s="111">
        <f>'Cash Flow Statement'!M67</f>
        <v>-34353</v>
      </c>
      <c r="H189" s="111">
        <f>'Cash Flow Statement'!N67</f>
        <v>-40384</v>
      </c>
      <c r="I189" s="111">
        <f>'Cash Flow Statement'!O67</f>
        <v>-47229</v>
      </c>
      <c r="J189" s="151">
        <f>'Schedule Sheet'!J234*-1</f>
        <v>-63865.677208000001</v>
      </c>
      <c r="K189" s="151">
        <f>'Schedule Sheet'!K234*-1</f>
        <v>-67999.928415440008</v>
      </c>
      <c r="L189" s="151">
        <f>'Schedule Sheet'!L234*-1</f>
        <v>-91529.248791799007</v>
      </c>
      <c r="M189" s="151">
        <f>'Schedule Sheet'!M234*-1</f>
        <v>-97716.842495769073</v>
      </c>
      <c r="N189" s="151">
        <f>'Schedule Sheet'!N234*-1</f>
        <v>-103612.85428252419</v>
      </c>
      <c r="O189"/>
    </row>
    <row r="190" spans="2:15">
      <c r="B190" s="19" t="s">
        <v>403</v>
      </c>
      <c r="D190" s="111">
        <f>'Cash Flow Statement'!J68</f>
        <v>48442.04</v>
      </c>
      <c r="E190" s="111">
        <f>'Cash Flow Statement'!K68</f>
        <v>152358.54</v>
      </c>
      <c r="F190" s="111">
        <f>'Cash Flow Statement'!L68</f>
        <v>98332.44</v>
      </c>
      <c r="G190" s="111">
        <f>'Cash Flow Statement'!M68</f>
        <v>-2820</v>
      </c>
      <c r="H190" s="111">
        <f>'Cash Flow Statement'!N68</f>
        <v>-917</v>
      </c>
      <c r="I190" s="111">
        <f>'Cash Flow Statement'!O68</f>
        <v>63</v>
      </c>
      <c r="J190" s="151">
        <v>0</v>
      </c>
      <c r="K190" s="151">
        <v>0</v>
      </c>
      <c r="L190" s="151">
        <v>0</v>
      </c>
      <c r="M190" s="151">
        <v>0</v>
      </c>
      <c r="N190" s="151">
        <v>0</v>
      </c>
      <c r="O190"/>
    </row>
    <row r="191" spans="2:15">
      <c r="B191" t="s">
        <v>404</v>
      </c>
      <c r="D191" s="111">
        <f>'Cash Flow Statement'!J69</f>
        <v>-30099.91</v>
      </c>
      <c r="E191" s="111">
        <f>'Cash Flow Statement'!K69</f>
        <v>-138645.22</v>
      </c>
      <c r="F191" s="111">
        <f>'Cash Flow Statement'!L69</f>
        <v>-115058.77</v>
      </c>
      <c r="G191" s="111">
        <f>'Cash Flow Statement'!M69</f>
        <v>0</v>
      </c>
      <c r="H191" s="111">
        <f>'Cash Flow Statement'!N69</f>
        <v>0</v>
      </c>
      <c r="I191" s="111">
        <f>'Cash Flow Statement'!O69</f>
        <v>0</v>
      </c>
      <c r="J191" s="151">
        <v>0</v>
      </c>
      <c r="K191" s="151">
        <v>0</v>
      </c>
      <c r="L191" s="151">
        <v>0</v>
      </c>
      <c r="M191" s="151">
        <v>0</v>
      </c>
      <c r="N191" s="151">
        <v>0</v>
      </c>
      <c r="O191"/>
    </row>
    <row r="192" spans="2:15">
      <c r="B192" s="98" t="s">
        <v>287</v>
      </c>
      <c r="D192" s="111">
        <f>'Cash Flow Statement'!J70</f>
        <v>-292.04000000000002</v>
      </c>
      <c r="E192" s="111">
        <f>'Cash Flow Statement'!K70</f>
        <v>-456.71</v>
      </c>
      <c r="F192" s="111">
        <f>'Cash Flow Statement'!L70</f>
        <v>-344.57</v>
      </c>
      <c r="G192" s="111">
        <f>'Cash Flow Statement'!M70</f>
        <v>-607</v>
      </c>
      <c r="H192" s="111">
        <f>'Cash Flow Statement'!N70</f>
        <v>-260</v>
      </c>
      <c r="I192" s="111">
        <f>'Cash Flow Statement'!O70</f>
        <v>-144</v>
      </c>
      <c r="J192" s="151">
        <v>0</v>
      </c>
      <c r="K192" s="151">
        <v>0</v>
      </c>
      <c r="L192" s="151">
        <v>0</v>
      </c>
      <c r="M192" s="151">
        <v>0</v>
      </c>
      <c r="N192" s="151">
        <v>0</v>
      </c>
      <c r="O192"/>
    </row>
    <row r="193" spans="2:15">
      <c r="B193" s="98" t="s">
        <v>288</v>
      </c>
      <c r="D193" s="111">
        <f>'Cash Flow Statement'!J71</f>
        <v>0</v>
      </c>
      <c r="E193" s="111">
        <f>'Cash Flow Statement'!K71</f>
        <v>0</v>
      </c>
      <c r="F193" s="111">
        <f>'Cash Flow Statement'!L71</f>
        <v>0</v>
      </c>
      <c r="G193" s="111">
        <f>'Cash Flow Statement'!M71</f>
        <v>0</v>
      </c>
      <c r="H193" s="111">
        <f>'Cash Flow Statement'!N71</f>
        <v>0</v>
      </c>
      <c r="I193" s="111">
        <f>'Cash Flow Statement'!O71</f>
        <v>-3865</v>
      </c>
      <c r="J193" s="151">
        <v>0</v>
      </c>
      <c r="K193" s="151">
        <f t="shared" ref="K193:N193" si="74">J193</f>
        <v>0</v>
      </c>
      <c r="L193" s="151">
        <f t="shared" si="74"/>
        <v>0</v>
      </c>
      <c r="M193" s="151">
        <f t="shared" si="74"/>
        <v>0</v>
      </c>
      <c r="N193" s="151">
        <f t="shared" si="74"/>
        <v>0</v>
      </c>
      <c r="O193"/>
    </row>
    <row r="194" spans="2:15">
      <c r="B194" s="19" t="s">
        <v>290</v>
      </c>
      <c r="D194" s="111">
        <f>'Cash Flow Statement'!J73</f>
        <v>91.55</v>
      </c>
      <c r="E194" s="111">
        <f>'Cash Flow Statement'!K73</f>
        <v>273.10000000000002</v>
      </c>
      <c r="F194" s="111">
        <f>'Cash Flow Statement'!L73</f>
        <v>220.74</v>
      </c>
      <c r="G194" s="111">
        <f>'Cash Flow Statement'!M73</f>
        <v>413</v>
      </c>
      <c r="H194" s="111">
        <f>'Cash Flow Statement'!N73</f>
        <v>414</v>
      </c>
      <c r="I194" s="111">
        <f>'Cash Flow Statement'!O73</f>
        <v>37</v>
      </c>
      <c r="J194" s="151">
        <v>0</v>
      </c>
      <c r="K194" s="151">
        <v>0</v>
      </c>
      <c r="L194" s="151">
        <v>0</v>
      </c>
      <c r="M194" s="151">
        <v>0</v>
      </c>
      <c r="N194" s="151">
        <v>0</v>
      </c>
      <c r="O194"/>
    </row>
    <row r="195" spans="2:15">
      <c r="B195" t="s">
        <v>372</v>
      </c>
      <c r="D195" s="111">
        <f>'Cash Flow Statement'!J74</f>
        <v>0</v>
      </c>
      <c r="E195" s="111">
        <f>'Cash Flow Statement'!K74</f>
        <v>0</v>
      </c>
      <c r="F195" s="111">
        <f>'Cash Flow Statement'!L74</f>
        <v>0</v>
      </c>
      <c r="G195" s="111">
        <f>'Cash Flow Statement'!M74</f>
        <v>0</v>
      </c>
      <c r="H195" s="111">
        <f>'Cash Flow Statement'!N74</f>
        <v>0</v>
      </c>
      <c r="I195" s="111">
        <f>'Cash Flow Statement'!O74</f>
        <v>177</v>
      </c>
      <c r="J195" s="151">
        <v>0</v>
      </c>
      <c r="K195" s="151">
        <v>0</v>
      </c>
      <c r="L195" s="151">
        <v>0</v>
      </c>
      <c r="M195" s="151">
        <v>0</v>
      </c>
      <c r="N195" s="151">
        <v>0</v>
      </c>
      <c r="O195"/>
    </row>
    <row r="196" spans="2:15">
      <c r="B196" s="98" t="s">
        <v>292</v>
      </c>
      <c r="D196" s="111">
        <f>'Cash Flow Statement'!J76</f>
        <v>1.1399999999999999</v>
      </c>
      <c r="E196" s="111">
        <f>'Cash Flow Statement'!K76</f>
        <v>3.45</v>
      </c>
      <c r="F196" s="111">
        <f>'Cash Flow Statement'!L76</f>
        <v>2.92</v>
      </c>
      <c r="G196" s="111">
        <f>'Cash Flow Statement'!M76</f>
        <v>4</v>
      </c>
      <c r="H196" s="111">
        <f>'Cash Flow Statement'!N76</f>
        <v>4</v>
      </c>
      <c r="I196" s="111">
        <f>'Cash Flow Statement'!O76</f>
        <v>2</v>
      </c>
      <c r="J196" s="151">
        <v>0</v>
      </c>
      <c r="K196" s="151">
        <v>0</v>
      </c>
      <c r="L196" s="151">
        <v>0</v>
      </c>
      <c r="M196" s="151">
        <v>0</v>
      </c>
      <c r="N196" s="151">
        <v>0</v>
      </c>
      <c r="O196"/>
    </row>
    <row r="197" spans="2:15">
      <c r="B197" s="39" t="s">
        <v>293</v>
      </c>
      <c r="C197" s="30"/>
      <c r="D197" s="135">
        <f>SUM(D188:D196)</f>
        <v>-17753.369999999995</v>
      </c>
      <c r="E197" s="135">
        <f t="shared" ref="E197:N197" si="75">SUM(E188:E196)</f>
        <v>-30878.419999999995</v>
      </c>
      <c r="F197" s="135">
        <f t="shared" si="75"/>
        <v>-84324.6</v>
      </c>
      <c r="G197" s="135">
        <f t="shared" si="75"/>
        <v>-99785</v>
      </c>
      <c r="H197" s="135">
        <f t="shared" si="75"/>
        <v>-110154</v>
      </c>
      <c r="I197" s="135">
        <f t="shared" si="75"/>
        <v>-212761</v>
      </c>
      <c r="J197" s="135">
        <f t="shared" si="75"/>
        <v>-225667.67720800001</v>
      </c>
      <c r="K197" s="135">
        <f t="shared" si="75"/>
        <v>-229801.92841544002</v>
      </c>
      <c r="L197" s="135">
        <f t="shared" si="75"/>
        <v>-253331.24879179901</v>
      </c>
      <c r="M197" s="135">
        <f t="shared" si="75"/>
        <v>-259518.84249576909</v>
      </c>
      <c r="N197" s="135">
        <f t="shared" si="75"/>
        <v>-265414.8542825242</v>
      </c>
      <c r="O197"/>
    </row>
    <row r="198" spans="2:15">
      <c r="B198" s="107"/>
      <c r="J198" s="151"/>
      <c r="K198" s="151"/>
      <c r="L198" s="151"/>
      <c r="M198" s="151"/>
      <c r="N198" s="151"/>
      <c r="O198"/>
    </row>
    <row r="199" spans="2:15">
      <c r="B199" t="s">
        <v>409</v>
      </c>
      <c r="D199" s="111">
        <f>D173+D185+D197</f>
        <v>-1924.5299999999879</v>
      </c>
      <c r="E199" s="111">
        <f t="shared" ref="E199:N199" si="76">E173+E185+E197</f>
        <v>5051.869999999948</v>
      </c>
      <c r="F199" s="111">
        <f t="shared" si="76"/>
        <v>2359.9099999999744</v>
      </c>
      <c r="G199" s="111">
        <f t="shared" si="76"/>
        <v>-5698.5400000000081</v>
      </c>
      <c r="H199" s="111">
        <f t="shared" si="76"/>
        <v>3766</v>
      </c>
      <c r="I199" s="111">
        <f t="shared" si="76"/>
        <v>2413</v>
      </c>
      <c r="J199" s="151">
        <f>J173+J185+J197</f>
        <v>-390.13921616011066</v>
      </c>
      <c r="K199" s="151">
        <f t="shared" si="76"/>
        <v>62744.00028189813</v>
      </c>
      <c r="L199" s="151">
        <f t="shared" si="76"/>
        <v>-44926.872558917967</v>
      </c>
      <c r="M199" s="151">
        <f t="shared" si="76"/>
        <v>-23225.2805757694</v>
      </c>
      <c r="N199" s="151">
        <f t="shared" si="76"/>
        <v>11921.781005785801</v>
      </c>
      <c r="O199"/>
    </row>
    <row r="200" spans="2:15">
      <c r="B200" t="s">
        <v>92</v>
      </c>
      <c r="D200" s="111">
        <f>'Cash Flow Statement'!I95</f>
        <v>7190.66</v>
      </c>
      <c r="E200" s="111">
        <f>D202</f>
        <v>5088.8500000000122</v>
      </c>
      <c r="F200" s="111">
        <f t="shared" ref="F200:N200" si="77">E202</f>
        <v>10153.289999999961</v>
      </c>
      <c r="G200" s="111">
        <f t="shared" si="77"/>
        <v>12679.689999999935</v>
      </c>
      <c r="H200" s="111">
        <f t="shared" si="77"/>
        <v>6954.1499999999269</v>
      </c>
      <c r="I200" s="111">
        <f t="shared" si="77"/>
        <v>10732.149999999927</v>
      </c>
      <c r="J200" s="151">
        <f t="shared" si="77"/>
        <v>13240.149999999927</v>
      </c>
      <c r="K200" s="151">
        <f>J202</f>
        <v>12850.010783839816</v>
      </c>
      <c r="L200" s="151">
        <f t="shared" si="77"/>
        <v>75594.011065737941</v>
      </c>
      <c r="M200" s="151">
        <f t="shared" si="77"/>
        <v>30667.138506819974</v>
      </c>
      <c r="N200" s="151">
        <f t="shared" si="77"/>
        <v>7441.8579310505738</v>
      </c>
      <c r="O200"/>
    </row>
    <row r="201" spans="2:15">
      <c r="B201" s="19" t="s">
        <v>295</v>
      </c>
      <c r="D201" s="111">
        <f>'Cash Flow Statement'!J81</f>
        <v>-177.28</v>
      </c>
      <c r="E201" s="111">
        <f>'Cash Flow Statement'!K81</f>
        <v>12.57</v>
      </c>
      <c r="F201" s="111">
        <f>'Cash Flow Statement'!L81</f>
        <v>166.49</v>
      </c>
      <c r="G201" s="111">
        <f>'Cash Flow Statement'!M81</f>
        <v>-27</v>
      </c>
      <c r="H201" s="111">
        <f>'Cash Flow Statement'!N81</f>
        <v>12</v>
      </c>
      <c r="I201" s="111">
        <f>'Cash Flow Statement'!O81</f>
        <v>95</v>
      </c>
      <c r="J201" s="151">
        <v>0</v>
      </c>
      <c r="K201" s="151">
        <v>0</v>
      </c>
      <c r="L201" s="151">
        <v>0</v>
      </c>
      <c r="M201" s="151">
        <v>0</v>
      </c>
      <c r="N201" s="151">
        <v>0</v>
      </c>
      <c r="O201"/>
    </row>
    <row r="202" spans="2:15" ht="15" thickBot="1">
      <c r="B202" s="31" t="s">
        <v>93</v>
      </c>
      <c r="C202" s="31"/>
      <c r="D202" s="140">
        <f>D199+D200+D201</f>
        <v>5088.8500000000122</v>
      </c>
      <c r="E202" s="140">
        <f t="shared" ref="E202:N202" si="78">E199+E200+E201</f>
        <v>10153.289999999961</v>
      </c>
      <c r="F202" s="140">
        <f t="shared" si="78"/>
        <v>12679.689999999935</v>
      </c>
      <c r="G202" s="140">
        <f t="shared" si="78"/>
        <v>6954.1499999999269</v>
      </c>
      <c r="H202" s="140">
        <f t="shared" si="78"/>
        <v>10732.149999999927</v>
      </c>
      <c r="I202" s="140">
        <f t="shared" si="78"/>
        <v>13240.149999999927</v>
      </c>
      <c r="J202" s="140">
        <f t="shared" si="78"/>
        <v>12850.010783839816</v>
      </c>
      <c r="K202" s="140">
        <f t="shared" si="78"/>
        <v>75594.011065737941</v>
      </c>
      <c r="L202" s="140">
        <f t="shared" si="78"/>
        <v>30667.138506819974</v>
      </c>
      <c r="M202" s="140">
        <f t="shared" si="78"/>
        <v>7441.8579310505738</v>
      </c>
      <c r="N202" s="140">
        <f t="shared" si="78"/>
        <v>19363.638936836374</v>
      </c>
      <c r="O202"/>
    </row>
    <row r="206" spans="2:15">
      <c r="D206" s="111"/>
      <c r="E206" s="111"/>
      <c r="F206" s="111"/>
      <c r="G206" s="111"/>
      <c r="H206" s="111"/>
      <c r="I206" s="111"/>
    </row>
    <row r="207" spans="2:15">
      <c r="E207" s="56"/>
      <c r="F207" s="56"/>
      <c r="G207" s="56"/>
      <c r="H207" s="56"/>
      <c r="I207" s="56"/>
    </row>
    <row r="208" spans="2:15">
      <c r="E208" s="34"/>
    </row>
  </sheetData>
  <mergeCells count="2">
    <mergeCell ref="D8:I8"/>
    <mergeCell ref="J8:N8"/>
  </mergeCells>
  <pageMargins left="0.7" right="0.7" top="0.75" bottom="0.75" header="0.3" footer="0.3"/>
  <pageSetup orientation="portrait" r:id="rId1"/>
  <ignoredErrors>
    <ignoredError sqref="D78:I91" formulaRange="1"/>
  </ignoredErrors>
  <drawing r:id="rId2"/>
  <legacyDrawing r:id="rId3"/>
  <mc:AlternateContent xmlns:mc="http://schemas.openxmlformats.org/markup-compatibility/2006">
    <mc:Choice Requires="x14">
      <controls>
        <mc:AlternateContent xmlns:mc="http://schemas.openxmlformats.org/markup-compatibility/2006">
          <mc:Choice Requires="x14">
            <control shapeId="3073" r:id="rId4" name="Drop Down 1">
              <controlPr defaultSize="0" autoLine="0" autoPict="0">
                <anchor moveWithCells="1">
                  <from>
                    <xdr:col>10</xdr:col>
                    <xdr:colOff>60960</xdr:colOff>
                    <xdr:row>4</xdr:row>
                    <xdr:rowOff>45720</xdr:rowOff>
                  </from>
                  <to>
                    <xdr:col>11</xdr:col>
                    <xdr:colOff>510540</xdr:colOff>
                    <xdr:row>5</xdr:row>
                    <xdr:rowOff>22860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7F9C0-230C-4EDC-B881-54009B083725}">
  <dimension ref="B2:P85"/>
  <sheetViews>
    <sheetView showGridLines="0" workbookViewId="0">
      <pane ySplit="8" topLeftCell="A9" activePane="bottomLeft" state="frozen"/>
      <selection pane="bottomLeft" activeCell="C22" sqref="C22"/>
    </sheetView>
  </sheetViews>
  <sheetFormatPr defaultRowHeight="14.4"/>
  <cols>
    <col min="1" max="1" width="1.88671875" customWidth="1"/>
    <col min="2" max="2" width="47.21875" customWidth="1"/>
    <col min="3" max="3" width="4.88671875" customWidth="1"/>
    <col min="4" max="14" width="8.77734375" customWidth="1"/>
  </cols>
  <sheetData>
    <row r="2" spans="2:15" ht="21">
      <c r="B2" s="282" t="str">
        <f>'Control Sheet'!B2</f>
        <v xml:space="preserve">InterGlobe Aviation </v>
      </c>
    </row>
    <row r="3" spans="2:15" ht="18">
      <c r="B3" s="2" t="s">
        <v>94</v>
      </c>
    </row>
    <row r="4" spans="2:15" ht="18">
      <c r="B4" s="2"/>
    </row>
    <row r="5" spans="2:15" ht="18">
      <c r="B5" s="2"/>
      <c r="H5" t="s">
        <v>1</v>
      </c>
      <c r="I5">
        <v>1</v>
      </c>
    </row>
    <row r="6" spans="2:15" ht="18">
      <c r="B6" s="2"/>
    </row>
    <row r="7" spans="2:15">
      <c r="D7" s="495" t="s">
        <v>3</v>
      </c>
      <c r="E7" s="495"/>
      <c r="F7" s="495"/>
      <c r="G7" s="495"/>
      <c r="H7" s="495"/>
      <c r="I7" s="495"/>
      <c r="J7" s="496" t="s">
        <v>4</v>
      </c>
      <c r="K7" s="496"/>
      <c r="L7" s="496"/>
      <c r="M7" s="496"/>
      <c r="N7" s="496"/>
    </row>
    <row r="8" spans="2:15">
      <c r="B8" s="4" t="s">
        <v>5</v>
      </c>
      <c r="D8" s="134">
        <v>2021</v>
      </c>
      <c r="E8" s="134">
        <f>D8+1</f>
        <v>2022</v>
      </c>
      <c r="F8" s="134">
        <f t="shared" ref="F8:I8" si="0">E8+1</f>
        <v>2023</v>
      </c>
      <c r="G8" s="134">
        <f t="shared" si="0"/>
        <v>2024</v>
      </c>
      <c r="H8" s="134">
        <f t="shared" si="0"/>
        <v>2025</v>
      </c>
      <c r="I8" s="134">
        <f t="shared" si="0"/>
        <v>2026</v>
      </c>
      <c r="J8" s="5">
        <f>I8+1</f>
        <v>2027</v>
      </c>
      <c r="K8" s="5">
        <f t="shared" ref="K8:N8" si="1">J8+1</f>
        <v>2028</v>
      </c>
      <c r="L8" s="5">
        <f t="shared" si="1"/>
        <v>2029</v>
      </c>
      <c r="M8" s="5">
        <f t="shared" si="1"/>
        <v>2030</v>
      </c>
      <c r="N8" s="5">
        <f t="shared" si="1"/>
        <v>2031</v>
      </c>
    </row>
    <row r="9" spans="2:15">
      <c r="B9" s="6"/>
      <c r="C9" s="6"/>
      <c r="D9" s="6"/>
      <c r="E9" s="6"/>
      <c r="F9" s="6"/>
      <c r="G9" s="6"/>
      <c r="H9" s="6"/>
      <c r="I9" s="6"/>
      <c r="J9" s="6"/>
      <c r="K9" s="6"/>
      <c r="L9" s="6"/>
    </row>
    <row r="10" spans="2:15" ht="15.6">
      <c r="B10" s="7" t="s">
        <v>95</v>
      </c>
      <c r="C10" s="8"/>
      <c r="D10" s="8"/>
      <c r="E10" s="8"/>
      <c r="F10" s="8"/>
      <c r="G10" s="8"/>
      <c r="H10" s="8"/>
      <c r="I10" s="8"/>
      <c r="J10" s="8"/>
      <c r="K10" s="54"/>
      <c r="L10" s="54"/>
      <c r="M10" s="54"/>
      <c r="N10" s="54"/>
      <c r="O10" s="19"/>
    </row>
    <row r="12" spans="2:15">
      <c r="B12" t="s">
        <v>22</v>
      </c>
      <c r="D12" s="313">
        <f>'3 Statement Model'!D13/'3 Statement Model'!D$13</f>
        <v>1</v>
      </c>
      <c r="E12" s="313">
        <f>'3 Statement Model'!E13/'3 Statement Model'!E$13</f>
        <v>1</v>
      </c>
      <c r="F12" s="313">
        <f>'3 Statement Model'!F13/'3 Statement Model'!F$13</f>
        <v>1</v>
      </c>
      <c r="G12" s="313">
        <f>'3 Statement Model'!G13/'3 Statement Model'!G$13</f>
        <v>1</v>
      </c>
      <c r="H12" s="313">
        <f>'3 Statement Model'!H13/'3 Statement Model'!H$13</f>
        <v>1</v>
      </c>
      <c r="I12" s="313">
        <f>'3 Statement Model'!I13/'3 Statement Model'!I$13</f>
        <v>1</v>
      </c>
      <c r="J12" s="313">
        <f>'3 Statement Model'!J13/'3 Statement Model'!J$13</f>
        <v>1</v>
      </c>
      <c r="K12" s="313">
        <f>'3 Statement Model'!K13/'3 Statement Model'!K$13</f>
        <v>1</v>
      </c>
      <c r="L12" s="313">
        <f>'3 Statement Model'!L13/'3 Statement Model'!L$13</f>
        <v>1</v>
      </c>
      <c r="M12" s="313">
        <f>'3 Statement Model'!M13/'3 Statement Model'!M$13</f>
        <v>1</v>
      </c>
      <c r="N12" s="313">
        <f>'3 Statement Model'!N13/'3 Statement Model'!N$13</f>
        <v>1</v>
      </c>
    </row>
    <row r="13" spans="2:15">
      <c r="B13" s="44" t="s">
        <v>60</v>
      </c>
      <c r="D13" s="313">
        <f>'3 Statement Model'!D14/'3 Statement Model'!D$13</f>
        <v>-0.64535019016598405</v>
      </c>
      <c r="E13" s="313">
        <f>'3 Statement Model'!E14/'3 Statement Model'!E$13</f>
        <v>-0.74971650647121102</v>
      </c>
      <c r="F13" s="313">
        <f>'3 Statement Model'!F14/'3 Statement Model'!F$13</f>
        <v>-0.71463590107513519</v>
      </c>
      <c r="G13" s="313">
        <f>'3 Statement Model'!G14/'3 Statement Model'!G$13</f>
        <v>-0.58915045940529109</v>
      </c>
      <c r="H13" s="313">
        <f>'3 Statement Model'!H14/'3 Statement Model'!H$13</f>
        <v>-0.59626944082452482</v>
      </c>
      <c r="I13" s="313">
        <f>'3 Statement Model'!I14/'3 Statement Model'!I$13</f>
        <v>-0.66388345835015461</v>
      </c>
      <c r="J13" s="313">
        <f>'3 Statement Model'!J14/'3 Statement Model'!J$13</f>
        <v>-0.66</v>
      </c>
      <c r="K13" s="313">
        <f>'3 Statement Model'!K14/'3 Statement Model'!K$13</f>
        <v>-0.66</v>
      </c>
      <c r="L13" s="313">
        <f>'3 Statement Model'!L14/'3 Statement Model'!L$13</f>
        <v>-0.66</v>
      </c>
      <c r="M13" s="313">
        <f>'3 Statement Model'!M14/'3 Statement Model'!M$13</f>
        <v>-0.66</v>
      </c>
      <c r="N13" s="313">
        <f>'3 Statement Model'!N14/'3 Statement Model'!N$13</f>
        <v>-0.66</v>
      </c>
    </row>
    <row r="14" spans="2:15">
      <c r="B14" s="30" t="s">
        <v>61</v>
      </c>
      <c r="C14" s="6"/>
      <c r="D14" s="314">
        <f>'3 Statement Model'!D15/'3 Statement Model'!D$13</f>
        <v>0.35464980983401595</v>
      </c>
      <c r="E14" s="314">
        <f>'3 Statement Model'!E15/'3 Statement Model'!E$13</f>
        <v>0.25028349352878898</v>
      </c>
      <c r="F14" s="314">
        <f>'3 Statement Model'!F15/'3 Statement Model'!F$13</f>
        <v>0.28536409892486475</v>
      </c>
      <c r="G14" s="314">
        <f>'3 Statement Model'!G15/'3 Statement Model'!G$13</f>
        <v>0.41084954059470891</v>
      </c>
      <c r="H14" s="314">
        <f>'3 Statement Model'!H15/'3 Statement Model'!H$13</f>
        <v>0.40373055917547512</v>
      </c>
      <c r="I14" s="314">
        <f>'3 Statement Model'!I15/'3 Statement Model'!I$13</f>
        <v>0.33611654164984539</v>
      </c>
      <c r="J14" s="314">
        <f>'3 Statement Model'!J15/'3 Statement Model'!J$13</f>
        <v>0.33999999999999991</v>
      </c>
      <c r="K14" s="314">
        <f>'3 Statement Model'!K15/'3 Statement Model'!K$13</f>
        <v>0.34</v>
      </c>
      <c r="L14" s="314">
        <f>'3 Statement Model'!L15/'3 Statement Model'!L$13</f>
        <v>0.33999999999999997</v>
      </c>
      <c r="M14" s="314">
        <f>'3 Statement Model'!M15/'3 Statement Model'!M$13</f>
        <v>0.33999999999999997</v>
      </c>
      <c r="N14" s="314">
        <f>'3 Statement Model'!N15/'3 Statement Model'!N$13</f>
        <v>0.33999999999999997</v>
      </c>
    </row>
    <row r="15" spans="2:15">
      <c r="D15" s="315"/>
      <c r="E15" s="315"/>
      <c r="F15" s="315"/>
      <c r="G15" s="315"/>
      <c r="H15" s="315"/>
      <c r="I15" s="315"/>
      <c r="J15" s="315"/>
      <c r="K15" s="315"/>
      <c r="L15" s="315"/>
      <c r="M15" s="315"/>
      <c r="N15" s="315"/>
    </row>
    <row r="16" spans="2:15">
      <c r="B16" s="41" t="s">
        <v>62</v>
      </c>
      <c r="D16" s="315"/>
      <c r="E16" s="315"/>
      <c r="F16" s="315"/>
      <c r="G16" s="315"/>
      <c r="H16" s="315"/>
      <c r="I16" s="315"/>
      <c r="J16" s="315"/>
      <c r="K16" s="315"/>
      <c r="L16" s="315"/>
      <c r="M16" s="315"/>
      <c r="N16" s="315"/>
    </row>
    <row r="17" spans="2:14">
      <c r="B17" t="str">
        <f>'3 Statement Model'!B21</f>
        <v>Employee Benefit Expenses</v>
      </c>
      <c r="D17" s="313">
        <f>'3 Statement Model'!D21/'3 Statement Model'!D$13</f>
        <v>0.22509221084801603</v>
      </c>
      <c r="E17" s="313">
        <f>'3 Statement Model'!E21/'3 Statement Model'!E$13</f>
        <v>0.13445115170776578</v>
      </c>
      <c r="F17" s="313">
        <f>'3 Statement Model'!F21/'3 Statement Model'!F$13</f>
        <v>8.8063624640525237E-2</v>
      </c>
      <c r="G17" s="313">
        <f>'3 Statement Model'!G21/'3 Statement Model'!G$13</f>
        <v>9.3779343234021678E-2</v>
      </c>
      <c r="H17" s="313">
        <f>'3 Statement Model'!H21/'3 Statement Model'!H$13</f>
        <v>9.247811650324432E-2</v>
      </c>
      <c r="I17" s="313">
        <f>'3 Statement Model'!I21/'3 Statement Model'!I$13</f>
        <v>9.736364182062783E-2</v>
      </c>
      <c r="J17" s="313">
        <f>'3 Statement Model'!J21/'3 Statement Model'!J$13</f>
        <v>0.1</v>
      </c>
      <c r="K17" s="313">
        <f>'3 Statement Model'!K21/'3 Statement Model'!K$13</f>
        <v>0.1</v>
      </c>
      <c r="L17" s="313">
        <f>'3 Statement Model'!L21/'3 Statement Model'!L$13</f>
        <v>0.13</v>
      </c>
      <c r="M17" s="313">
        <f>'3 Statement Model'!M21/'3 Statement Model'!M$13</f>
        <v>0.15</v>
      </c>
      <c r="N17" s="313">
        <f>'3 Statement Model'!N21/'3 Statement Model'!N$13</f>
        <v>0.15</v>
      </c>
    </row>
    <row r="18" spans="2:14">
      <c r="B18" t="str">
        <f>'3 Statement Model'!B22</f>
        <v>Other Expenses</v>
      </c>
      <c r="D18" s="313">
        <f>'3 Statement Model'!D22/'3 Statement Model'!D$13</f>
        <v>0.13048686221242786</v>
      </c>
      <c r="E18" s="313">
        <f>'3 Statement Model'!E22/'3 Statement Model'!E$13</f>
        <v>9.4724997683268322E-2</v>
      </c>
      <c r="F18" s="313">
        <f>'3 Statement Model'!F22/'3 Statement Model'!F$13</f>
        <v>7.8002528465903914E-2</v>
      </c>
      <c r="G18" s="313">
        <f>'3 Statement Model'!G22/'3 Statement Model'!G$13</f>
        <v>8.0256239450948633E-2</v>
      </c>
      <c r="H18" s="313">
        <f>'3 Statement Model'!H22/'3 Statement Model'!H$13</f>
        <v>8.7766651939472473E-2</v>
      </c>
      <c r="I18" s="313">
        <f>'3 Statement Model'!I22/'3 Statement Model'!I$13</f>
        <v>9.7708502281610932E-2</v>
      </c>
      <c r="J18" s="313">
        <f>'3 Statement Model'!J22/'3 Statement Model'!J$13</f>
        <v>0.09</v>
      </c>
      <c r="K18" s="313">
        <f>'3 Statement Model'!K22/'3 Statement Model'!K$13</f>
        <v>0.09</v>
      </c>
      <c r="L18" s="313">
        <f>'3 Statement Model'!L22/'3 Statement Model'!L$13</f>
        <v>0.09</v>
      </c>
      <c r="M18" s="313">
        <f>'3 Statement Model'!M22/'3 Statement Model'!M$13</f>
        <v>0.09</v>
      </c>
      <c r="N18" s="313">
        <f>'3 Statement Model'!N22/'3 Statement Model'!N$13</f>
        <v>0.09</v>
      </c>
    </row>
    <row r="19" spans="2:14">
      <c r="D19" s="313"/>
      <c r="E19" s="313"/>
      <c r="F19" s="313"/>
      <c r="G19" s="313"/>
      <c r="H19" s="313"/>
      <c r="I19" s="313"/>
      <c r="J19" s="313"/>
      <c r="K19" s="313"/>
      <c r="L19" s="313"/>
      <c r="M19" s="313"/>
      <c r="N19" s="313"/>
    </row>
    <row r="20" spans="2:14">
      <c r="B20" t="str">
        <f>'3 Statement Model'!B24</f>
        <v>Total SG&amp;A</v>
      </c>
      <c r="D20" s="313">
        <f>'3 Statement Model'!D24/'3 Statement Model'!D$13</f>
        <v>-0.3555790730604439</v>
      </c>
      <c r="E20" s="313">
        <f>'3 Statement Model'!E24/'3 Statement Model'!E$13</f>
        <v>-0.22917614939103412</v>
      </c>
      <c r="F20" s="313">
        <f>'3 Statement Model'!F24/'3 Statement Model'!F$13</f>
        <v>-0.16606615310642917</v>
      </c>
      <c r="G20" s="313">
        <f>'3 Statement Model'!G24/'3 Statement Model'!G$13</f>
        <v>-0.17403558268497032</v>
      </c>
      <c r="H20" s="313">
        <f>'3 Statement Model'!H24/'3 Statement Model'!H$13</f>
        <v>-0.18024476844271678</v>
      </c>
      <c r="I20" s="313">
        <f>'3 Statement Model'!I24/'3 Statement Model'!I$13</f>
        <v>-0.19507214410223878</v>
      </c>
      <c r="J20" s="313">
        <f>'3 Statement Model'!J24/'3 Statement Model'!J$13</f>
        <v>-0.19</v>
      </c>
      <c r="K20" s="313">
        <f>'3 Statement Model'!K24/'3 Statement Model'!K$13</f>
        <v>-0.19</v>
      </c>
      <c r="L20" s="313">
        <f>'3 Statement Model'!L24/'3 Statement Model'!L$13</f>
        <v>-0.22</v>
      </c>
      <c r="M20" s="313">
        <f>'3 Statement Model'!M24/'3 Statement Model'!M$13</f>
        <v>-0.24</v>
      </c>
      <c r="N20" s="313">
        <f>'3 Statement Model'!N24/'3 Statement Model'!N$13</f>
        <v>-0.24</v>
      </c>
    </row>
    <row r="21" spans="2:14">
      <c r="B21" s="30" t="str">
        <f>'3 Statement Model'!B25</f>
        <v>EBITDA</v>
      </c>
      <c r="C21" s="6"/>
      <c r="D21" s="314">
        <f>'3 Statement Model'!D25/'3 Statement Model'!D$13</f>
        <v>-9.2926322642794686E-4</v>
      </c>
      <c r="E21" s="314">
        <f>'3 Statement Model'!E25/'3 Statement Model'!E$13</f>
        <v>2.1107344137754842E-2</v>
      </c>
      <c r="F21" s="314">
        <f>'3 Statement Model'!F25/'3 Statement Model'!F$13</f>
        <v>0.11929794581843559</v>
      </c>
      <c r="G21" s="314">
        <f>'3 Statement Model'!G25/'3 Statement Model'!G$13</f>
        <v>0.23681395790973858</v>
      </c>
      <c r="H21" s="314">
        <f>'3 Statement Model'!H25/'3 Statement Model'!H$13</f>
        <v>0.22348579073275834</v>
      </c>
      <c r="I21" s="314">
        <f>'3 Statement Model'!I25/'3 Statement Model'!I$13</f>
        <v>0.14104439754760664</v>
      </c>
      <c r="J21" s="314">
        <f>'3 Statement Model'!J25/'3 Statement Model'!J$13</f>
        <v>0.14999999999999994</v>
      </c>
      <c r="K21" s="314">
        <f>'3 Statement Model'!K25/'3 Statement Model'!K$13</f>
        <v>0.15</v>
      </c>
      <c r="L21" s="314">
        <f>'3 Statement Model'!L25/'3 Statement Model'!L$13</f>
        <v>0.12000000000000001</v>
      </c>
      <c r="M21" s="314">
        <f>'3 Statement Model'!M25/'3 Statement Model'!M$13</f>
        <v>9.9999999999999992E-2</v>
      </c>
      <c r="N21" s="314">
        <f>'3 Statement Model'!N25/'3 Statement Model'!N$13</f>
        <v>9.9999999999999978E-2</v>
      </c>
    </row>
    <row r="22" spans="2:14">
      <c r="D22" s="315"/>
      <c r="E22" s="315"/>
      <c r="F22" s="315"/>
      <c r="G22" s="315"/>
      <c r="H22" s="315"/>
      <c r="I22" s="315"/>
      <c r="J22" s="315"/>
      <c r="K22" s="315"/>
      <c r="L22" s="315"/>
      <c r="M22" s="315"/>
      <c r="N22" s="315"/>
    </row>
    <row r="23" spans="2:14" ht="13.8" customHeight="1">
      <c r="B23" s="41" t="str">
        <f>'3 Statement Model'!B29</f>
        <v>Less: Depreciation and Amortization</v>
      </c>
      <c r="D23" s="315"/>
      <c r="E23" s="315"/>
      <c r="F23" s="315"/>
      <c r="G23" s="315"/>
      <c r="H23" s="315"/>
      <c r="I23" s="315"/>
      <c r="J23" s="315"/>
      <c r="K23" s="315"/>
      <c r="L23" s="315"/>
      <c r="M23" s="315"/>
      <c r="N23" s="315"/>
    </row>
    <row r="24" spans="2:14">
      <c r="B24" t="str">
        <f>'3 Statement Model'!B30</f>
        <v>Depreciation</v>
      </c>
      <c r="D24" s="313">
        <f>'3 Statement Model'!D30/'3 Statement Model'!D$13</f>
        <v>-0.32098657496387961</v>
      </c>
      <c r="E24" s="313">
        <f>'3 Statement Model'!E30/'3 Statement Model'!E$13</f>
        <v>-0.19546543785341727</v>
      </c>
      <c r="F24" s="313">
        <f>'3 Statement Model'!F30/'3 Statement Model'!F$13</f>
        <v>-9.3724544370227383E-2</v>
      </c>
      <c r="G24" s="313">
        <f>'3 Statement Model'!G30/'3 Statement Model'!G$13</f>
        <v>-9.3255428180824704E-2</v>
      </c>
      <c r="H24" s="313">
        <f>'3 Statement Model'!H30/'3 Statement Model'!H$13</f>
        <v>-0.10742436224442439</v>
      </c>
      <c r="I24" s="313">
        <f>'3 Statement Model'!I30/'3 Statement Model'!I$13</f>
        <v>-0.1272123151671514</v>
      </c>
      <c r="J24" s="313">
        <f>'3 Statement Model'!J30/'3 Statement Model'!J$13</f>
        <v>-0.11673564769447216</v>
      </c>
      <c r="K24" s="313">
        <f>'3 Statement Model'!K30/'3 Statement Model'!K$13</f>
        <v>-0.10681973137723019</v>
      </c>
      <c r="L24" s="313">
        <f>'3 Statement Model'!L30/'3 Statement Model'!L$13</f>
        <v>-9.7435068309968231E-2</v>
      </c>
      <c r="M24" s="313">
        <f>'3 Statement Model'!M30/'3 Statement Model'!M$13</f>
        <v>-8.8580115965762249E-2</v>
      </c>
      <c r="N24" s="313">
        <f>'3 Statement Model'!N30/'3 Statement Model'!N$13</f>
        <v>-8.0249624763852834E-2</v>
      </c>
    </row>
    <row r="25" spans="2:14" s="16" customFormat="1">
      <c r="B25" s="30" t="str">
        <f>'3 Statement Model'!B31</f>
        <v>EBIT</v>
      </c>
      <c r="C25" s="30"/>
      <c r="D25" s="314">
        <f>'3 Statement Model'!D31/'3 Statement Model'!D$13</f>
        <v>-0.32191583819030756</v>
      </c>
      <c r="E25" s="314">
        <f>'3 Statement Model'!E31/'3 Statement Model'!E$13</f>
        <v>-0.17435809371566244</v>
      </c>
      <c r="F25" s="314">
        <f>'3 Statement Model'!F31/'3 Statement Model'!F$13</f>
        <v>2.5573401448208199E-2</v>
      </c>
      <c r="G25" s="314">
        <f>'3 Statement Model'!G31/'3 Statement Model'!G$13</f>
        <v>0.14355852972891386</v>
      </c>
      <c r="H25" s="314">
        <f>'3 Statement Model'!H31/'3 Statement Model'!H$13</f>
        <v>0.11606142848833396</v>
      </c>
      <c r="I25" s="314">
        <f>'3 Statement Model'!I31/'3 Statement Model'!I$13</f>
        <v>1.3832082380455239E-2</v>
      </c>
      <c r="J25" s="314">
        <f>'3 Statement Model'!J31/'3 Statement Model'!J$13</f>
        <v>3.3264352305527774E-2</v>
      </c>
      <c r="K25" s="314">
        <f>'3 Statement Model'!K31/'3 Statement Model'!K$13</f>
        <v>4.3180268622769809E-2</v>
      </c>
      <c r="L25" s="314">
        <f>'3 Statement Model'!L31/'3 Statement Model'!L$13</f>
        <v>2.2564931690031782E-2</v>
      </c>
      <c r="M25" s="314">
        <f>'3 Statement Model'!M31/'3 Statement Model'!M$13</f>
        <v>1.1419884034237739E-2</v>
      </c>
      <c r="N25" s="314">
        <f>'3 Statement Model'!N31/'3 Statement Model'!N$13</f>
        <v>1.9750375236147144E-2</v>
      </c>
    </row>
    <row r="26" spans="2:14">
      <c r="D26" s="315"/>
      <c r="E26" s="315"/>
      <c r="F26" s="315"/>
      <c r="G26" s="315"/>
      <c r="H26" s="315"/>
      <c r="I26" s="315"/>
      <c r="J26" s="315"/>
      <c r="K26" s="315"/>
      <c r="L26" s="315"/>
      <c r="M26" s="315"/>
      <c r="N26" s="315"/>
    </row>
    <row r="27" spans="2:14">
      <c r="B27" s="41" t="str">
        <f>'3 Statement Model'!B35</f>
        <v>Less: Interest Expenses</v>
      </c>
      <c r="D27" s="315"/>
      <c r="E27" s="315"/>
      <c r="F27" s="315"/>
      <c r="G27" s="315"/>
      <c r="H27" s="315"/>
      <c r="I27" s="315"/>
      <c r="J27" s="315"/>
      <c r="K27" s="315"/>
      <c r="L27" s="315"/>
      <c r="M27" s="315"/>
      <c r="N27" s="315"/>
    </row>
    <row r="28" spans="2:14">
      <c r="B28" t="str">
        <f>'3 Statement Model'!B36</f>
        <v>Finance Cost</v>
      </c>
      <c r="D28" s="313">
        <f>'3 Statement Model'!D36/'3 Statement Model'!D$13*-1</f>
        <v>-0.14630400834499552</v>
      </c>
      <c r="E28" s="313">
        <f>'3 Statement Model'!E36/'3 Statement Model'!E$13*-1</f>
        <v>-9.0934466014269383E-2</v>
      </c>
      <c r="F28" s="313">
        <f>'3 Statement Model'!F36/'3 Statement Model'!F$13*-1</f>
        <v>-5.7519467797103332E-2</v>
      </c>
      <c r="G28" s="313">
        <f>'3 Statement Model'!G36/'3 Statement Model'!G$13*-1</f>
        <v>-6.0509344119307508E-2</v>
      </c>
      <c r="H28" s="313">
        <f>'3 Statement Model'!H36/'3 Statement Model'!H$13*-1</f>
        <v>-6.286903069073016E-2</v>
      </c>
      <c r="I28" s="313">
        <f>'3 Statement Model'!I36/'3 Statement Model'!I$13*-1</f>
        <v>-6.9334607630008274E-2</v>
      </c>
      <c r="J28" s="313">
        <f>'3 Statement Model'!J36/'3 Statement Model'!J$13*-1</f>
        <v>-6.2873320554165765E-2</v>
      </c>
      <c r="K28" s="313">
        <f>'3 Statement Model'!K36/'3 Statement Model'!K$13*-1</f>
        <v>-5.5979848337373073E-2</v>
      </c>
      <c r="L28" s="313">
        <f>'3 Statement Model'!L36/'3 Statement Model'!L$13*-1</f>
        <v>-6.2996364089930326E-2</v>
      </c>
      <c r="M28" s="313">
        <f>'3 Statement Model'!M36/'3 Statement Model'!M$13*-1</f>
        <v>-5.6217492580912638E-2</v>
      </c>
      <c r="N28" s="313">
        <f>'3 Statement Model'!N36/'3 Statement Model'!N$13*-1</f>
        <v>-4.9817514458138958E-2</v>
      </c>
    </row>
    <row r="29" spans="2:14">
      <c r="B29" t="str">
        <f>'3 Statement Model'!B37</f>
        <v>Exceptional Items</v>
      </c>
      <c r="D29" s="313">
        <f>'3 Statement Model'!D37/'3 Statement Model'!D$13*-1</f>
        <v>0</v>
      </c>
      <c r="E29" s="313">
        <f>'3 Statement Model'!E37/'3 Statement Model'!E$13*-1</f>
        <v>0</v>
      </c>
      <c r="F29" s="313">
        <f>'3 Statement Model'!F37/'3 Statement Model'!F$13*-1</f>
        <v>0</v>
      </c>
      <c r="G29" s="313">
        <f>'3 Statement Model'!G37/'3 Statement Model'!G$13*-1</f>
        <v>0</v>
      </c>
      <c r="H29" s="313">
        <f>'3 Statement Model'!H37/'3 Statement Model'!H$13*-1</f>
        <v>0</v>
      </c>
      <c r="I29" s="313">
        <f>'3 Statement Model'!I37/'3 Statement Model'!I$13*-1</f>
        <v>-2.1143594952561091E-2</v>
      </c>
      <c r="J29" s="313">
        <f>'3 Statement Model'!J37/'3 Statement Model'!J$13*-1</f>
        <v>0</v>
      </c>
      <c r="K29" s="313">
        <f>'3 Statement Model'!K37/'3 Statement Model'!K$13*-1</f>
        <v>0</v>
      </c>
      <c r="L29" s="313">
        <f>'3 Statement Model'!L37/'3 Statement Model'!L$13*-1</f>
        <v>0</v>
      </c>
      <c r="M29" s="313">
        <f>'3 Statement Model'!M37/'3 Statement Model'!M$13*-1</f>
        <v>0</v>
      </c>
      <c r="N29" s="313">
        <f>'3 Statement Model'!N37/'3 Statement Model'!N$13*-1</f>
        <v>0</v>
      </c>
    </row>
    <row r="30" spans="2:14" s="16" customFormat="1">
      <c r="B30" t="str">
        <f>'3 Statement Model'!B38</f>
        <v>Add: Other Income</v>
      </c>
      <c r="D30" s="313">
        <f>'3 Statement Model'!D38/'3 Statement Model'!D$13</f>
        <v>7.0827821560423179E-2</v>
      </c>
      <c r="E30" s="313">
        <f>'3 Statement Model'!E38/'3 Statement Model'!E$13</f>
        <v>2.7981953749667336E-2</v>
      </c>
      <c r="F30" s="313">
        <f>'3 Statement Model'!F38/'3 Statement Model'!F$13</f>
        <v>2.6355527696175173E-2</v>
      </c>
      <c r="G30" s="313">
        <f>'3 Statement Model'!G38/'3 Statement Model'!G$13</f>
        <v>3.3770025963546543E-2</v>
      </c>
      <c r="H30" s="313">
        <f>'3 Statement Model'!H38/'3 Statement Model'!H$13</f>
        <v>4.078195213290612E-2</v>
      </c>
      <c r="I30" s="313">
        <f>'3 Statement Model'!I38/'3 Statement Model'!I$13</f>
        <v>5.3571071268415607E-2</v>
      </c>
      <c r="J30" s="313">
        <f>'3 Statement Model'!J38/'3 Statement Model'!J$13</f>
        <v>4.2000000000000003E-2</v>
      </c>
      <c r="K30" s="313">
        <f>'3 Statement Model'!K38/'3 Statement Model'!K$13</f>
        <v>0.05</v>
      </c>
      <c r="L30" s="313">
        <f>'3 Statement Model'!L38/'3 Statement Model'!L$13</f>
        <v>7.0000000000000007E-2</v>
      </c>
      <c r="M30" s="313">
        <f>'3 Statement Model'!M38/'3 Statement Model'!M$13</f>
        <v>7.0000000000000007E-2</v>
      </c>
      <c r="N30" s="313">
        <f>'3 Statement Model'!N38/'3 Statement Model'!N$13</f>
        <v>0.06</v>
      </c>
    </row>
    <row r="31" spans="2:14">
      <c r="B31" s="30" t="str">
        <f>'3 Statement Model'!B39</f>
        <v xml:space="preserve">EBT </v>
      </c>
      <c r="C31" s="6"/>
      <c r="D31" s="314">
        <f>'3 Statement Model'!D39/'3 Statement Model'!D$13</f>
        <v>-0.39739202497487991</v>
      </c>
      <c r="E31" s="314">
        <f>'3 Statement Model'!E39/'3 Statement Model'!E$13</f>
        <v>-0.23731060598026446</v>
      </c>
      <c r="F31" s="314">
        <f>'3 Statement Model'!F39/'3 Statement Model'!F$13</f>
        <v>-5.5905386527199553E-3</v>
      </c>
      <c r="G31" s="314">
        <f>'3 Statement Model'!G39/'3 Statement Model'!G$13</f>
        <v>0.11681921157315289</v>
      </c>
      <c r="H31" s="314">
        <f>'3 Statement Model'!H39/'3 Statement Model'!H$13</f>
        <v>9.3974349930509918E-2</v>
      </c>
      <c r="I31" s="314">
        <f>'3 Statement Model'!I39/'3 Statement Model'!I$13</f>
        <v>-2.3075048933698515E-2</v>
      </c>
      <c r="J31" s="314">
        <f>'3 Statement Model'!J39/'3 Statement Model'!J$13</f>
        <v>1.2391031751362018E-2</v>
      </c>
      <c r="K31" s="314">
        <f>'3 Statement Model'!K39/'3 Statement Model'!K$13</f>
        <v>3.7200420285396732E-2</v>
      </c>
      <c r="L31" s="314">
        <f>'3 Statement Model'!L39/'3 Statement Model'!L$13</f>
        <v>2.9568567600101455E-2</v>
      </c>
      <c r="M31" s="314">
        <f>'3 Statement Model'!M39/'3 Statement Model'!M$13</f>
        <v>2.5202391453325108E-2</v>
      </c>
      <c r="N31" s="314">
        <f>'3 Statement Model'!N39/'3 Statement Model'!N$13</f>
        <v>2.9932860778008188E-2</v>
      </c>
    </row>
    <row r="32" spans="2:14">
      <c r="D32" s="315"/>
      <c r="E32" s="315"/>
      <c r="F32" s="315"/>
      <c r="G32" s="315"/>
      <c r="H32" s="315"/>
      <c r="I32" s="315"/>
      <c r="J32" s="315"/>
      <c r="K32" s="315"/>
      <c r="L32" s="315"/>
      <c r="M32" s="315"/>
      <c r="N32" s="315"/>
    </row>
    <row r="33" spans="2:16" s="16" customFormat="1">
      <c r="B33" t="str">
        <f>'3 Statement Model'!B41</f>
        <v>Less: Taxes</v>
      </c>
      <c r="D33" s="313">
        <f>'3 Statement Model'!D41/'3 Statement Model'!D$13</f>
        <v>-7.9525260898932575E-4</v>
      </c>
      <c r="E33" s="313">
        <f>'3 Statement Model'!E41/'3 Statement Model'!E$13</f>
        <v>3.1472071939425846E-4</v>
      </c>
      <c r="F33" s="313">
        <f>'3 Statement Model'!F41/'3 Statement Model'!F$13</f>
        <v>2.5786803779485871E-5</v>
      </c>
      <c r="G33" s="313">
        <f>'3 Statement Model'!G41/'3 Statement Model'!G$13</f>
        <v>-1.7879871067553114E-3</v>
      </c>
      <c r="H33" s="313">
        <f>'3 Statement Model'!H41/'3 Statement Model'!H$13</f>
        <v>4.1458908034241347E-3</v>
      </c>
      <c r="I33" s="313">
        <f>'3 Statement Model'!I41/'3 Statement Model'!I$13</f>
        <v>5.0975790324839726E-3</v>
      </c>
      <c r="J33" s="313">
        <f>'3 Statement Model'!J41/'3 Statement Model'!J$13</f>
        <v>-3.0977579378405045E-3</v>
      </c>
      <c r="K33" s="313">
        <f>'3 Statement Model'!K41/'3 Statement Model'!K$13</f>
        <v>-9.300105071349183E-3</v>
      </c>
      <c r="L33" s="313">
        <f>'3 Statement Model'!L41/'3 Statement Model'!L$13</f>
        <v>-7.3921419000253638E-3</v>
      </c>
      <c r="M33" s="313">
        <f>'3 Statement Model'!M41/'3 Statement Model'!M$13</f>
        <v>-6.3005978633312769E-3</v>
      </c>
      <c r="N33" s="313">
        <f>'3 Statement Model'!N41/'3 Statement Model'!N$13</f>
        <v>-7.4832151945020469E-3</v>
      </c>
    </row>
    <row r="34" spans="2:16">
      <c r="B34" s="30" t="str">
        <f>'3 Statement Model'!B42</f>
        <v>Net Income</v>
      </c>
      <c r="C34" s="6"/>
      <c r="D34" s="314">
        <f>'3 Statement Model'!D42/'3 Statement Model'!D$13</f>
        <v>-0.39659677236589058</v>
      </c>
      <c r="E34" s="314">
        <f>'3 Statement Model'!E42/'3 Statement Model'!E$13</f>
        <v>-0.23762532669965872</v>
      </c>
      <c r="F34" s="314">
        <f>'3 Statement Model'!F42/'3 Statement Model'!F$13</f>
        <v>-5.6163254564994417E-3</v>
      </c>
      <c r="G34" s="314">
        <f>'3 Statement Model'!G42/'3 Statement Model'!G$13</f>
        <v>0.11860719867990821</v>
      </c>
      <c r="H34" s="314">
        <f>'3 Statement Model'!H42/'3 Statement Model'!H$13</f>
        <v>8.9828459127085786E-2</v>
      </c>
      <c r="I34" s="314">
        <f>'3 Statement Model'!I42/'3 Statement Model'!I$13</f>
        <v>-2.817262796618249E-2</v>
      </c>
      <c r="J34" s="314">
        <f>'3 Statement Model'!J42/'3 Statement Model'!J$13</f>
        <v>9.2932738135215135E-3</v>
      </c>
      <c r="K34" s="314">
        <f>'3 Statement Model'!K42/'3 Statement Model'!K$13</f>
        <v>2.7900315214047549E-2</v>
      </c>
      <c r="L34" s="314">
        <f>'3 Statement Model'!L42/'3 Statement Model'!L$13</f>
        <v>2.217642570007609E-2</v>
      </c>
      <c r="M34" s="314">
        <f>'3 Statement Model'!M42/'3 Statement Model'!M$13</f>
        <v>1.8901793589993828E-2</v>
      </c>
      <c r="N34" s="314">
        <f>'3 Statement Model'!N42/'3 Statement Model'!N$13</f>
        <v>2.244964558350614E-2</v>
      </c>
      <c r="P34" s="313"/>
    </row>
    <row r="36" spans="2:16" ht="15.6">
      <c r="B36" s="7" t="str">
        <f>'3 Statement Model'!B51</f>
        <v>Balance Sheet</v>
      </c>
      <c r="C36" s="7"/>
      <c r="D36" s="7"/>
      <c r="E36" s="7"/>
      <c r="F36" s="7"/>
      <c r="G36" s="7"/>
      <c r="H36" s="7"/>
      <c r="I36" s="7"/>
      <c r="J36" s="7"/>
      <c r="K36" s="7"/>
      <c r="L36" s="7"/>
      <c r="M36" s="7"/>
      <c r="N36" s="7"/>
    </row>
    <row r="38" spans="2:16">
      <c r="B38" s="41" t="str">
        <f>'3 Statement Model'!B53</f>
        <v>Assets</v>
      </c>
    </row>
    <row r="39" spans="2:16">
      <c r="B39" t="str">
        <f>'3 Statement Model'!B54</f>
        <v>Cash</v>
      </c>
      <c r="D39" s="313">
        <f>'3 Statement Model'!D54/'3 Statement Model'!D$74</f>
        <v>1.1820473193830604E-2</v>
      </c>
      <c r="E39" s="313">
        <f>'3 Statement Model'!E54/'3 Statement Model'!E$74</f>
        <v>2.2090330925157886E-2</v>
      </c>
      <c r="F39" s="313">
        <f>'3 Statement Model'!F54/'3 Statement Model'!F$74</f>
        <v>2.1429320241794215E-2</v>
      </c>
      <c r="G39" s="313">
        <f>'3 Statement Model'!G54/'3 Statement Model'!G$74</f>
        <v>8.4561170940534759E-3</v>
      </c>
      <c r="H39" s="313">
        <f>'3 Statement Model'!H54/'3 Statement Model'!H$74</f>
        <v>9.2633596187960479E-3</v>
      </c>
      <c r="I39" s="313">
        <f>'3 Statement Model'!I54/'3 Statement Model'!I$74</f>
        <v>9.7344085128097287E-3</v>
      </c>
      <c r="J39" s="313">
        <f>'3 Statement Model'!J54/'3 Statement Model'!J$74</f>
        <v>8.5840622385523167E-3</v>
      </c>
      <c r="K39" s="313">
        <f>'3 Statement Model'!K54/'3 Statement Model'!K$74</f>
        <v>4.4499138954184968E-2</v>
      </c>
      <c r="L39" s="313">
        <f>'3 Statement Model'!L54/'3 Statement Model'!L$74</f>
        <v>1.693054594231206E-2</v>
      </c>
      <c r="M39" s="313">
        <f>'3 Statement Model'!M54/'3 Statement Model'!M$74</f>
        <v>3.8021137832282056E-3</v>
      </c>
      <c r="N39" s="313">
        <f>'3 Statement Model'!N54/'3 Statement Model'!N$74</f>
        <v>8.9490807868619401E-3</v>
      </c>
    </row>
    <row r="40" spans="2:16">
      <c r="B40" t="str">
        <f>'3 Statement Model'!B55</f>
        <v>Bank balances other than cash and cash equivalents, above</v>
      </c>
      <c r="D40" s="313">
        <f>'3 Statement Model'!D55/'3 Statement Model'!D$74</f>
        <v>0.24897776837707458</v>
      </c>
      <c r="E40" s="313">
        <f>'3 Statement Model'!E55/'3 Statement Model'!E$74</f>
        <v>0.1980917614796274</v>
      </c>
      <c r="F40" s="313">
        <f>'3 Statement Model'!F55/'3 Statement Model'!F$74</f>
        <v>0.17866737094463647</v>
      </c>
      <c r="G40" s="313">
        <f>'3 Statement Model'!G55/'3 Statement Model'!G$74</f>
        <v>0.19489689812647082</v>
      </c>
      <c r="H40" s="313">
        <f>'3 Statement Model'!H55/'3 Statement Model'!H$74</f>
        <v>0.15443076219209537</v>
      </c>
      <c r="I40" s="313">
        <f>'3 Statement Model'!I55/'3 Statement Model'!I$74</f>
        <v>0.16672830787171669</v>
      </c>
      <c r="J40" s="313">
        <f>'3 Statement Model'!J55/'3 Statement Model'!J$74</f>
        <v>0.15434339278113873</v>
      </c>
      <c r="K40" s="313">
        <f>'3 Statement Model'!K55/'3 Statement Model'!K$74</f>
        <v>0.13565921072233689</v>
      </c>
      <c r="L40" s="313">
        <f>'3 Statement Model'!L55/'3 Statement Model'!L$74</f>
        <v>0.12846292758441524</v>
      </c>
      <c r="M40" s="313">
        <f>'3 Statement Model'!M55/'3 Statement Model'!M$74</f>
        <v>0.11930907654967797</v>
      </c>
      <c r="N40" s="313">
        <f>'3 Statement Model'!N55/'3 Statement Model'!N$74</f>
        <v>0.10817101832332685</v>
      </c>
    </row>
    <row r="41" spans="2:16">
      <c r="B41" t="str">
        <f>'3 Statement Model'!B56</f>
        <v>Inventory</v>
      </c>
      <c r="D41" s="313">
        <f>'3 Statement Model'!D56/'3 Statement Model'!D$74</f>
        <v>7.3498147657044162E-3</v>
      </c>
      <c r="E41" s="313">
        <f>'3 Statement Model'!E56/'3 Statement Model'!E$74</f>
        <v>8.8781534934121858E-3</v>
      </c>
      <c r="F41" s="313">
        <f>'3 Statement Model'!F56/'3 Statement Model'!F$74</f>
        <v>9.9893325683487379E-3</v>
      </c>
      <c r="G41" s="313">
        <f>'3 Statement Model'!G56/'3 Statement Model'!G$74</f>
        <v>7.5987084141587967E-3</v>
      </c>
      <c r="H41" s="313">
        <f>'3 Statement Model'!H56/'3 Statement Model'!H$74</f>
        <v>7.0811051116376833E-3</v>
      </c>
      <c r="I41" s="313">
        <f>'3 Statement Model'!I56/'3 Statement Model'!I$74</f>
        <v>7.2410646600309849E-3</v>
      </c>
      <c r="J41" s="313">
        <f>'3 Statement Model'!J56/'3 Statement Model'!J$74</f>
        <v>7.3619491138640818E-3</v>
      </c>
      <c r="K41" s="313">
        <f>'3 Statement Model'!K56/'3 Statement Model'!K$74</f>
        <v>7.7578839222225745E-3</v>
      </c>
      <c r="L41" s="313">
        <f>'3 Statement Model'!L56/'3 Statement Model'!L$74</f>
        <v>8.7025082371735285E-3</v>
      </c>
      <c r="M41" s="313">
        <f>'3 Statement Model'!M56/'3 Statement Model'!M$74</f>
        <v>9.634828978304949E-3</v>
      </c>
      <c r="N41" s="313">
        <f>'3 Statement Model'!N56/'3 Statement Model'!N$74</f>
        <v>1.0428584302393967E-2</v>
      </c>
    </row>
    <row r="42" spans="2:16">
      <c r="B42" t="str">
        <f>'3 Statement Model'!B57</f>
        <v>Trade Receivables</v>
      </c>
      <c r="D42" s="313">
        <f>'3 Statement Model'!D57/'3 Statement Model'!D$74</f>
        <v>5.086460750540177E-3</v>
      </c>
      <c r="E42" s="313">
        <f>'3 Statement Model'!E57/'3 Statement Model'!E$74</f>
        <v>7.2433459918867073E-3</v>
      </c>
      <c r="F42" s="313">
        <f>'3 Statement Model'!F57/'3 Statement Model'!F$74</f>
        <v>8.7866417167846989E-3</v>
      </c>
      <c r="G42" s="313">
        <f>'3 Statement Model'!G57/'3 Statement Model'!G$74</f>
        <v>7.8139727210259722E-3</v>
      </c>
      <c r="H42" s="313">
        <f>'3 Statement Model'!H57/'3 Statement Model'!H$74</f>
        <v>6.3853388407636167E-3</v>
      </c>
      <c r="I42" s="313">
        <f>'3 Statement Model'!I57/'3 Statement Model'!I$74</f>
        <v>4.4087554530407988E-3</v>
      </c>
      <c r="J42" s="313">
        <f>'3 Statement Model'!J57/'3 Statement Model'!J$74</f>
        <v>9.2953902952829306E-3</v>
      </c>
      <c r="K42" s="313">
        <f>'3 Statement Model'!K57/'3 Statement Model'!K$74</f>
        <v>9.7953079826042597E-3</v>
      </c>
      <c r="L42" s="313">
        <f>'3 Statement Model'!L57/'3 Statement Model'!L$74</f>
        <v>1.0988015450976678E-2</v>
      </c>
      <c r="M42" s="313">
        <f>'3 Statement Model'!M57/'3 Statement Model'!M$74</f>
        <v>9.7321504831363124E-3</v>
      </c>
      <c r="N42" s="313">
        <f>'3 Statement Model'!N57/'3 Statement Model'!N$74</f>
        <v>1.0533923537771684E-2</v>
      </c>
    </row>
    <row r="43" spans="2:16">
      <c r="B43" t="str">
        <f>'3 Statement Model'!B58</f>
        <v>Prepaid Expenses</v>
      </c>
      <c r="D43" s="313">
        <f>'3 Statement Model'!D58/'3 Statement Model'!D$74</f>
        <v>9.0805930331296818E-4</v>
      </c>
      <c r="E43" s="313">
        <f>'3 Statement Model'!E58/'3 Statement Model'!E$74</f>
        <v>1.3758578224842728E-3</v>
      </c>
      <c r="F43" s="313">
        <f>'3 Statement Model'!F58/'3 Statement Model'!F$74</f>
        <v>1.1318777229992877E-3</v>
      </c>
      <c r="G43" s="313">
        <f>'3 Statement Model'!G58/'3 Statement Model'!G$74</f>
        <v>1.2514518178888287E-3</v>
      </c>
      <c r="H43" s="313">
        <f>'3 Statement Model'!H58/'3 Statement Model'!H$74</f>
        <v>1.8455934083483321E-3</v>
      </c>
      <c r="I43" s="313">
        <f>'3 Statement Model'!I58/'3 Statement Model'!I$74</f>
        <v>2.4992261148908731E-3</v>
      </c>
      <c r="J43" s="313">
        <f>'3 Statement Model'!J58/'3 Statement Model'!J$74</f>
        <v>3.1349633309871216E-3</v>
      </c>
      <c r="K43" s="313">
        <f>'3 Statement Model'!K58/'3 Statement Model'!K$74</f>
        <v>3.3035655702131129E-3</v>
      </c>
      <c r="L43" s="313">
        <f>'3 Statement Model'!L58/'3 Statement Model'!L$74</f>
        <v>3.7058180909963941E-3</v>
      </c>
      <c r="M43" s="313">
        <f>'3 Statement Model'!M58/'3 Statement Model'!M$74</f>
        <v>4.102831339928191E-3</v>
      </c>
      <c r="N43" s="313">
        <f>'3 Statement Model'!N58/'3 Statement Model'!N$74</f>
        <v>4.4408388154360979E-3</v>
      </c>
    </row>
    <row r="44" spans="2:16">
      <c r="B44" t="str">
        <f>'3 Statement Model'!B59</f>
        <v>Financial Current Assets</v>
      </c>
      <c r="D44" s="313">
        <f>'3 Statement Model'!D59/'3 Statement Model'!D$74</f>
        <v>0.18785318014595331</v>
      </c>
      <c r="E44" s="313">
        <f>'3 Statement Model'!E59/'3 Statement Model'!E$74</f>
        <v>0.18350968759424782</v>
      </c>
      <c r="F44" s="313">
        <f>'3 Statement Model'!F59/'3 Statement Model'!F$74</f>
        <v>0.21290915221491546</v>
      </c>
      <c r="G44" s="313">
        <f>'3 Statement Model'!G59/'3 Statement Model'!G$74</f>
        <v>0.21039106349080869</v>
      </c>
      <c r="H44" s="313">
        <f>'3 Statement Model'!H59/'3 Statement Model'!H$74</f>
        <v>0.24482599368976249</v>
      </c>
      <c r="I44" s="313">
        <f>'3 Statement Model'!I59/'3 Statement Model'!I$74</f>
        <v>0.22454432688907008</v>
      </c>
      <c r="J44" s="313">
        <f>'3 Statement Model'!J59/'3 Statement Model'!J$74</f>
        <v>0.23749722204447885</v>
      </c>
      <c r="K44" s="313">
        <f>'3 Statement Model'!K59/'3 Statement Model'!K$74</f>
        <v>0.25027011895553886</v>
      </c>
      <c r="L44" s="313">
        <f>'3 Statement Model'!L59/'3 Statement Model'!L$74</f>
        <v>0.28074379477245409</v>
      </c>
      <c r="M44" s="313">
        <f>'3 Statement Model'!M59/'3 Statement Model'!M$74</f>
        <v>0.31082055605516595</v>
      </c>
      <c r="N44" s="313">
        <f>'3 Statement Model'!N59/'3 Statement Model'!N$74</f>
        <v>0.33642718298758312</v>
      </c>
    </row>
    <row r="45" spans="2:16">
      <c r="B45" t="str">
        <f>'3 Statement Model'!B60</f>
        <v>Other Current Assets</v>
      </c>
      <c r="D45" s="313">
        <f>'3 Statement Model'!D60/'3 Statement Model'!D$74</f>
        <v>2.1473687359778726E-2</v>
      </c>
      <c r="E45" s="313">
        <f>'3 Statement Model'!E60/'3 Statement Model'!E$74</f>
        <v>1.8926954477203401E-2</v>
      </c>
      <c r="F45" s="313">
        <f>'3 Statement Model'!F60/'3 Statement Model'!F$74</f>
        <v>9.0128550165076531E-3</v>
      </c>
      <c r="G45" s="313">
        <f>'3 Statement Model'!G60/'3 Statement Model'!G$74</f>
        <v>5.6309250892373928E-3</v>
      </c>
      <c r="H45" s="313">
        <f>'3 Statement Model'!H60/'3 Statement Model'!H$74</f>
        <v>1.3854035832826184E-2</v>
      </c>
      <c r="I45" s="313">
        <f>'3 Statement Model'!I60/'3 Statement Model'!I$74</f>
        <v>1.0787333430880846E-2</v>
      </c>
      <c r="J45" s="313">
        <f>'3 Statement Model'!J60/'3 Statement Model'!J$74</f>
        <v>2.0356904746669617E-2</v>
      </c>
      <c r="K45" s="313">
        <f>'3 Statement Model'!K60/'3 Statement Model'!K$74</f>
        <v>2.1451724481903332E-2</v>
      </c>
      <c r="L45" s="313">
        <f>'3 Statement Model'!L60/'3 Statement Model'!L$74</f>
        <v>2.4063753837638924E-2</v>
      </c>
      <c r="M45" s="313">
        <f>'3 Statement Model'!M60/'3 Statement Model'!M$74</f>
        <v>2.6641761947585656E-2</v>
      </c>
      <c r="N45" s="313">
        <f>'3 Statement Model'!N60/'3 Statement Model'!N$74</f>
        <v>2.8836615684649982E-2</v>
      </c>
    </row>
    <row r="46" spans="2:16" s="16" customFormat="1">
      <c r="B46" s="30" t="str">
        <f>'3 Statement Model'!B61</f>
        <v>Total Current Assests</v>
      </c>
      <c r="C46" s="6"/>
      <c r="D46" s="314">
        <f>'3 Statement Model'!D61/'3 Statement Model'!D$74</f>
        <v>0.48346944389619484</v>
      </c>
      <c r="E46" s="314">
        <f>'3 Statement Model'!E61/'3 Statement Model'!E$74</f>
        <v>0.44011609178401973</v>
      </c>
      <c r="F46" s="314">
        <f>'3 Statement Model'!F61/'3 Statement Model'!F$74</f>
        <v>0.44192655042598655</v>
      </c>
      <c r="G46" s="314">
        <f>'3 Statement Model'!G61/'3 Statement Model'!G$74</f>
        <v>0.43603913675364397</v>
      </c>
      <c r="H46" s="314">
        <f>'3 Statement Model'!H61/'3 Statement Model'!H$74</f>
        <v>0.43768618869422971</v>
      </c>
      <c r="I46" s="314">
        <f>'3 Statement Model'!I61/'3 Statement Model'!I$74</f>
        <v>0.42594342293244003</v>
      </c>
      <c r="J46" s="314">
        <f>'3 Statement Model'!J61/'3 Statement Model'!J$74</f>
        <v>0.44057388455097368</v>
      </c>
      <c r="K46" s="314">
        <f>'3 Statement Model'!K61/'3 Statement Model'!K$74</f>
        <v>0.47273695058900395</v>
      </c>
      <c r="L46" s="314">
        <f>'3 Statement Model'!L61/'3 Statement Model'!L$74</f>
        <v>0.47359736391596691</v>
      </c>
      <c r="M46" s="314">
        <f>'3 Statement Model'!M61/'3 Statement Model'!M$74</f>
        <v>0.48404331913702719</v>
      </c>
      <c r="N46" s="314">
        <f>'3 Statement Model'!N61/'3 Statement Model'!N$74</f>
        <v>0.50778724443802359</v>
      </c>
    </row>
    <row r="47" spans="2:16">
      <c r="D47" s="313"/>
      <c r="E47" s="313"/>
      <c r="F47" s="313"/>
      <c r="G47" s="313"/>
      <c r="H47" s="313"/>
      <c r="I47" s="313"/>
      <c r="J47" s="313"/>
      <c r="K47" s="313"/>
      <c r="L47" s="313"/>
      <c r="M47" s="313"/>
      <c r="N47" s="313"/>
    </row>
    <row r="48" spans="2:16">
      <c r="B48" t="str">
        <f>'3 Statement Model'!B63</f>
        <v>Plant, Machinery and Equipment</v>
      </c>
      <c r="D48" s="313">
        <f>'3 Statement Model'!D63/'3 Statement Model'!D$74</f>
        <v>1.8512070977518301E-2</v>
      </c>
      <c r="E48" s="313">
        <f>'3 Statement Model'!E63/'3 Statement Model'!E$74</f>
        <v>1.7926597621831561E-2</v>
      </c>
      <c r="F48" s="313">
        <f>'3 Statement Model'!F63/'3 Statement Model'!F$74</f>
        <v>1.8779320585719551E-2</v>
      </c>
      <c r="G48" s="313">
        <f>'3 Statement Model'!G63/'3 Statement Model'!G$74</f>
        <v>2.3142737262008283E-2</v>
      </c>
      <c r="H48" s="313">
        <f>'3 Statement Model'!H63/'3 Statement Model'!H$74</f>
        <v>2.311653221803554E-2</v>
      </c>
      <c r="I48" s="313">
        <f>'3 Statement Model'!I63/'3 Statement Model'!I$74</f>
        <v>8.1521535329233882E-2</v>
      </c>
      <c r="J48" s="313">
        <f>'3 Statement Model'!J63/'3 Statement Model'!J$74</f>
        <v>7.8670910767743116E-2</v>
      </c>
      <c r="K48" s="313">
        <f>'3 Statement Model'!K63/'3 Statement Model'!K$74</f>
        <v>7.3243935294291462E-2</v>
      </c>
      <c r="L48" s="313">
        <f>'3 Statement Model'!L63/'3 Statement Model'!L$74</f>
        <v>7.2141354389279058E-2</v>
      </c>
      <c r="M48" s="313">
        <f>'3 Statement Model'!M63/'3 Statement Model'!M$74</f>
        <v>6.9639823801216333E-2</v>
      </c>
      <c r="N48" s="313">
        <f>'3 Statement Model'!N63/'3 Statement Model'!N$74</f>
        <v>6.5198846186203974E-2</v>
      </c>
    </row>
    <row r="49" spans="2:14">
      <c r="B49" t="str">
        <f>'3 Statement Model'!B64</f>
        <v>Right of use assets</v>
      </c>
      <c r="D49" s="313">
        <f>'3 Statement Model'!D64/'3 Statement Model'!D$74</f>
        <v>0.41778604628777299</v>
      </c>
      <c r="E49" s="313">
        <f>'3 Statement Model'!E64/'3 Statement Model'!E$74</f>
        <v>0.4446691198787327</v>
      </c>
      <c r="F49" s="313">
        <f>'3 Statement Model'!F64/'3 Statement Model'!F$74</f>
        <v>0.44848024632287614</v>
      </c>
      <c r="G49" s="313">
        <f>'3 Statement Model'!G64/'3 Statement Model'!G$74</f>
        <v>0.41596239563633708</v>
      </c>
      <c r="H49" s="313">
        <f>'3 Statement Model'!H64/'3 Statement Model'!H$74</f>
        <v>0.42362238709983729</v>
      </c>
      <c r="I49" s="313">
        <f>'3 Statement Model'!I64/'3 Statement Model'!I$74</f>
        <v>0.38274408998096354</v>
      </c>
      <c r="J49" s="313">
        <f>'3 Statement Model'!J64/'3 Statement Model'!J$74</f>
        <v>0.36936039082393951</v>
      </c>
      <c r="K49" s="313">
        <f>'3 Statement Model'!K64/'3 Statement Model'!K$74</f>
        <v>0.34388070891477912</v>
      </c>
      <c r="L49" s="313">
        <f>'3 Statement Model'!L64/'3 Statement Model'!L$74</f>
        <v>0.33870408505195509</v>
      </c>
      <c r="M49" s="313">
        <f>'3 Statement Model'!M64/'3 Statement Model'!M$74</f>
        <v>0.3269593841625415</v>
      </c>
      <c r="N49" s="313">
        <f>'3 Statement Model'!N64/'3 Statement Model'!N$74</f>
        <v>0.30610896802379883</v>
      </c>
    </row>
    <row r="50" spans="2:14">
      <c r="B50" t="str">
        <f>'3 Statement Model'!B65</f>
        <v>Capital Work In Progress</v>
      </c>
      <c r="D50" s="313">
        <f>'3 Statement Model'!D65/'3 Statement Model'!D$74</f>
        <v>1.5412130773826197E-3</v>
      </c>
      <c r="E50" s="313">
        <f>'3 Statement Model'!E65/'3 Statement Model'!E$74</f>
        <v>2.5959803229573752E-3</v>
      </c>
      <c r="F50" s="313">
        <f>'3 Statement Model'!F65/'3 Statement Model'!F$74</f>
        <v>0</v>
      </c>
      <c r="G50" s="313">
        <f>'3 Statement Model'!G65/'3 Statement Model'!G$74</f>
        <v>1.2161825246733029E-6</v>
      </c>
      <c r="H50" s="313">
        <f>'3 Statement Model'!H65/'3 Statement Model'!H$74</f>
        <v>6.042635106846737E-6</v>
      </c>
      <c r="I50" s="313">
        <f>'3 Statement Model'!I65/'3 Statement Model'!I$74</f>
        <v>2.8455442967424769E-4</v>
      </c>
      <c r="J50" s="313">
        <f>'3 Statement Model'!J65/'3 Statement Model'!J$74</f>
        <v>0</v>
      </c>
      <c r="K50" s="313">
        <f>'3 Statement Model'!K65/'3 Statement Model'!K$74</f>
        <v>0</v>
      </c>
      <c r="L50" s="313">
        <f>'3 Statement Model'!L65/'3 Statement Model'!L$74</f>
        <v>0</v>
      </c>
      <c r="M50" s="313">
        <f>'3 Statement Model'!M65/'3 Statement Model'!M$74</f>
        <v>0</v>
      </c>
      <c r="N50" s="313">
        <f>'3 Statement Model'!N65/'3 Statement Model'!N$74</f>
        <v>0</v>
      </c>
    </row>
    <row r="51" spans="2:14">
      <c r="B51" t="str">
        <f>'3 Statement Model'!B66</f>
        <v>Other Non-Current Assets</v>
      </c>
      <c r="D51" s="313">
        <f>'3 Statement Model'!D66/'3 Statement Model'!D$74</f>
        <v>2.2062428850627994E-2</v>
      </c>
      <c r="E51" s="313">
        <f>'3 Statement Model'!E66/'3 Statement Model'!E$74</f>
        <v>2.6689070099997391E-2</v>
      </c>
      <c r="F51" s="313">
        <f>'3 Statement Model'!F66/'3 Statement Model'!F$74</f>
        <v>2.5302291359045728E-2</v>
      </c>
      <c r="G51" s="313">
        <f>'3 Statement Model'!G66/'3 Statement Model'!G$74</f>
        <v>2.3303273355265157E-2</v>
      </c>
      <c r="H51" s="313">
        <f>'3 Statement Model'!H66/'3 Statement Model'!H$74</f>
        <v>2.08634925567684E-2</v>
      </c>
      <c r="I51" s="313">
        <f>'3 Statement Model'!I66/'3 Statement Model'!I$74</f>
        <v>2.8215005503591489E-2</v>
      </c>
      <c r="J51" s="313">
        <f>'3 Statement Model'!J66/'3 Statement Model'!J$74</f>
        <v>2.8197318150397097E-2</v>
      </c>
      <c r="K51" s="313">
        <f>'3 Statement Model'!K66/'3 Statement Model'!K$74</f>
        <v>2.7332247308597662E-2</v>
      </c>
      <c r="L51" s="313">
        <f>'3 Statement Model'!L66/'3 Statement Model'!L$74</f>
        <v>2.8196909930416736E-2</v>
      </c>
      <c r="M51" s="313">
        <f>'3 Statement Model'!M66/'3 Statement Model'!M$74</f>
        <v>2.8703855098648926E-2</v>
      </c>
      <c r="N51" s="313">
        <f>'3 Statement Model'!N66/'3 Statement Model'!N$74</f>
        <v>2.8561475009861611E-2</v>
      </c>
    </row>
    <row r="52" spans="2:14">
      <c r="B52" t="str">
        <f>'3 Statement Model'!B67</f>
        <v>Financial Assets</v>
      </c>
      <c r="D52" s="313">
        <f>'3 Statement Model'!D67/'3 Statement Model'!D$74</f>
        <v>3.6755670632096657E-2</v>
      </c>
      <c r="E52" s="313">
        <f>'3 Statement Model'!E67/'3 Statement Model'!E$74</f>
        <v>4.5496427334242501E-2</v>
      </c>
      <c r="F52" s="313">
        <f>'3 Statement Model'!F67/'3 Statement Model'!F$74</f>
        <v>4.1406819243438954E-2</v>
      </c>
      <c r="G52" s="313">
        <f>'3 Statement Model'!G67/'3 Statement Model'!G$74</f>
        <v>7.6268022304787506E-2</v>
      </c>
      <c r="H52" s="313">
        <f>'3 Statement Model'!H67/'3 Statement Model'!H$74</f>
        <v>7.6064690724986728E-2</v>
      </c>
      <c r="I52" s="313">
        <f>'3 Statement Model'!I67/'3 Statement Model'!I$74</f>
        <v>6.6482061674047674E-2</v>
      </c>
      <c r="J52" s="313">
        <f>'3 Statement Model'!J67/'3 Statement Model'!J$74</f>
        <v>6.6440385562881565E-2</v>
      </c>
      <c r="K52" s="313">
        <f>'3 Statement Model'!K67/'3 Statement Model'!K$74</f>
        <v>6.4402048442954024E-2</v>
      </c>
      <c r="L52" s="313">
        <f>'3 Statement Model'!L67/'3 Statement Model'!L$74</f>
        <v>6.5835428927170717E-2</v>
      </c>
      <c r="M52" s="313">
        <f>'3 Statement Model'!M67/'3 Statement Model'!M$74</f>
        <v>6.580053908234558E-2</v>
      </c>
      <c r="N52" s="313">
        <f>'3 Statement Model'!N67/'3 Statement Model'!N$74</f>
        <v>6.428370879961566E-2</v>
      </c>
    </row>
    <row r="53" spans="2:14">
      <c r="B53" t="str">
        <f>'3 Statement Model'!B68</f>
        <v>Deferred Tax</v>
      </c>
      <c r="D53" s="313">
        <f>'3 Statement Model'!D68/'3 Statement Model'!D$74</f>
        <v>7.0310079732359308E-3</v>
      </c>
      <c r="E53" s="313">
        <f>'3 Statement Model'!E68/'3 Statement Model'!E$74</f>
        <v>6.4170437014896328E-3</v>
      </c>
      <c r="F53" s="313">
        <f>'3 Statement Model'!F68/'3 Statement Model'!F$74</f>
        <v>4.984703434702073E-3</v>
      </c>
      <c r="G53" s="313">
        <f>'3 Statement Model'!G68/'3 Statement Model'!G$74</f>
        <v>5.0982371434304856E-3</v>
      </c>
      <c r="H53" s="313">
        <f>'3 Statement Model'!H68/'3 Statement Model'!H$74</f>
        <v>3.6186751954145032E-3</v>
      </c>
      <c r="I53" s="313">
        <f>'3 Statement Model'!I68/'3 Statement Model'!I$74</f>
        <v>0</v>
      </c>
      <c r="J53" s="313">
        <f>'3 Statement Model'!J68/'3 Statement Model'!J$74</f>
        <v>0</v>
      </c>
      <c r="K53" s="313">
        <f>'3 Statement Model'!K68/'3 Statement Model'!K$74</f>
        <v>0</v>
      </c>
      <c r="L53" s="313">
        <f>'3 Statement Model'!L68/'3 Statement Model'!L$74</f>
        <v>0</v>
      </c>
      <c r="M53" s="313">
        <f>'3 Statement Model'!M68/'3 Statement Model'!M$74</f>
        <v>0</v>
      </c>
      <c r="N53" s="313">
        <f>'3 Statement Model'!N68/'3 Statement Model'!N$74</f>
        <v>0</v>
      </c>
    </row>
    <row r="54" spans="2:14">
      <c r="B54" t="str">
        <f>'3 Statement Model'!B69</f>
        <v>Income Tax</v>
      </c>
      <c r="D54" s="313">
        <f>'3 Statement Model'!D69/'3 Statement Model'!D$74</f>
        <v>1.1938193618182536E-2</v>
      </c>
      <c r="E54" s="313">
        <f>'3 Statement Model'!E69/'3 Statement Model'!E$74</f>
        <v>1.5489159250745572E-2</v>
      </c>
      <c r="F54" s="313">
        <f>'3 Statement Model'!F69/'3 Statement Model'!F$74</f>
        <v>1.858695900354199E-2</v>
      </c>
      <c r="G54" s="313">
        <f>'3 Statement Model'!G69/'3 Statement Model'!G$74</f>
        <v>1.958175482976485E-2</v>
      </c>
      <c r="H54" s="313">
        <f>'3 Statement Model'!H69/'3 Statement Model'!H$74</f>
        <v>1.4744029660706039E-2</v>
      </c>
      <c r="I54" s="313">
        <f>'3 Statement Model'!I69/'3 Statement Model'!I$74</f>
        <v>1.4540216658419244E-2</v>
      </c>
      <c r="J54" s="313">
        <f>'3 Statement Model'!J69/'3 Statement Model'!J$74</f>
        <v>1.6512615594538021E-2</v>
      </c>
      <c r="K54" s="313">
        <f>'3 Statement Model'!K69/'3 Statement Model'!K$74</f>
        <v>1.8188661302599943E-2</v>
      </c>
      <c r="L54" s="313">
        <f>'3 Statement Model'!L69/'3 Statement Model'!L$74</f>
        <v>2.1322800280301299E-2</v>
      </c>
      <c r="M54" s="313">
        <f>'3 Statement Model'!M69/'3 Statement Model'!M$74</f>
        <v>2.4666088131867853E-2</v>
      </c>
      <c r="N54" s="313">
        <f>'3 Statement Model'!N69/'3 Statement Model'!N$74</f>
        <v>2.7890609805332232E-2</v>
      </c>
    </row>
    <row r="55" spans="2:14">
      <c r="B55" t="str">
        <f>'3 Statement Model'!B70</f>
        <v>Intangible Non Current Asset - Amount Spend</v>
      </c>
      <c r="D55" s="313">
        <f>'3 Statement Model'!D70/'3 Statement Model'!D$74</f>
        <v>7.7805117089430791E-4</v>
      </c>
      <c r="E55" s="313">
        <f>'3 Statement Model'!E70/'3 Statement Model'!E$74</f>
        <v>4.691205662482351E-4</v>
      </c>
      <c r="F55" s="313">
        <f>'3 Statement Model'!F70/'3 Statement Model'!F$74</f>
        <v>1.8129174943056693E-4</v>
      </c>
      <c r="G55" s="313">
        <f>'3 Statement Model'!G70/'3 Statement Model'!G$74</f>
        <v>5.8741615941720535E-4</v>
      </c>
      <c r="H55" s="313">
        <f>'3 Statement Model'!H70/'3 Statement Model'!H$74</f>
        <v>2.5810684242102489E-4</v>
      </c>
      <c r="I55" s="313">
        <f>'3 Statement Model'!I70/'3 Statement Model'!I$74</f>
        <v>1.1764445580258162E-4</v>
      </c>
      <c r="J55" s="313">
        <f>'3 Statement Model'!J70/'3 Statement Model'!J$74</f>
        <v>1.0688246103248047E-4</v>
      </c>
      <c r="K55" s="313">
        <f>'3 Statement Model'!K70/'3 Statement Model'!K$74</f>
        <v>9.4184273885829318E-5</v>
      </c>
      <c r="L55" s="313">
        <f>'3 Statement Model'!L70/'3 Statement Model'!L$74</f>
        <v>8.8330152638978662E-5</v>
      </c>
      <c r="M55" s="313">
        <f>'3 Statement Model'!M70/'3 Statement Model'!M$74</f>
        <v>8.1743288352253824E-5</v>
      </c>
      <c r="N55" s="313">
        <f>'3 Statement Model'!N70/'3 Statement Model'!N$74</f>
        <v>7.3942974871960316E-5</v>
      </c>
    </row>
    <row r="56" spans="2:14">
      <c r="B56" t="str">
        <f>'3 Statement Model'!B71</f>
        <v>Intangible Non Current Asset - Under Development</v>
      </c>
      <c r="D56" s="313">
        <f>'3 Statement Model'!D71/'3 Statement Model'!D$74</f>
        <v>1.2587351609375013E-4</v>
      </c>
      <c r="E56" s="313">
        <f>'3 Statement Model'!E71/'3 Statement Model'!E$74</f>
        <v>1.3138943973532567E-4</v>
      </c>
      <c r="F56" s="313">
        <f>'3 Statement Model'!F71/'3 Statement Model'!F$74</f>
        <v>3.5181787525833053E-4</v>
      </c>
      <c r="G56" s="313">
        <f>'3 Statement Model'!G71/'3 Statement Model'!G$74</f>
        <v>1.5810372820752937E-5</v>
      </c>
      <c r="H56" s="313">
        <f>'3 Statement Model'!H71/'3 Statement Model'!H$74</f>
        <v>1.9854372493924994E-5</v>
      </c>
      <c r="I56" s="313">
        <f>'3 Statement Model'!I71/'3 Statement Model'!I$74</f>
        <v>1.5146903582738795E-4</v>
      </c>
      <c r="J56" s="313">
        <f>'3 Statement Model'!J71/'3 Statement Model'!J$74</f>
        <v>1.3761208849455707E-4</v>
      </c>
      <c r="K56" s="313">
        <f>'3 Statement Model'!K71/'3 Statement Model'!K$74</f>
        <v>1.2126387388797859E-4</v>
      </c>
      <c r="L56" s="313">
        <f>'3 Statement Model'!L71/'3 Statement Model'!L$74</f>
        <v>1.1372735227124848E-4</v>
      </c>
      <c r="M56" s="313">
        <f>'3 Statement Model'!M71/'3 Statement Model'!M$74</f>
        <v>1.0524729800027778E-4</v>
      </c>
      <c r="N56" s="313">
        <f>'3 Statement Model'!N71/'3 Statement Model'!N$74</f>
        <v>9.5204762292203324E-5</v>
      </c>
    </row>
    <row r="57" spans="2:14" s="16" customFormat="1">
      <c r="B57" s="30" t="str">
        <f>'3 Statement Model'!B72</f>
        <v>Total Non-Current Assests</v>
      </c>
      <c r="C57" s="6"/>
      <c r="D57" s="314">
        <f>'3 Statement Model'!D72/'3 Statement Model'!D$74</f>
        <v>0.51653055610380505</v>
      </c>
      <c r="E57" s="314">
        <f>'3 Statement Model'!E72/'3 Statement Model'!E$74</f>
        <v>0.55988390821598022</v>
      </c>
      <c r="F57" s="314">
        <f>'3 Statement Model'!F72/'3 Statement Model'!F$74</f>
        <v>0.55807344957401339</v>
      </c>
      <c r="G57" s="314">
        <f>'3 Statement Model'!G72/'3 Statement Model'!G$74</f>
        <v>0.56396086324635597</v>
      </c>
      <c r="H57" s="314">
        <f>'3 Statement Model'!H72/'3 Statement Model'!H$74</f>
        <v>0.56231381130577029</v>
      </c>
      <c r="I57" s="314">
        <f>'3 Statement Model'!I72/'3 Statement Model'!I$74</f>
        <v>0.57405657706755997</v>
      </c>
      <c r="J57" s="314">
        <f>'3 Statement Model'!J72/'3 Statement Model'!J$74</f>
        <v>0.55942611544902643</v>
      </c>
      <c r="K57" s="314">
        <f>'3 Statement Model'!K72/'3 Statement Model'!K$74</f>
        <v>0.527263049410996</v>
      </c>
      <c r="L57" s="314">
        <f>'3 Statement Model'!L72/'3 Statement Model'!L$74</f>
        <v>0.52640263608403304</v>
      </c>
      <c r="M57" s="314">
        <f>'3 Statement Model'!M72/'3 Statement Model'!M$74</f>
        <v>0.51595668086297275</v>
      </c>
      <c r="N57" s="314">
        <f>'3 Statement Model'!N72/'3 Statement Model'!N$74</f>
        <v>0.49221275556197647</v>
      </c>
    </row>
    <row r="58" spans="2:14">
      <c r="D58" s="313"/>
      <c r="E58" s="313"/>
      <c r="F58" s="313"/>
      <c r="G58" s="313"/>
      <c r="H58" s="313"/>
      <c r="I58" s="313"/>
      <c r="J58" s="313"/>
      <c r="K58" s="313"/>
      <c r="L58" s="313"/>
      <c r="M58" s="313"/>
      <c r="N58" s="313"/>
    </row>
    <row r="59" spans="2:14" s="16" customFormat="1" ht="15" thickBot="1">
      <c r="B59" s="31" t="str">
        <f>'3 Statement Model'!B74</f>
        <v>Total Assets</v>
      </c>
      <c r="C59" s="31"/>
      <c r="D59" s="316">
        <f>'3 Statement Model'!D74/'3 Statement Model'!D$74</f>
        <v>1</v>
      </c>
      <c r="E59" s="316">
        <f>'3 Statement Model'!E74/'3 Statement Model'!E$74</f>
        <v>1</v>
      </c>
      <c r="F59" s="316">
        <f>'3 Statement Model'!F74/'3 Statement Model'!F$74</f>
        <v>1</v>
      </c>
      <c r="G59" s="316">
        <f>'3 Statement Model'!G74/'3 Statement Model'!G$74</f>
        <v>1</v>
      </c>
      <c r="H59" s="316">
        <f>'3 Statement Model'!H74/'3 Statement Model'!H$74</f>
        <v>1</v>
      </c>
      <c r="I59" s="316">
        <f>'3 Statement Model'!I74/'3 Statement Model'!I$74</f>
        <v>1</v>
      </c>
      <c r="J59" s="316">
        <f>'3 Statement Model'!J74/'3 Statement Model'!J$74</f>
        <v>1</v>
      </c>
      <c r="K59" s="316">
        <f>'3 Statement Model'!K74/'3 Statement Model'!K$74</f>
        <v>1</v>
      </c>
      <c r="L59" s="316">
        <f>'3 Statement Model'!L74/'3 Statement Model'!L$74</f>
        <v>1</v>
      </c>
      <c r="M59" s="316">
        <f>'3 Statement Model'!M74/'3 Statement Model'!M$74</f>
        <v>1</v>
      </c>
      <c r="N59" s="316">
        <f>'3 Statement Model'!N74/'3 Statement Model'!N$74</f>
        <v>1</v>
      </c>
    </row>
    <row r="60" spans="2:14">
      <c r="D60" s="313"/>
      <c r="E60" s="313"/>
      <c r="F60" s="313"/>
      <c r="G60" s="313"/>
      <c r="H60" s="313"/>
      <c r="I60" s="313"/>
      <c r="J60" s="313"/>
      <c r="K60" s="313"/>
      <c r="L60" s="313"/>
      <c r="M60" s="313"/>
      <c r="N60" s="313"/>
    </row>
    <row r="61" spans="2:14">
      <c r="D61" s="313"/>
      <c r="E61" s="313"/>
      <c r="F61" s="313"/>
      <c r="G61" s="313"/>
      <c r="H61" s="313"/>
      <c r="I61" s="313"/>
      <c r="J61" s="313"/>
      <c r="K61" s="313"/>
      <c r="L61" s="313"/>
      <c r="M61" s="313"/>
      <c r="N61" s="313"/>
    </row>
    <row r="62" spans="2:14">
      <c r="B62" s="41" t="str">
        <f>'3 Statement Model'!B77</f>
        <v>Liability and Shareholder's Equity</v>
      </c>
      <c r="D62" s="313"/>
      <c r="E62" s="313"/>
      <c r="F62" s="313"/>
      <c r="G62" s="313"/>
      <c r="H62" s="313"/>
      <c r="I62" s="313"/>
      <c r="J62" s="313"/>
      <c r="K62" s="313"/>
      <c r="L62" s="313"/>
      <c r="M62" s="313"/>
      <c r="N62" s="313"/>
    </row>
    <row r="63" spans="2:14">
      <c r="B63" t="str">
        <f>'3 Statement Model'!B78</f>
        <v>Trade Payables</v>
      </c>
      <c r="D63" s="313">
        <f>'3 Statement Model'!D78/'3 Statement Model'!D$99</f>
        <v>3.6034551734305469E-2</v>
      </c>
      <c r="E63" s="313">
        <f>'3 Statement Model'!E78/'3 Statement Model'!E$99</f>
        <v>6.8573582372345454E-2</v>
      </c>
      <c r="F63" s="313">
        <f>'3 Statement Model'!F78/'3 Statement Model'!F$99</f>
        <v>5.4233544300684784E-2</v>
      </c>
      <c r="G63" s="313">
        <f>'3 Statement Model'!G78/'3 Statement Model'!G$99</f>
        <v>3.8402179399084212E-2</v>
      </c>
      <c r="H63" s="313">
        <f>'3 Statement Model'!H78/'3 Statement Model'!H$99</f>
        <v>3.6045181645927481E-2</v>
      </c>
      <c r="I63" s="313">
        <f>'3 Statement Model'!I78/'3 Statement Model'!I$99</f>
        <v>3.6694286338225662E-2</v>
      </c>
      <c r="J63" s="313">
        <f>'3 Statement Model'!J78/'3 Statement Model'!J$99</f>
        <v>3.6809745569320408E-2</v>
      </c>
      <c r="K63" s="313">
        <f>'3 Statement Model'!K78/'3 Statement Model'!K$99</f>
        <v>3.8789419611112874E-2</v>
      </c>
      <c r="L63" s="313">
        <f>'3 Statement Model'!L78/'3 Statement Model'!L$99</f>
        <v>3.6260450988223038E-2</v>
      </c>
      <c r="M63" s="313">
        <f>'3 Statement Model'!M78/'3 Statement Model'!M$99</f>
        <v>4.0145120742937294E-2</v>
      </c>
      <c r="N63" s="313">
        <f>'3 Statement Model'!N78/'3 Statement Model'!N$99</f>
        <v>4.3452434593308199E-2</v>
      </c>
    </row>
    <row r="64" spans="2:14">
      <c r="B64" t="str">
        <f>'3 Statement Model'!B79</f>
        <v>Provision</v>
      </c>
      <c r="D64" s="313">
        <f>'3 Statement Model'!D79/'3 Statement Model'!D$99</f>
        <v>7.1449886603501661E-5</v>
      </c>
      <c r="E64" s="313">
        <f>'3 Statement Model'!E79/'3 Statement Model'!E$99</f>
        <v>6.6923980232797123E-5</v>
      </c>
      <c r="F64" s="313">
        <f>'3 Statement Model'!F79/'3 Statement Model'!F$99</f>
        <v>5.1985962640852432E-5</v>
      </c>
      <c r="G64" s="313">
        <f>'3 Statement Model'!G79/'3 Statement Model'!G$99</f>
        <v>7.1633150703257547E-3</v>
      </c>
      <c r="H64" s="313">
        <f>'3 Statement Model'!H79/'3 Statement Model'!H$99</f>
        <v>1.5078964292342687E-2</v>
      </c>
      <c r="I64" s="313">
        <f>'3 Statement Model'!I79/'3 Statement Model'!I$99</f>
        <v>1.9271761244863132E-2</v>
      </c>
      <c r="J64" s="313">
        <f>'3 Statement Model'!J79/'3 Statement Model'!J$99</f>
        <v>2.0356904746669614E-2</v>
      </c>
      <c r="K64" s="313">
        <f>'3 Statement Model'!K79/'3 Statement Model'!K$99</f>
        <v>2.1451724481903332E-2</v>
      </c>
      <c r="L64" s="313">
        <f>'3 Statement Model'!L79/'3 Statement Model'!L$99</f>
        <v>2.4063753837638927E-2</v>
      </c>
      <c r="M64" s="313">
        <f>'3 Statement Model'!M79/'3 Statement Model'!M$99</f>
        <v>1.7761174631723772E-2</v>
      </c>
      <c r="N64" s="313">
        <f>'3 Statement Model'!N79/'3 Statement Model'!N$99</f>
        <v>1.9224410456433322E-2</v>
      </c>
    </row>
    <row r="65" spans="2:14">
      <c r="B65" t="str">
        <f>'3 Statement Model'!B80</f>
        <v>Other Current Liability</v>
      </c>
      <c r="D65" s="313">
        <f>'3 Statement Model'!D80/'3 Statement Model'!D$99</f>
        <v>3.7359231702807125E-2</v>
      </c>
      <c r="E65" s="313">
        <f>'3 Statement Model'!E80/'3 Statement Model'!E$99</f>
        <v>1.6541188555094299E-2</v>
      </c>
      <c r="F65" s="313">
        <f>'3 Statement Model'!F80/'3 Statement Model'!F$99</f>
        <v>4.8952321452935326E-3</v>
      </c>
      <c r="G65" s="313">
        <f>'3 Statement Model'!G80/'3 Statement Model'!G$99</f>
        <v>7.9458069067005574E-2</v>
      </c>
      <c r="H65" s="313">
        <f>'3 Statement Model'!H80/'3 Statement Model'!H$99</f>
        <v>7.2275958512993829E-2</v>
      </c>
      <c r="I65" s="313">
        <f>'3 Statement Model'!I80/'3 Statement Model'!I$99</f>
        <v>6.4452681245363116E-2</v>
      </c>
      <c r="J65" s="313">
        <f>'3 Statement Model'!J80/'3 Statement Model'!J$99</f>
        <v>6.4412277307204488E-2</v>
      </c>
      <c r="K65" s="313">
        <f>'3 Statement Model'!K80/'3 Statement Model'!K$99</f>
        <v>6.1300957977463433E-2</v>
      </c>
      <c r="L65" s="313">
        <f>'3 Statement Model'!L80/'3 Statement Model'!L$99</f>
        <v>6.2090407080519931E-2</v>
      </c>
      <c r="M65" s="313">
        <f>'3 Statement Model'!M80/'3 Statement Model'!M$99</f>
        <v>6.2057501930459065E-2</v>
      </c>
      <c r="N65" s="313">
        <f>'3 Statement Model'!N80/'3 Statement Model'!N$99</f>
        <v>6.0626955927167346E-2</v>
      </c>
    </row>
    <row r="66" spans="2:14">
      <c r="B66" t="str">
        <f>'3 Statement Model'!B81</f>
        <v>Financial Liability</v>
      </c>
      <c r="D66" s="313">
        <f>'3 Statement Model'!D81/'3 Statement Model'!D$99</f>
        <v>0.21364101444623332</v>
      </c>
      <c r="E66" s="313">
        <f>'3 Statement Model'!E81/'3 Statement Model'!E$99</f>
        <v>0.24809317784864993</v>
      </c>
      <c r="F66" s="313">
        <f>'3 Statement Model'!F81/'3 Statement Model'!F$99</f>
        <v>0.21344672357371924</v>
      </c>
      <c r="G66" s="313">
        <f>'3 Statement Model'!G81/'3 Statement Model'!G$99</f>
        <v>0.16317034460531837</v>
      </c>
      <c r="H66" s="313">
        <f>'3 Statement Model'!H81/'3 Statement Model'!H$99</f>
        <v>0.10480950592825666</v>
      </c>
      <c r="I66" s="313">
        <f>'3 Statement Model'!I81/'3 Statement Model'!I$99</f>
        <v>9.7635992385411693E-2</v>
      </c>
      <c r="J66" s="313">
        <f>'3 Statement Model'!J81/'3 Statement Model'!J$99</f>
        <v>9.499888881779156E-2</v>
      </c>
      <c r="K66" s="313">
        <f>'3 Statement Model'!K81/'3 Statement Model'!K$99</f>
        <v>0.10010804758221557</v>
      </c>
      <c r="L66" s="313">
        <f>'3 Statement Model'!L81/'3 Statement Model'!L$99</f>
        <v>0.11229751790898165</v>
      </c>
      <c r="M66" s="313">
        <f>'3 Statement Model'!M81/'3 Statement Model'!M$99</f>
        <v>0.1243282224220664</v>
      </c>
      <c r="N66" s="313">
        <f>'3 Statement Model'!N81/'3 Statement Model'!N$99</f>
        <v>0.13457087319503327</v>
      </c>
    </row>
    <row r="67" spans="2:14">
      <c r="B67" t="str">
        <f>'3 Statement Model'!B82</f>
        <v>Current tax liabilities (net)</v>
      </c>
      <c r="D67" s="313">
        <f>'3 Statement Model'!D82/'3 Statement Model'!D$99</f>
        <v>4.1633588768226495E-2</v>
      </c>
      <c r="E67" s="313">
        <f>'3 Statement Model'!E82/'3 Statement Model'!E$99</f>
        <v>7.3070238544827262E-2</v>
      </c>
      <c r="F67" s="313">
        <f>'3 Statement Model'!F82/'3 Statement Model'!F$99</f>
        <v>8.5889463342789685E-2</v>
      </c>
      <c r="G67" s="313">
        <f>'3 Statement Model'!G82/'3 Statement Model'!G$99</f>
        <v>3.770165826487239E-5</v>
      </c>
      <c r="H67" s="313">
        <f>'3 Statement Model'!H82/'3 Statement Model'!H$99</f>
        <v>2.6760241187464123E-5</v>
      </c>
      <c r="I67" s="313">
        <f>'3 Statement Model'!I82/'3 Statement Model'!I$99</f>
        <v>3.1617158852694188E-5</v>
      </c>
      <c r="J67" s="313">
        <f>'3 Statement Model'!J82/'3 Statement Model'!J$99</f>
        <v>2.8724853423621128E-5</v>
      </c>
      <c r="K67" s="313">
        <f>'3 Statement Model'!K82/'3 Statement Model'!K$99</f>
        <v>2.5312362025160583E-5</v>
      </c>
      <c r="L67" s="313">
        <f>'3 Statement Model'!L82/'3 Statement Model'!L$99</f>
        <v>2.3739204600309152E-5</v>
      </c>
      <c r="M67" s="313">
        <f>'3 Statement Model'!M82/'3 Statement Model'!M$99</f>
        <v>2.1969096184524002E-5</v>
      </c>
      <c r="N67" s="313">
        <f>'3 Statement Model'!N82/'3 Statement Model'!N$99</f>
        <v>1.987283873089681E-5</v>
      </c>
    </row>
    <row r="68" spans="2:14">
      <c r="B68" t="str">
        <f>'3 Statement Model'!B83</f>
        <v>Deferred incentives</v>
      </c>
      <c r="D68" s="313">
        <f>'3 Statement Model'!D83/'3 Statement Model'!D$99</f>
        <v>1.1057311287342292E-3</v>
      </c>
      <c r="E68" s="313">
        <f>'3 Statement Model'!E83/'3 Statement Model'!E$99</f>
        <v>1.0357116888823387E-3</v>
      </c>
      <c r="F68" s="313">
        <f>'3 Statement Model'!F83/'3 Statement Model'!F$99</f>
        <v>8.0453178334042241E-4</v>
      </c>
      <c r="G68" s="313">
        <f>'3 Statement Model'!G83/'3 Statement Model'!G$99</f>
        <v>5.7890288174449226E-4</v>
      </c>
      <c r="H68" s="313">
        <f>'3 Statement Model'!H83/'3 Statement Model'!H$99</f>
        <v>2.2271426536663689E-4</v>
      </c>
      <c r="I68" s="313">
        <f>'3 Statement Model'!I83/'3 Statement Model'!I$99</f>
        <v>3.5293572672774906E-5</v>
      </c>
      <c r="J68" s="313">
        <f>'3 Statement Model'!J83/'3 Statement Model'!J$99</f>
        <v>2.8724853423621128E-5</v>
      </c>
      <c r="K68" s="313">
        <f>'3 Statement Model'!K83/'3 Statement Model'!K$99</f>
        <v>2.5312362025160583E-5</v>
      </c>
      <c r="L68" s="313">
        <f>'3 Statement Model'!L83/'3 Statement Model'!L$99</f>
        <v>2.3739204600309152E-5</v>
      </c>
      <c r="M68" s="313">
        <f>'3 Statement Model'!M83/'3 Statement Model'!M$99</f>
        <v>2.1969096184524002E-5</v>
      </c>
      <c r="N68" s="313">
        <f>'3 Statement Model'!N83/'3 Statement Model'!N$99</f>
        <v>1.987283873089681E-5</v>
      </c>
    </row>
    <row r="69" spans="2:14">
      <c r="B69" t="str">
        <f>'3 Statement Model'!B84</f>
        <v>Other financial liabilities</v>
      </c>
      <c r="D69" s="313">
        <f>'3 Statement Model'!D84/'3 Statement Model'!D$99</f>
        <v>0.10971738666325616</v>
      </c>
      <c r="E69" s="313">
        <f>'3 Statement Model'!E84/'3 Statement Model'!E$99</f>
        <v>8.0344870844768171E-2</v>
      </c>
      <c r="F69" s="313">
        <f>'3 Statement Model'!F84/'3 Statement Model'!F$99</f>
        <v>4.377500292843553E-2</v>
      </c>
      <c r="G69" s="313">
        <f>'3 Statement Model'!G84/'3 Statement Model'!G$99</f>
        <v>8.5751813632189922E-2</v>
      </c>
      <c r="H69" s="313">
        <f>'3 Statement Model'!H84/'3 Statement Model'!H$99</f>
        <v>6.6920457341154233E-2</v>
      </c>
      <c r="I69" s="313">
        <f>'3 Statement Model'!I84/'3 Statement Model'!I$99</f>
        <v>6.3278434671229344E-2</v>
      </c>
      <c r="J69" s="313">
        <f>'3 Statement Model'!J84/'3 Statement Model'!J$99</f>
        <v>6.1070714240008844E-2</v>
      </c>
      <c r="K69" s="313">
        <f>'3 Statement Model'!K84/'3 Statement Model'!K$99</f>
        <v>6.4355173445709998E-2</v>
      </c>
      <c r="L69" s="313">
        <f>'3 Statement Model'!L84/'3 Statement Model'!L$99</f>
        <v>6.4170010233703806E-2</v>
      </c>
      <c r="M69" s="313">
        <f>'3 Statement Model'!M84/'3 Statement Model'!M$99</f>
        <v>7.1044698526895086E-2</v>
      </c>
      <c r="N69" s="313">
        <f>'3 Statement Model'!N84/'3 Statement Model'!N$99</f>
        <v>7.689764182573329E-2</v>
      </c>
    </row>
    <row r="70" spans="2:14" s="16" customFormat="1">
      <c r="B70" s="30" t="str">
        <f>'3 Statement Model'!B85</f>
        <v>Total Current Liability</v>
      </c>
      <c r="C70" s="6"/>
      <c r="D70" s="314">
        <f>'3 Statement Model'!D85/'3 Statement Model'!D$99</f>
        <v>0.43956295433016623</v>
      </c>
      <c r="E70" s="314">
        <f>'3 Statement Model'!E85/'3 Statement Model'!E$99</f>
        <v>0.48772569383480024</v>
      </c>
      <c r="F70" s="314">
        <f>'3 Statement Model'!F85/'3 Statement Model'!F$99</f>
        <v>0.40309648403690407</v>
      </c>
      <c r="G70" s="314">
        <f>'3 Statement Model'!G85/'3 Statement Model'!G$99</f>
        <v>0.37456232631393321</v>
      </c>
      <c r="H70" s="314">
        <f>'3 Statement Model'!H85/'3 Statement Model'!H$99</f>
        <v>0.29537954222722895</v>
      </c>
      <c r="I70" s="314">
        <f>'3 Statement Model'!I85/'3 Statement Model'!I$99</f>
        <v>0.28140006661661843</v>
      </c>
      <c r="J70" s="314">
        <f>'3 Statement Model'!J85/'3 Statement Model'!J$99</f>
        <v>0.27770598038784217</v>
      </c>
      <c r="K70" s="314">
        <f>'3 Statement Model'!K85/'3 Statement Model'!K$99</f>
        <v>0.28605594782245553</v>
      </c>
      <c r="L70" s="314">
        <f>'3 Statement Model'!L85/'3 Statement Model'!L$99</f>
        <v>0.29892961845826793</v>
      </c>
      <c r="M70" s="314">
        <f>'3 Statement Model'!M85/'3 Statement Model'!M$99</f>
        <v>0.31538065644645064</v>
      </c>
      <c r="N70" s="314">
        <f>'3 Statement Model'!N85/'3 Statement Model'!N$99</f>
        <v>0.33481206167513722</v>
      </c>
    </row>
    <row r="71" spans="2:14">
      <c r="D71" s="313"/>
      <c r="E71" s="313"/>
      <c r="F71" s="313"/>
      <c r="G71" s="313"/>
      <c r="H71" s="313"/>
      <c r="I71" s="313"/>
      <c r="J71" s="313"/>
      <c r="K71" s="313"/>
      <c r="L71" s="313"/>
      <c r="M71" s="313"/>
      <c r="N71" s="313"/>
    </row>
    <row r="72" spans="2:14">
      <c r="D72" s="313"/>
      <c r="E72" s="313"/>
      <c r="F72" s="313"/>
      <c r="G72" s="313"/>
      <c r="H72" s="313"/>
      <c r="I72" s="313"/>
      <c r="J72" s="313"/>
      <c r="K72" s="313"/>
      <c r="L72" s="313"/>
      <c r="M72" s="313"/>
      <c r="N72" s="313"/>
    </row>
    <row r="73" spans="2:14">
      <c r="B73" t="str">
        <f>'3 Statement Model'!B87</f>
        <v>Financial liabilities</v>
      </c>
      <c r="D73" s="313">
        <f>'3 Statement Model'!D87/'3 Statement Model'!D$99</f>
        <v>0.47994445119739304</v>
      </c>
      <c r="E73" s="313">
        <f>'3 Statement Model'!E87/'3 Statement Model'!E$99</f>
        <v>0.55425130668201128</v>
      </c>
      <c r="F73" s="313">
        <f>'3 Statement Model'!F87/'3 Statement Model'!F$99</f>
        <v>0.54461226254553874</v>
      </c>
      <c r="G73" s="313">
        <f>'3 Statement Model'!G87/'3 Statement Model'!G$99</f>
        <v>0.46048927022967606</v>
      </c>
      <c r="H73" s="313">
        <f>'3 Statement Model'!H87/'3 Statement Model'!H$99</f>
        <v>0.47191512687375642</v>
      </c>
      <c r="I73" s="313">
        <f>'3 Statement Model'!I87/'3 Statement Model'!I$99</f>
        <v>0.47404047437502805</v>
      </c>
      <c r="J73" s="313">
        <f>'3 Statement Model'!J87/'3 Statement Model'!J$99</f>
        <v>0.45220952227440564</v>
      </c>
      <c r="K73" s="313">
        <f>'3 Statement Model'!K87/'3 Statement Model'!K$99</f>
        <v>0.41841173282029875</v>
      </c>
      <c r="L73" s="313">
        <f>'3 Statement Model'!L87/'3 Statement Model'!L$99</f>
        <v>0.4120279177760513</v>
      </c>
      <c r="M73" s="313">
        <f>'3 Statement Model'!M87/'3 Statement Model'!M$99</f>
        <v>0.38893125236966036</v>
      </c>
      <c r="N73" s="313">
        <f>'3 Statement Model'!N87/'3 Statement Model'!N$99</f>
        <v>0.3588564295338017</v>
      </c>
    </row>
    <row r="74" spans="2:14">
      <c r="B74" t="str">
        <f>'3 Statement Model'!B88</f>
        <v>Other financial liabilities</v>
      </c>
      <c r="D74" s="313">
        <f>'3 Statement Model'!D88/'3 Statement Model'!D$99</f>
        <v>6.0507763868716834E-2</v>
      </c>
      <c r="E74" s="313">
        <f>'3 Statement Model'!E88/'3 Statement Model'!E$99</f>
        <v>7.1999846483873697E-2</v>
      </c>
      <c r="F74" s="313">
        <f>'3 Statement Model'!F88/'3 Statement Model'!F$99</f>
        <v>0.13319476268805219</v>
      </c>
      <c r="G74" s="313">
        <f>'3 Statement Model'!G88/'3 Statement Model'!G$99</f>
        <v>0.11230594287590681</v>
      </c>
      <c r="H74" s="313">
        <f>'3 Statement Model'!H88/'3 Statement Model'!H$99</f>
        <v>0.130514012439196</v>
      </c>
      <c r="I74" s="313">
        <f>'3 Statement Model'!I88/'3 Statement Model'!I$99</f>
        <v>0.16846136934650274</v>
      </c>
      <c r="J74" s="313">
        <f>'3 Statement Model'!J88/'3 Statement Model'!J$99</f>
        <v>0.18999777763558312</v>
      </c>
      <c r="K74" s="313">
        <f>'3 Statement Model'!K88/'3 Statement Model'!K$99</f>
        <v>0.20021609516443115</v>
      </c>
      <c r="L74" s="313">
        <f>'3 Statement Model'!L88/'3 Statement Model'!L$99</f>
        <v>0.17646752814268543</v>
      </c>
      <c r="M74" s="313">
        <f>'3 Statement Model'!M88/'3 Statement Model'!M$99</f>
        <v>0.16873115900137581</v>
      </c>
      <c r="N74" s="313">
        <f>'3 Statement Model'!N88/'3 Statement Model'!N$99</f>
        <v>0.16340748887968326</v>
      </c>
    </row>
    <row r="75" spans="2:14">
      <c r="B75" t="str">
        <f>'3 Statement Model'!B89</f>
        <v>Provisions</v>
      </c>
      <c r="D75" s="313">
        <f>'3 Statement Model'!D89/'3 Statement Model'!D$99</f>
        <v>1.2828785328931841E-2</v>
      </c>
      <c r="E75" s="313">
        <f>'3 Statement Model'!E89/'3 Statement Model'!E$99</f>
        <v>1.2829736038854898E-2</v>
      </c>
      <c r="F75" s="313">
        <f>'3 Statement Model'!F89/'3 Statement Model'!F$99</f>
        <v>2.2586751532905656E-2</v>
      </c>
      <c r="G75" s="313">
        <f>'3 Statement Model'!G89/'3 Statement Model'!G$99</f>
        <v>2.7122086482739328E-2</v>
      </c>
      <c r="H75" s="313">
        <f>'3 Statement Model'!H89/'3 Statement Model'!H$99</f>
        <v>2.0785801533966083E-2</v>
      </c>
      <c r="I75" s="313">
        <f>'3 Statement Model'!I89/'3 Statement Model'!I$99</f>
        <v>2.4337859488934362E-2</v>
      </c>
      <c r="J75" s="313">
        <f>'3 Statement Model'!J89/'3 Statement Model'!J$99</f>
        <v>2.6533748325261192E-2</v>
      </c>
      <c r="K75" s="313">
        <f>'3 Statement Model'!K89/'3 Statement Model'!K$99</f>
        <v>2.8057870315517534E-2</v>
      </c>
      <c r="L75" s="313">
        <f>'3 Statement Model'!L89/'3 Statement Model'!L$99</f>
        <v>3.1576896225185176E-2</v>
      </c>
      <c r="M75" s="313">
        <f>'3 Statement Model'!M89/'3 Statement Model'!M$99</f>
        <v>3.5066846529683234E-2</v>
      </c>
      <c r="N75" s="313">
        <f>'3 Statement Model'!N89/'3 Statement Model'!N$99</f>
        <v>3.8064986198735738E-2</v>
      </c>
    </row>
    <row r="76" spans="2:14">
      <c r="B76" t="str">
        <f>'3 Statement Model'!B90</f>
        <v>Other non-current liabilities</v>
      </c>
      <c r="D76" s="313">
        <f>'3 Statement Model'!D90/'3 Statement Model'!D$99</f>
        <v>5.6188971291895487E-4</v>
      </c>
      <c r="E76" s="313">
        <f>'3 Statement Model'!E90/'3 Statement Model'!E$99</f>
        <v>7.4580205409624587E-4</v>
      </c>
      <c r="F76" s="313">
        <f>'3 Statement Model'!F90/'3 Statement Model'!F$99</f>
        <v>7.6385226055871499E-4</v>
      </c>
      <c r="G76" s="313">
        <f>'3 Statement Model'!G90/'3 Statement Model'!G$99</f>
        <v>8.7200287019075819E-4</v>
      </c>
      <c r="H76" s="313">
        <f>'3 Statement Model'!H90/'3 Statement Model'!H$99</f>
        <v>4.9463284517474004E-4</v>
      </c>
      <c r="I76" s="313">
        <f>'3 Statement Model'!I90/'3 Statement Model'!I$99</f>
        <v>3.8308232005241098E-4</v>
      </c>
      <c r="J76" s="313">
        <f>'3 Statement Model'!J90/'3 Statement Model'!J$99</f>
        <v>6.785634915556539E-4</v>
      </c>
      <c r="K76" s="313">
        <f>'3 Statement Model'!K90/'3 Statement Model'!K$99</f>
        <v>7.1505748273011116E-4</v>
      </c>
      <c r="L76" s="313">
        <f>'3 Statement Model'!L90/'3 Statement Model'!L$99</f>
        <v>8.0212512792129746E-4</v>
      </c>
      <c r="M76" s="313">
        <f>'3 Statement Model'!M90/'3 Statement Model'!M$99</f>
        <v>8.8805873158618849E-4</v>
      </c>
      <c r="N76" s="313">
        <f>'3 Statement Model'!N90/'3 Statement Model'!N$99</f>
        <v>9.612205228216661E-4</v>
      </c>
    </row>
    <row r="77" spans="2:14">
      <c r="B77" t="str">
        <f>'3 Statement Model'!B91</f>
        <v>Non controlling interest</v>
      </c>
      <c r="D77" s="313">
        <f>'3 Statement Model'!D91/'3 Statement Model'!D$99</f>
        <v>0</v>
      </c>
      <c r="E77" s="313">
        <f>'3 Statement Model'!E91/'3 Statement Model'!E$99</f>
        <v>0</v>
      </c>
      <c r="F77" s="313">
        <f>'3 Statement Model'!F91/'3 Statement Model'!F$99</f>
        <v>0</v>
      </c>
      <c r="G77" s="313">
        <f>'3 Statement Model'!G91/'3 Statement Model'!G$99</f>
        <v>0</v>
      </c>
      <c r="H77" s="313">
        <f>'3 Statement Model'!H91/'3 Statement Model'!H$99</f>
        <v>0</v>
      </c>
      <c r="I77" s="313">
        <f>'3 Statement Model'!I91/'3 Statement Model'!I$99</f>
        <v>1.1985109053463146E-4</v>
      </c>
      <c r="J77" s="313">
        <f>'3 Statement Model'!J91/'3 Statement Model'!J$99</f>
        <v>0</v>
      </c>
      <c r="K77" s="313">
        <f>'3 Statement Model'!K91/'3 Statement Model'!K$99</f>
        <v>0</v>
      </c>
      <c r="L77" s="313">
        <f>'3 Statement Model'!L91/'3 Statement Model'!L$99</f>
        <v>0</v>
      </c>
      <c r="M77" s="313">
        <f>'3 Statement Model'!M91/'3 Statement Model'!M$99</f>
        <v>0</v>
      </c>
      <c r="N77" s="313">
        <f>'3 Statement Model'!N91/'3 Statement Model'!N$99</f>
        <v>0</v>
      </c>
    </row>
    <row r="78" spans="2:14">
      <c r="B78" t="str">
        <f>'3 Statement Model'!B92</f>
        <v>Deferred incentives</v>
      </c>
      <c r="D78" s="313">
        <f>'3 Statement Model'!D92/'3 Statement Model'!D$99</f>
        <v>4.0191025778101696E-3</v>
      </c>
      <c r="E78" s="313">
        <f>'3 Statement Model'!E92/'3 Statement Model'!E$99</f>
        <v>2.7288057128537426E-3</v>
      </c>
      <c r="F78" s="313">
        <f>'3 Statement Model'!F92/'3 Statement Model'!F$99</f>
        <v>1.3151806328831259E-3</v>
      </c>
      <c r="G78" s="313">
        <f>'3 Statement Model'!G92/'3 Statement Model'!G$99</f>
        <v>3.6728712245133748E-4</v>
      </c>
      <c r="H78" s="313">
        <f>'3 Statement Model'!H92/'3 Statement Model'!H$99</f>
        <v>4.1435212161234767E-5</v>
      </c>
      <c r="I78" s="313">
        <f>'3 Statement Model'!I92/'3 Statement Model'!I$99</f>
        <v>0</v>
      </c>
      <c r="J78" s="313">
        <f>'3 Statement Model'!J92/'3 Statement Model'!J$99</f>
        <v>0</v>
      </c>
      <c r="K78" s="313">
        <f>'3 Statement Model'!K92/'3 Statement Model'!K$99</f>
        <v>0</v>
      </c>
      <c r="L78" s="313">
        <f>'3 Statement Model'!L92/'3 Statement Model'!L$99</f>
        <v>0</v>
      </c>
      <c r="M78" s="313">
        <f>'3 Statement Model'!M92/'3 Statement Model'!M$99</f>
        <v>0</v>
      </c>
      <c r="N78" s="313">
        <f>'3 Statement Model'!N92/'3 Statement Model'!N$99</f>
        <v>0</v>
      </c>
    </row>
    <row r="79" spans="2:14" s="16" customFormat="1">
      <c r="B79" s="30" t="str">
        <f>'3 Statement Model'!B93</f>
        <v>Total Non-Current Liability</v>
      </c>
      <c r="C79" s="6"/>
      <c r="D79" s="314">
        <f>'3 Statement Model'!D93/'3 Statement Model'!D$99</f>
        <v>0.55786199268577086</v>
      </c>
      <c r="E79" s="314">
        <f>'3 Statement Model'!E93/'3 Statement Model'!E$99</f>
        <v>0.64255549697168979</v>
      </c>
      <c r="F79" s="314">
        <f>'3 Statement Model'!F93/'3 Statement Model'!F$99</f>
        <v>0.70247280965993841</v>
      </c>
      <c r="G79" s="314">
        <f>'3 Statement Model'!G93/'3 Statement Model'!G$99</f>
        <v>0.6011565895809643</v>
      </c>
      <c r="H79" s="314">
        <f>'3 Statement Model'!H93/'3 Statement Model'!H$99</f>
        <v>0.6237510089042545</v>
      </c>
      <c r="I79" s="314">
        <f>'3 Statement Model'!I93/'3 Statement Model'!I$99</f>
        <v>0.6673426366210522</v>
      </c>
      <c r="J79" s="314">
        <f>'3 Statement Model'!J93/'3 Statement Model'!J$99</f>
        <v>0.66941961172680564</v>
      </c>
      <c r="K79" s="314">
        <f>'3 Statement Model'!K93/'3 Statement Model'!K$99</f>
        <v>0.64740075578297751</v>
      </c>
      <c r="L79" s="314">
        <f>'3 Statement Model'!L93/'3 Statement Model'!L$99</f>
        <v>0.62087446727184326</v>
      </c>
      <c r="M79" s="314">
        <f>'3 Statement Model'!M93/'3 Statement Model'!M$99</f>
        <v>0.59361731663230555</v>
      </c>
      <c r="N79" s="314">
        <f>'3 Statement Model'!N93/'3 Statement Model'!N$99</f>
        <v>0.56129012513504239</v>
      </c>
    </row>
    <row r="80" spans="2:14">
      <c r="D80" s="313"/>
      <c r="E80" s="313"/>
      <c r="F80" s="313"/>
      <c r="G80" s="313"/>
      <c r="H80" s="313"/>
      <c r="I80" s="313"/>
      <c r="J80" s="313"/>
      <c r="K80" s="313"/>
      <c r="L80" s="313"/>
      <c r="M80" s="313"/>
      <c r="N80" s="313"/>
    </row>
    <row r="81" spans="2:14">
      <c r="B81" t="str">
        <f>'3 Statement Model'!B95</f>
        <v>Equity share capital</v>
      </c>
      <c r="D81" s="313">
        <f>'3 Statement Model'!D95/'3 Statement Model'!D$99</f>
        <v>8.9407593798939613E-3</v>
      </c>
      <c r="E81" s="313">
        <f>'3 Statement Model'!E95/'3 Statement Model'!E$99</f>
        <v>8.3819239286691324E-3</v>
      </c>
      <c r="F81" s="313">
        <f>'3 Statement Model'!F95/'3 Statement Model'!F$99</f>
        <v>6.5159401619937357E-3</v>
      </c>
      <c r="G81" s="313">
        <f>'3 Statement Model'!G95/'3 Statement Model'!G$99</f>
        <v>4.6944645452389492E-3</v>
      </c>
      <c r="H81" s="313">
        <f>'3 Statement Model'!H95/'3 Statement Model'!H$99</f>
        <v>3.335534578979399E-3</v>
      </c>
      <c r="I81" s="313">
        <f>'3 Statement Model'!I95/'3 Statement Model'!I$99</f>
        <v>2.842603165686412E-3</v>
      </c>
      <c r="J81" s="313">
        <f>'3 Statement Model'!J95/'3 Statement Model'!J$99</f>
        <v>2.5825647287376578E-3</v>
      </c>
      <c r="K81" s="313">
        <f>'3 Statement Model'!K95/'3 Statement Model'!K$99</f>
        <v>2.2757579439365307E-3</v>
      </c>
      <c r="L81" s="313">
        <f>'3 Statement Model'!L95/'3 Statement Model'!L$99</f>
        <v>2.1343201159254692E-3</v>
      </c>
      <c r="M81" s="313">
        <f>'3 Statement Model'!M95/'3 Statement Model'!M$99</f>
        <v>1.9751750197527858E-3</v>
      </c>
      <c r="N81" s="313">
        <f>'3 Statement Model'!N95/'3 Statement Model'!N$99</f>
        <v>1.7867068496196993E-3</v>
      </c>
    </row>
    <row r="82" spans="2:14">
      <c r="B82" t="str">
        <f>'3 Statement Model'!B96</f>
        <v>Other equity</v>
      </c>
      <c r="D82" s="313">
        <f>'3 Statement Model'!D96/'3 Statement Model'!D$99</f>
        <v>-6.3657063958310256E-3</v>
      </c>
      <c r="E82" s="313">
        <f>'3 Statement Model'!E96/'3 Statement Model'!E$99</f>
        <v>-0.13866311473515922</v>
      </c>
      <c r="F82" s="313">
        <f>'3 Statement Model'!F96/'3 Statement Model'!F$99</f>
        <v>-0.11208523385883606</v>
      </c>
      <c r="G82" s="313">
        <f>'3 Statement Model'!G96/'3 Statement Model'!G$99</f>
        <v>1.9586619559863544E-2</v>
      </c>
      <c r="H82" s="313">
        <f>'3 Statement Model'!H96/'3 Statement Model'!H$99</f>
        <v>7.7533914289537181E-2</v>
      </c>
      <c r="I82" s="313">
        <f>'3 Statement Model'!I96/'3 Statement Model'!I$99</f>
        <v>4.8414693596642994E-2</v>
      </c>
      <c r="J82" s="313">
        <f>'3 Statement Model'!J96/'3 Statement Model'!J$99</f>
        <v>5.0291843156614544E-2</v>
      </c>
      <c r="K82" s="313">
        <f>'3 Statement Model'!K96/'3 Statement Model'!K$99</f>
        <v>6.4267538450630449E-2</v>
      </c>
      <c r="L82" s="313">
        <f>'3 Statement Model'!L96/'3 Statement Model'!L$99</f>
        <v>7.8061594153963312E-2</v>
      </c>
      <c r="M82" s="313">
        <f>'3 Statement Model'!M96/'3 Statement Model'!M$99</f>
        <v>8.9026851901491094E-2</v>
      </c>
      <c r="N82" s="313">
        <f>'3 Statement Model'!N96/'3 Statement Model'!N$99</f>
        <v>0.10211110634020079</v>
      </c>
    </row>
    <row r="83" spans="2:14" s="16" customFormat="1">
      <c r="B83" s="30" t="str">
        <f>'3 Statement Model'!B97</f>
        <v>Total Shareholder's Equity</v>
      </c>
      <c r="C83" s="6"/>
      <c r="D83" s="314">
        <f>'3 Statement Model'!D97/'3 Statement Model'!D$99</f>
        <v>2.5750529840629349E-3</v>
      </c>
      <c r="E83" s="314">
        <f>'3 Statement Model'!E97/'3 Statement Model'!E$99</f>
        <v>-0.13028119080649009</v>
      </c>
      <c r="F83" s="314">
        <f>'3 Statement Model'!F97/'3 Statement Model'!F$99</f>
        <v>-0.10556929369684231</v>
      </c>
      <c r="G83" s="314">
        <f>'3 Statement Model'!G97/'3 Statement Model'!G$99</f>
        <v>2.4281084105102494E-2</v>
      </c>
      <c r="H83" s="314">
        <f>'3 Statement Model'!H97/'3 Statement Model'!H$99</f>
        <v>8.0869448868516575E-2</v>
      </c>
      <c r="I83" s="314">
        <f>'3 Statement Model'!I97/'3 Statement Model'!I$99</f>
        <v>5.1257296762329402E-2</v>
      </c>
      <c r="J83" s="314">
        <f>'3 Statement Model'!J97/'3 Statement Model'!J$99</f>
        <v>5.28744078853522E-2</v>
      </c>
      <c r="K83" s="314">
        <f>'3 Statement Model'!K97/'3 Statement Model'!K$99</f>
        <v>6.6543296394566992E-2</v>
      </c>
      <c r="L83" s="314">
        <f>'3 Statement Model'!L97/'3 Statement Model'!L$99</f>
        <v>8.0195914269888785E-2</v>
      </c>
      <c r="M83" s="314">
        <f>'3 Statement Model'!M97/'3 Statement Model'!M$99</f>
        <v>9.1002026921243886E-2</v>
      </c>
      <c r="N83" s="314">
        <f>'3 Statement Model'!N97/'3 Statement Model'!N$99</f>
        <v>0.10389781318982048</v>
      </c>
    </row>
    <row r="84" spans="2:14">
      <c r="D84" s="313"/>
      <c r="E84" s="313"/>
      <c r="F84" s="313"/>
      <c r="G84" s="313"/>
      <c r="H84" s="313"/>
      <c r="I84" s="313"/>
      <c r="J84" s="313"/>
      <c r="K84" s="313"/>
      <c r="L84" s="313"/>
      <c r="M84" s="313"/>
      <c r="N84" s="313"/>
    </row>
    <row r="85" spans="2:14" s="16" customFormat="1" ht="15" thickBot="1">
      <c r="B85" s="31" t="str">
        <f>'3 Statement Model'!B99</f>
        <v>Total Liability and Shareholder's Equity</v>
      </c>
      <c r="C85" s="31"/>
      <c r="D85" s="316">
        <f>'3 Statement Model'!D99/'3 Statement Model'!D$99</f>
        <v>1</v>
      </c>
      <c r="E85" s="316">
        <f>'3 Statement Model'!E99/'3 Statement Model'!E$99</f>
        <v>1</v>
      </c>
      <c r="F85" s="316">
        <f>'3 Statement Model'!F99/'3 Statement Model'!F$99</f>
        <v>1</v>
      </c>
      <c r="G85" s="316">
        <f>'3 Statement Model'!G99/'3 Statement Model'!G$99</f>
        <v>1</v>
      </c>
      <c r="H85" s="316">
        <f>'3 Statement Model'!H99/'3 Statement Model'!H$99</f>
        <v>1</v>
      </c>
      <c r="I85" s="316">
        <f>'3 Statement Model'!I99/'3 Statement Model'!I$99</f>
        <v>1</v>
      </c>
      <c r="J85" s="316">
        <f>'3 Statement Model'!J99/'3 Statement Model'!J$99</f>
        <v>1</v>
      </c>
      <c r="K85" s="316">
        <f>'3 Statement Model'!K99/'3 Statement Model'!K$99</f>
        <v>1</v>
      </c>
      <c r="L85" s="316">
        <f>'3 Statement Model'!L99/'3 Statement Model'!L$99</f>
        <v>1</v>
      </c>
      <c r="M85" s="316">
        <f>'3 Statement Model'!M99/'3 Statement Model'!M$99</f>
        <v>1</v>
      </c>
      <c r="N85" s="316">
        <f>'3 Statement Model'!N99/'3 Statement Model'!N$99</f>
        <v>1</v>
      </c>
    </row>
  </sheetData>
  <mergeCells count="2">
    <mergeCell ref="D7:I7"/>
    <mergeCell ref="J7:N7"/>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anchor moveWithCells="1">
                  <from>
                    <xdr:col>8</xdr:col>
                    <xdr:colOff>60960</xdr:colOff>
                    <xdr:row>4</xdr:row>
                    <xdr:rowOff>45720</xdr:rowOff>
                  </from>
                  <to>
                    <xdr:col>10</xdr:col>
                    <xdr:colOff>373380</xdr:colOff>
                    <xdr:row>5</xdr:row>
                    <xdr:rowOff>22860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74D4C-3C6C-4FCD-9D54-4514D8DFAFD3}">
  <sheetPr>
    <tabColor rgb="FF001B94"/>
  </sheetPr>
  <dimension ref="B2:O96"/>
  <sheetViews>
    <sheetView showGridLines="0" zoomScaleNormal="100" workbookViewId="0">
      <pane ySplit="9" topLeftCell="A10" activePane="bottomLeft" state="frozen"/>
      <selection pane="bottomLeft" activeCell="G97" sqref="G97"/>
    </sheetView>
  </sheetViews>
  <sheetFormatPr defaultRowHeight="14.4"/>
  <cols>
    <col min="1" max="1" width="1.88671875" customWidth="1"/>
    <col min="2" max="2" width="47.21875" customWidth="1"/>
    <col min="3" max="3" width="7.5546875" customWidth="1"/>
    <col min="4" max="4" width="7.44140625" customWidth="1"/>
    <col min="5" max="8" width="11.77734375" customWidth="1"/>
    <col min="9" max="15" width="12.77734375" bestFit="1" customWidth="1"/>
  </cols>
  <sheetData>
    <row r="2" spans="2:15" ht="21">
      <c r="B2" s="282" t="str">
        <f>'Control Sheet'!B2</f>
        <v xml:space="preserve">InterGlobe Aviation </v>
      </c>
    </row>
    <row r="3" spans="2:15" ht="18">
      <c r="B3" s="2" t="s">
        <v>321</v>
      </c>
    </row>
    <row r="4" spans="2:15" ht="18">
      <c r="B4" s="2"/>
    </row>
    <row r="5" spans="2:15" ht="18">
      <c r="B5" s="2"/>
      <c r="H5" t="s">
        <v>1</v>
      </c>
      <c r="I5">
        <v>1</v>
      </c>
    </row>
    <row r="8" spans="2:15">
      <c r="D8" s="18" t="s">
        <v>56</v>
      </c>
      <c r="E8" s="495" t="s">
        <v>3</v>
      </c>
      <c r="F8" s="495"/>
      <c r="G8" s="495"/>
      <c r="H8" s="495"/>
      <c r="I8" s="495"/>
      <c r="J8" s="495"/>
      <c r="K8" s="496" t="s">
        <v>4</v>
      </c>
      <c r="L8" s="496"/>
      <c r="M8" s="496"/>
      <c r="N8" s="496"/>
      <c r="O8" s="496"/>
    </row>
    <row r="9" spans="2:15">
      <c r="B9" s="4" t="s">
        <v>5</v>
      </c>
      <c r="D9" s="5"/>
      <c r="E9" s="134">
        <v>2021</v>
      </c>
      <c r="F9" s="134">
        <f>E9+1</f>
        <v>2022</v>
      </c>
      <c r="G9" s="134">
        <f t="shared" ref="G9:J9" si="0">F9+1</f>
        <v>2023</v>
      </c>
      <c r="H9" s="134">
        <f t="shared" si="0"/>
        <v>2024</v>
      </c>
      <c r="I9" s="134">
        <f t="shared" si="0"/>
        <v>2025</v>
      </c>
      <c r="J9" s="134">
        <f t="shared" si="0"/>
        <v>2026</v>
      </c>
      <c r="K9" s="5">
        <f>J9+1</f>
        <v>2027</v>
      </c>
      <c r="L9" s="5">
        <f t="shared" ref="L9:O9" si="1">K9+1</f>
        <v>2028</v>
      </c>
      <c r="M9" s="5">
        <f t="shared" si="1"/>
        <v>2029</v>
      </c>
      <c r="N9" s="5">
        <f t="shared" si="1"/>
        <v>2030</v>
      </c>
      <c r="O9" s="5">
        <f t="shared" si="1"/>
        <v>2031</v>
      </c>
    </row>
    <row r="10" spans="2:15">
      <c r="B10" s="6"/>
      <c r="C10" s="6"/>
      <c r="D10" s="6"/>
      <c r="E10" s="6"/>
      <c r="F10" s="6"/>
      <c r="G10" s="6"/>
      <c r="H10" s="6"/>
      <c r="I10" s="6"/>
      <c r="J10" s="6"/>
      <c r="K10" s="6"/>
      <c r="L10" s="6"/>
    </row>
    <row r="11" spans="2:15" ht="15.6">
      <c r="B11" s="7" t="s">
        <v>96</v>
      </c>
      <c r="C11" s="8"/>
      <c r="D11" s="8"/>
      <c r="E11" s="8"/>
      <c r="F11" s="8"/>
      <c r="G11" s="8"/>
      <c r="H11" s="8"/>
      <c r="I11" s="8"/>
      <c r="J11" s="8"/>
      <c r="K11" s="54"/>
      <c r="L11" s="54"/>
      <c r="M11" s="54"/>
      <c r="N11" s="54"/>
      <c r="O11" s="54"/>
    </row>
    <row r="13" spans="2:15">
      <c r="B13" t="s">
        <v>97</v>
      </c>
      <c r="E13" s="193">
        <f>'3 Statement Model'!D61</f>
        <v>208139.17</v>
      </c>
      <c r="F13" s="193">
        <f>'3 Statement Model'!E61</f>
        <v>202288.79000000004</v>
      </c>
      <c r="G13" s="193">
        <f>'3 Statement Model'!F61</f>
        <v>261487.14</v>
      </c>
      <c r="H13" s="193">
        <f>'3 Statement Model'!G61</f>
        <v>358531</v>
      </c>
      <c r="I13" s="193">
        <f>'3 Statement Model'!H61</f>
        <v>507031</v>
      </c>
      <c r="J13" s="193">
        <f>'3 Statement Model'!I61</f>
        <v>579292</v>
      </c>
      <c r="K13" s="151">
        <f>'3 Statement Model'!J61</f>
        <v>659522.14816571376</v>
      </c>
      <c r="L13" s="151">
        <f>'3 Statement Model'!K61</f>
        <v>803073.56757624494</v>
      </c>
      <c r="M13" s="151">
        <f>'3 Statement Model'!L61</f>
        <v>857850.42048634496</v>
      </c>
      <c r="N13" s="151">
        <f>'3 Statement Model'!M61</f>
        <v>947415.52169790084</v>
      </c>
      <c r="O13" s="151">
        <f>'3 Statement Model'!N61</f>
        <v>1098728.3601757314</v>
      </c>
    </row>
    <row r="14" spans="2:15">
      <c r="B14" t="s">
        <v>98</v>
      </c>
      <c r="E14" s="193">
        <f>'3 Statement Model'!D85</f>
        <v>189236.91999999998</v>
      </c>
      <c r="F14" s="193">
        <f>'3 Statement Model'!E85</f>
        <v>224171.40000000002</v>
      </c>
      <c r="G14" s="193">
        <f>'3 Statement Model'!F85</f>
        <v>238511.46000000002</v>
      </c>
      <c r="H14" s="193">
        <f>'3 Statement Model'!G85</f>
        <v>307982</v>
      </c>
      <c r="I14" s="193">
        <f>'3 Statement Model'!H85</f>
        <v>342178</v>
      </c>
      <c r="J14" s="193">
        <f>'3 Statement Model'!I85</f>
        <v>382710</v>
      </c>
      <c r="K14" s="151">
        <f>'3 Statement Model'!J85</f>
        <v>415715.16416712338</v>
      </c>
      <c r="L14" s="151">
        <f>'3 Statement Model'!K85</f>
        <v>485944.60462200007</v>
      </c>
      <c r="M14" s="151">
        <f>'3 Statement Model'!L85</f>
        <v>541466.06047357316</v>
      </c>
      <c r="N14" s="151">
        <f>'3 Statement Model'!M85</f>
        <v>617292.95157579589</v>
      </c>
      <c r="O14" s="151">
        <f>'3 Statement Model'!N85</f>
        <v>724452.04467178823</v>
      </c>
    </row>
    <row r="15" spans="2:15">
      <c r="B15" s="30" t="s">
        <v>96</v>
      </c>
      <c r="C15" s="30"/>
      <c r="D15" s="30"/>
      <c r="E15" s="60">
        <f>E13/E14</f>
        <v>1.0998866923008472</v>
      </c>
      <c r="F15" s="60">
        <f t="shared" ref="F15:O15" si="2">F13/F14</f>
        <v>0.9023844700974345</v>
      </c>
      <c r="G15" s="60">
        <f t="shared" si="2"/>
        <v>1.0963294593894986</v>
      </c>
      <c r="H15" s="60">
        <f t="shared" si="2"/>
        <v>1.1641297218668623</v>
      </c>
      <c r="I15" s="60">
        <f t="shared" si="2"/>
        <v>1.4817755671025021</v>
      </c>
      <c r="J15" s="60">
        <f t="shared" si="2"/>
        <v>1.51365786104361</v>
      </c>
      <c r="K15" s="60">
        <f t="shared" si="2"/>
        <v>1.5864760418038937</v>
      </c>
      <c r="L15" s="60">
        <f t="shared" si="2"/>
        <v>1.6526031155360368</v>
      </c>
      <c r="M15" s="60">
        <f t="shared" si="2"/>
        <v>1.5843106024707403</v>
      </c>
      <c r="N15" s="60">
        <f t="shared" si="2"/>
        <v>1.5347907655180313</v>
      </c>
      <c r="O15" s="60">
        <f t="shared" si="2"/>
        <v>1.5166336657570045</v>
      </c>
    </row>
    <row r="17" spans="2:15">
      <c r="B17" t="s">
        <v>97</v>
      </c>
      <c r="E17" s="193">
        <f>'3 Statement Model'!D61</f>
        <v>208139.17</v>
      </c>
      <c r="F17" s="193">
        <f>'3 Statement Model'!E61</f>
        <v>202288.79000000004</v>
      </c>
      <c r="G17" s="193">
        <f>'3 Statement Model'!F61</f>
        <v>261487.14</v>
      </c>
      <c r="H17" s="193">
        <f>'3 Statement Model'!G61</f>
        <v>358531</v>
      </c>
      <c r="I17" s="193">
        <f>'3 Statement Model'!H61</f>
        <v>507031</v>
      </c>
      <c r="J17" s="193">
        <f>'3 Statement Model'!I61</f>
        <v>579292</v>
      </c>
      <c r="K17" s="151">
        <f>'3 Statement Model'!J61</f>
        <v>659522.14816571376</v>
      </c>
      <c r="L17" s="151">
        <f>'3 Statement Model'!K61</f>
        <v>803073.56757624494</v>
      </c>
      <c r="M17" s="151">
        <f>'3 Statement Model'!L61</f>
        <v>857850.42048634496</v>
      </c>
      <c r="N17" s="151">
        <f>'3 Statement Model'!M61</f>
        <v>947415.52169790084</v>
      </c>
      <c r="O17" s="151">
        <f>'3 Statement Model'!N61</f>
        <v>1098728.3601757314</v>
      </c>
    </row>
    <row r="18" spans="2:15">
      <c r="B18" t="s">
        <v>39</v>
      </c>
      <c r="E18" s="193">
        <f>'3 Statement Model'!D56</f>
        <v>3164.18</v>
      </c>
      <c r="F18" s="193">
        <f>'3 Statement Model'!E56</f>
        <v>4080.63</v>
      </c>
      <c r="G18" s="193">
        <f>'3 Statement Model'!F56</f>
        <v>5910.67</v>
      </c>
      <c r="H18" s="193">
        <f>'3 Statement Model'!G56</f>
        <v>6248</v>
      </c>
      <c r="I18" s="193">
        <f>'3 Statement Model'!H56</f>
        <v>8203</v>
      </c>
      <c r="J18" s="193">
        <f>'3 Statement Model'!I56</f>
        <v>9848</v>
      </c>
      <c r="K18" s="151">
        <f>'3 Statement Model'!J56</f>
        <v>11020.55447342466</v>
      </c>
      <c r="L18" s="151">
        <f>'3 Statement Model'!K56</f>
        <v>13178.896869600001</v>
      </c>
      <c r="M18" s="151">
        <f>'3 Statement Model'!L56</f>
        <v>15763.285270037586</v>
      </c>
      <c r="N18" s="151">
        <f>'3 Statement Model'!M56</f>
        <v>18858.20165687846</v>
      </c>
      <c r="O18" s="151">
        <f>'3 Statement Model'!N56</f>
        <v>22564.925478198358</v>
      </c>
    </row>
    <row r="19" spans="2:15">
      <c r="B19" t="s">
        <v>42</v>
      </c>
      <c r="E19" s="193">
        <f>'3 Statement Model'!D58</f>
        <v>390.93</v>
      </c>
      <c r="F19" s="193">
        <f>'3 Statement Model'!E58</f>
        <v>632.38</v>
      </c>
      <c r="G19" s="193">
        <f>'3 Statement Model'!F58</f>
        <v>669.73</v>
      </c>
      <c r="H19" s="193">
        <f>'3 Statement Model'!G58</f>
        <v>1029</v>
      </c>
      <c r="I19" s="193">
        <f>'3 Statement Model'!H58</f>
        <v>2138</v>
      </c>
      <c r="J19" s="193">
        <f>'3 Statement Model'!I58</f>
        <v>3399</v>
      </c>
      <c r="K19" s="151">
        <f>'3 Statement Model'!J58</f>
        <v>4692.9194466000008</v>
      </c>
      <c r="L19" s="151">
        <f>'3 Statement Model'!K58</f>
        <v>5612.0135836380005</v>
      </c>
      <c r="M19" s="151">
        <f>'3 Statement Model'!L58</f>
        <v>6712.5323108243392</v>
      </c>
      <c r="N19" s="151">
        <f>'3 Statement Model'!M58</f>
        <v>8030.4508722207447</v>
      </c>
      <c r="O19" s="151">
        <f>'3 Statement Model'!N58</f>
        <v>9608.8974327994674</v>
      </c>
    </row>
    <row r="20" spans="2:15">
      <c r="B20" t="s">
        <v>98</v>
      </c>
      <c r="E20" s="193">
        <f>'3 Statement Model'!D85</f>
        <v>189236.91999999998</v>
      </c>
      <c r="F20" s="193">
        <f>'3 Statement Model'!E85</f>
        <v>224171.40000000002</v>
      </c>
      <c r="G20" s="193">
        <f>'3 Statement Model'!F85</f>
        <v>238511.46000000002</v>
      </c>
      <c r="H20" s="193">
        <f>'3 Statement Model'!G85</f>
        <v>307982</v>
      </c>
      <c r="I20" s="193">
        <f>'3 Statement Model'!H85</f>
        <v>342178</v>
      </c>
      <c r="J20" s="193">
        <f>'3 Statement Model'!I85</f>
        <v>382710</v>
      </c>
      <c r="K20" s="151">
        <f>'3 Statement Model'!J85</f>
        <v>415715.16416712338</v>
      </c>
      <c r="L20" s="151">
        <f>'3 Statement Model'!K85</f>
        <v>485944.60462200007</v>
      </c>
      <c r="M20" s="151">
        <f>'3 Statement Model'!L85</f>
        <v>541466.06047357316</v>
      </c>
      <c r="N20" s="151">
        <f>'3 Statement Model'!M85</f>
        <v>617292.95157579589</v>
      </c>
      <c r="O20" s="151">
        <f>'3 Statement Model'!N85</f>
        <v>724452.04467178823</v>
      </c>
    </row>
    <row r="21" spans="2:15">
      <c r="B21" s="30" t="s">
        <v>99</v>
      </c>
      <c r="C21" s="30"/>
      <c r="D21" s="30"/>
      <c r="E21" s="60">
        <f>(E17-E18-E19)/E20</f>
        <v>1.0811001362736197</v>
      </c>
      <c r="F21" s="60">
        <f t="shared" ref="F21:O21" si="3">(F17-F18-F19)/F20</f>
        <v>0.88136033410149561</v>
      </c>
      <c r="G21" s="60">
        <f t="shared" si="3"/>
        <v>1.0687400093899051</v>
      </c>
      <c r="H21" s="60">
        <f t="shared" si="3"/>
        <v>1.1405017176328487</v>
      </c>
      <c r="I21" s="60">
        <f t="shared" si="3"/>
        <v>1.4515544541145251</v>
      </c>
      <c r="J21" s="60">
        <f t="shared" si="3"/>
        <v>1.4790441848919547</v>
      </c>
      <c r="K21" s="60">
        <f t="shared" si="3"/>
        <v>1.5486773871613422</v>
      </c>
      <c r="L21" s="60">
        <f t="shared" si="3"/>
        <v>1.61393428317426</v>
      </c>
      <c r="M21" s="60">
        <f t="shared" si="3"/>
        <v>1.5428014124742253</v>
      </c>
      <c r="N21" s="60">
        <f t="shared" si="3"/>
        <v>1.4912317835784852</v>
      </c>
      <c r="O21" s="60">
        <f t="shared" si="3"/>
        <v>1.4722224129382289</v>
      </c>
    </row>
    <row r="23" spans="2:15">
      <c r="B23" t="s">
        <v>41</v>
      </c>
      <c r="E23" s="22">
        <f>'Schedule Sheet'!D141</f>
        <v>12.223590952648369</v>
      </c>
      <c r="F23" s="22">
        <f>'Schedule Sheet'!E141</f>
        <v>7.6613440753909652</v>
      </c>
      <c r="G23" s="22">
        <f>'Schedule Sheet'!F141</f>
        <v>5.5446629978007875</v>
      </c>
      <c r="H23" s="22">
        <f>'Schedule Sheet'!G141</f>
        <v>5.6177361744057146</v>
      </c>
      <c r="I23" s="22">
        <f>'Schedule Sheet'!H141</f>
        <v>6.214355244778468</v>
      </c>
      <c r="J23" s="22">
        <f>'Schedule Sheet'!I141</f>
        <v>4</v>
      </c>
      <c r="K23" s="22">
        <f>'Schedule Sheet'!J141</f>
        <v>6</v>
      </c>
      <c r="L23" s="22">
        <f>'Schedule Sheet'!K141</f>
        <v>6</v>
      </c>
      <c r="M23" s="22">
        <f>'Schedule Sheet'!L141</f>
        <v>6</v>
      </c>
      <c r="N23" s="22">
        <f>'Schedule Sheet'!M141</f>
        <v>6</v>
      </c>
      <c r="O23" s="22">
        <f>'Schedule Sheet'!N141</f>
        <v>6</v>
      </c>
    </row>
    <row r="24" spans="2:15">
      <c r="B24" t="s">
        <v>86</v>
      </c>
      <c r="E24" s="22">
        <f>'Schedule Sheet'!D135</f>
        <v>5.4592571863876644</v>
      </c>
      <c r="F24" s="22">
        <f>'Schedule Sheet'!E135</f>
        <v>4.6861762790046031</v>
      </c>
      <c r="G24" s="22">
        <f>'Schedule Sheet'!F135</f>
        <v>3.485350276169505</v>
      </c>
      <c r="H24" s="22">
        <f>'Schedule Sheet'!G135</f>
        <v>3.4034523244558028</v>
      </c>
      <c r="I24" s="22">
        <f>'Schedule Sheet'!H135</f>
        <v>3.341346659587713</v>
      </c>
      <c r="J24" s="22">
        <f>'Schedule Sheet'!I135</f>
        <v>5</v>
      </c>
      <c r="K24" s="22">
        <f>'Schedule Sheet'!J135</f>
        <v>5</v>
      </c>
      <c r="L24" s="22">
        <f>'Schedule Sheet'!K135</f>
        <v>5</v>
      </c>
      <c r="M24" s="22">
        <f>'Schedule Sheet'!L135</f>
        <v>5</v>
      </c>
      <c r="N24" s="22">
        <f>'Schedule Sheet'!M135</f>
        <v>4</v>
      </c>
      <c r="O24" s="22">
        <f>'Schedule Sheet'!N135</f>
        <v>4</v>
      </c>
    </row>
    <row r="25" spans="2:15">
      <c r="B25" t="s">
        <v>87</v>
      </c>
      <c r="E25" s="22">
        <f>'Schedule Sheet'!D162</f>
        <v>59.929621984150849</v>
      </c>
      <c r="F25" s="22">
        <f>'Schedule Sheet'!E162</f>
        <v>59.175121203585611</v>
      </c>
      <c r="G25" s="22">
        <f>'Schedule Sheet'!F162</f>
        <v>30.102784572053167</v>
      </c>
      <c r="H25" s="22">
        <f>'Schedule Sheet'!G162</f>
        <v>28.390787042739255</v>
      </c>
      <c r="I25" s="22">
        <f>'Schedule Sheet'!H162</f>
        <v>31.633136364862818</v>
      </c>
      <c r="J25" s="22">
        <f>'Schedule Sheet'!I162</f>
        <v>32.293927112586161</v>
      </c>
      <c r="K25" s="22">
        <f>'Schedule Sheet'!J162</f>
        <v>30</v>
      </c>
      <c r="L25" s="22">
        <f>'Schedule Sheet'!K162</f>
        <v>30</v>
      </c>
      <c r="M25" s="22">
        <f>'Schedule Sheet'!L162</f>
        <v>25</v>
      </c>
      <c r="N25" s="22">
        <f>'Schedule Sheet'!M162</f>
        <v>25</v>
      </c>
      <c r="O25" s="22">
        <f>'Schedule Sheet'!N162</f>
        <v>25</v>
      </c>
    </row>
    <row r="26" spans="2:15">
      <c r="B26" s="30" t="s">
        <v>100</v>
      </c>
      <c r="C26" s="30"/>
      <c r="D26" s="30"/>
      <c r="E26" s="434">
        <f>E23+E24-E25</f>
        <v>-42.246773845114816</v>
      </c>
      <c r="F26" s="434">
        <f t="shared" ref="F26:O26" si="4">F23+F24-F25</f>
        <v>-46.827600849190041</v>
      </c>
      <c r="G26" s="434">
        <f t="shared" si="4"/>
        <v>-21.072771298082877</v>
      </c>
      <c r="H26" s="434">
        <f t="shared" si="4"/>
        <v>-19.369598543877736</v>
      </c>
      <c r="I26" s="434">
        <f t="shared" si="4"/>
        <v>-22.077434460496637</v>
      </c>
      <c r="J26" s="434">
        <f t="shared" si="4"/>
        <v>-23.293927112586161</v>
      </c>
      <c r="K26" s="434">
        <f t="shared" si="4"/>
        <v>-19</v>
      </c>
      <c r="L26" s="434">
        <f t="shared" si="4"/>
        <v>-19</v>
      </c>
      <c r="M26" s="434">
        <f t="shared" si="4"/>
        <v>-14</v>
      </c>
      <c r="N26" s="434">
        <f t="shared" si="4"/>
        <v>-15</v>
      </c>
      <c r="O26" s="434">
        <f t="shared" si="4"/>
        <v>-15</v>
      </c>
    </row>
    <row r="28" spans="2:15" ht="15.6">
      <c r="B28" s="7" t="s">
        <v>101</v>
      </c>
      <c r="C28" s="8"/>
      <c r="D28" s="8"/>
      <c r="E28" s="8"/>
      <c r="F28" s="8"/>
      <c r="G28" s="8"/>
      <c r="H28" s="8"/>
      <c r="I28" s="8"/>
      <c r="J28" s="8"/>
      <c r="K28" s="54"/>
      <c r="L28" s="54"/>
      <c r="M28" s="54"/>
      <c r="N28" s="54"/>
      <c r="O28" s="54"/>
    </row>
    <row r="30" spans="2:15">
      <c r="B30" t="s">
        <v>102</v>
      </c>
      <c r="E30" s="193">
        <f>'3 Statement Model'!D87+'3 Statement Model'!D81</f>
        <v>298596.53999999998</v>
      </c>
      <c r="F30" s="193">
        <f>'3 Statement Model'!E87+'3 Statement Model'!E81</f>
        <v>368778.37</v>
      </c>
      <c r="G30" s="193">
        <f>'3 Statement Model'!F87+'3 Statement Model'!F81</f>
        <v>448542.13</v>
      </c>
      <c r="H30" s="193">
        <f>'3 Statement Model'!G87+'3 Statement Model'!G81</f>
        <v>512801</v>
      </c>
      <c r="I30" s="193">
        <f>'3 Statement Model'!H87+'3 Statement Model'!H81</f>
        <v>668098</v>
      </c>
      <c r="J30" s="193">
        <f>'3 Statement Model'!I87+'3 Statement Model'!I81</f>
        <v>777492</v>
      </c>
      <c r="K30" s="151">
        <f>'3 Statement Model'!J87+'3 Statement Model'!J81</f>
        <v>819149.93020000006</v>
      </c>
      <c r="L30" s="151">
        <f>'3 Statement Model'!K87+'3 Statement Model'!K81</f>
        <v>880848.28018600005</v>
      </c>
      <c r="M30" s="151">
        <f>'3 Statement Model'!L87+'3 Statement Model'!L81</f>
        <v>949736.69564997999</v>
      </c>
      <c r="N30" s="151">
        <f>'3 Statement Model'!M87+'3 Statement Model'!M81</f>
        <v>1004600.1542654013</v>
      </c>
      <c r="O30" s="151">
        <f>'3 Statement Model'!N87+'3 Statement Model'!N81</f>
        <v>1067656.9313850822</v>
      </c>
    </row>
    <row r="31" spans="2:15">
      <c r="B31" t="s">
        <v>103</v>
      </c>
      <c r="E31" s="193">
        <f>'3 Statement Model'!D95+'3 Statement Model'!D96</f>
        <v>1108.5899999999997</v>
      </c>
      <c r="F31" s="193">
        <f>'3 Statement Model'!E95+'3 Statement Model'!E96</f>
        <v>-59880.619999999995</v>
      </c>
      <c r="G31" s="193">
        <f>'3 Statement Model'!F95+'3 Statement Model'!F96</f>
        <v>-62465.16</v>
      </c>
      <c r="H31" s="193">
        <f>'3 Statement Model'!G95+'3 Statement Model'!G96</f>
        <v>19965</v>
      </c>
      <c r="I31" s="193">
        <f>'3 Statement Model'!H95+'3 Statement Model'!H96</f>
        <v>93682</v>
      </c>
      <c r="J31" s="193">
        <f>'3 Statement Model'!I95+'3 Statement Model'!I96</f>
        <v>69711</v>
      </c>
      <c r="K31" s="151">
        <f>'3 Statement Model'!J95+'3 Statement Model'!J96</f>
        <v>79150.953550228034</v>
      </c>
      <c r="L31" s="151">
        <f>'3 Statement Model'!K95+'3 Statement Model'!K96</f>
        <v>113042.06782923601</v>
      </c>
      <c r="M31" s="151">
        <f>'3 Statement Model'!L95+'3 Statement Model'!L96</f>
        <v>145262.84143320916</v>
      </c>
      <c r="N31" s="151">
        <f>'3 Statement Model'!M95+'3 Statement Model'!M96</f>
        <v>178117.80351574215</v>
      </c>
      <c r="O31" s="151">
        <f>'3 Statement Model'!N95+'3 Statement Model'!N96</f>
        <v>224809.65239336339</v>
      </c>
    </row>
    <row r="32" spans="2:15">
      <c r="B32" s="30" t="s">
        <v>104</v>
      </c>
      <c r="C32" s="30"/>
      <c r="D32" s="30"/>
      <c r="E32" s="60">
        <f>E30/E31</f>
        <v>269.34803669526161</v>
      </c>
      <c r="F32" s="60">
        <f t="shared" ref="F32:O32" si="5">F30/F31</f>
        <v>-6.1585596475119999</v>
      </c>
      <c r="G32" s="60">
        <f t="shared" si="5"/>
        <v>-7.1806768765180458</v>
      </c>
      <c r="H32" s="60">
        <f t="shared" si="5"/>
        <v>25.684998747808667</v>
      </c>
      <c r="I32" s="60">
        <f t="shared" si="5"/>
        <v>7.1315514186289786</v>
      </c>
      <c r="J32" s="60">
        <f t="shared" si="5"/>
        <v>11.153074837543572</v>
      </c>
      <c r="K32" s="60">
        <f t="shared" si="5"/>
        <v>10.3492111397013</v>
      </c>
      <c r="L32" s="60">
        <f t="shared" si="5"/>
        <v>7.7922166243157376</v>
      </c>
      <c r="M32" s="60">
        <f t="shared" si="5"/>
        <v>6.5380567134690279</v>
      </c>
      <c r="N32" s="60">
        <f t="shared" si="5"/>
        <v>5.6400883821622818</v>
      </c>
      <c r="O32" s="60">
        <f t="shared" si="5"/>
        <v>4.7491596558182323</v>
      </c>
    </row>
    <row r="34" spans="2:15">
      <c r="B34" t="s">
        <v>102</v>
      </c>
      <c r="E34" s="193">
        <f>'3 Statement Model'!D87+'3 Statement Model'!D81</f>
        <v>298596.53999999998</v>
      </c>
      <c r="F34" s="193">
        <f>'3 Statement Model'!E87+'3 Statement Model'!E81</f>
        <v>368778.37</v>
      </c>
      <c r="G34" s="193">
        <f>'3 Statement Model'!F87+'3 Statement Model'!F81</f>
        <v>448542.13</v>
      </c>
      <c r="H34" s="193">
        <f>'3 Statement Model'!G87+'3 Statement Model'!G81</f>
        <v>512801</v>
      </c>
      <c r="I34" s="193">
        <f>'3 Statement Model'!H87+'3 Statement Model'!H81</f>
        <v>668098</v>
      </c>
      <c r="J34" s="193">
        <f>'3 Statement Model'!I87+'3 Statement Model'!I81</f>
        <v>777492</v>
      </c>
      <c r="K34" s="151">
        <f>'3 Statement Model'!J87+'3 Statement Model'!J81</f>
        <v>819149.93020000006</v>
      </c>
      <c r="L34" s="151">
        <f>'3 Statement Model'!K87+'3 Statement Model'!K81</f>
        <v>880848.28018600005</v>
      </c>
      <c r="M34" s="151">
        <f>'3 Statement Model'!L87+'3 Statement Model'!L81</f>
        <v>949736.69564997999</v>
      </c>
      <c r="N34" s="151">
        <f>'3 Statement Model'!M87+'3 Statement Model'!M81</f>
        <v>1004600.1542654013</v>
      </c>
      <c r="O34" s="151">
        <f>'3 Statement Model'!N87+'3 Statement Model'!N81</f>
        <v>1067656.9313850822</v>
      </c>
    </row>
    <row r="35" spans="2:15">
      <c r="B35" t="s">
        <v>79</v>
      </c>
      <c r="E35" s="193">
        <f>'3 Statement Model'!D74</f>
        <v>430511.53</v>
      </c>
      <c r="F35" s="193">
        <f>'3 Statement Model'!E74</f>
        <v>459625.98000000004</v>
      </c>
      <c r="G35" s="193">
        <f>'3 Statement Model'!F74</f>
        <v>591698.19000000006</v>
      </c>
      <c r="H35" s="193">
        <f>'3 Statement Model'!G74</f>
        <v>822245</v>
      </c>
      <c r="I35" s="193">
        <f>'3 Statement Model'!H74</f>
        <v>1158435</v>
      </c>
      <c r="J35" s="193">
        <f>'3 Statement Model'!I74</f>
        <v>1360021</v>
      </c>
      <c r="K35" s="151">
        <f>'3 Statement Model'!J74</f>
        <v>1496961.5115473513</v>
      </c>
      <c r="L35" s="151">
        <f>'3 Statement Model'!K74</f>
        <v>1698774.6918781362</v>
      </c>
      <c r="M35" s="151">
        <f>'3 Statement Model'!L74</f>
        <v>1811349.6523569296</v>
      </c>
      <c r="N35" s="151">
        <f>'3 Statement Model'!M74</f>
        <v>1957294.9036606746</v>
      </c>
      <c r="O35" s="151">
        <f>'3 Statement Model'!N74</f>
        <v>2163757.3062547324</v>
      </c>
    </row>
    <row r="36" spans="2:15">
      <c r="B36" s="30" t="s">
        <v>105</v>
      </c>
      <c r="C36" s="30"/>
      <c r="D36" s="30"/>
      <c r="E36" s="60">
        <f>E34/E35</f>
        <v>0.69358546564362622</v>
      </c>
      <c r="F36" s="60">
        <f t="shared" ref="F36:O36" si="6">F34/F35</f>
        <v>0.8023444845306611</v>
      </c>
      <c r="G36" s="60">
        <f t="shared" si="6"/>
        <v>0.75805898611925782</v>
      </c>
      <c r="H36" s="60">
        <f t="shared" si="6"/>
        <v>0.62365961483499444</v>
      </c>
      <c r="I36" s="60">
        <f t="shared" si="6"/>
        <v>0.57672463280201303</v>
      </c>
      <c r="J36" s="60">
        <f t="shared" si="6"/>
        <v>0.57167646676043971</v>
      </c>
      <c r="K36" s="60">
        <f t="shared" si="6"/>
        <v>0.54720841109219731</v>
      </c>
      <c r="L36" s="60">
        <f t="shared" si="6"/>
        <v>0.51851978040251423</v>
      </c>
      <c r="M36" s="60">
        <f t="shared" si="6"/>
        <v>0.52432543568503287</v>
      </c>
      <c r="N36" s="60">
        <f t="shared" si="6"/>
        <v>0.51325947479172673</v>
      </c>
      <c r="O36" s="60">
        <f t="shared" si="6"/>
        <v>0.49342730272883489</v>
      </c>
    </row>
    <row r="37" spans="2:15">
      <c r="E37" s="61"/>
      <c r="F37" s="61"/>
      <c r="G37" s="61"/>
      <c r="H37" s="61"/>
      <c r="I37" s="61"/>
      <c r="J37" s="61"/>
      <c r="K37" s="61"/>
      <c r="L37" s="61"/>
    </row>
    <row r="38" spans="2:15">
      <c r="B38" t="s">
        <v>103</v>
      </c>
      <c r="E38" s="193">
        <f>'3 Statement Model'!D97</f>
        <v>1108.5899999999997</v>
      </c>
      <c r="F38" s="193">
        <f>'3 Statement Model'!E97</f>
        <v>-59880.619999999995</v>
      </c>
      <c r="G38" s="193">
        <f>'3 Statement Model'!F97</f>
        <v>-62465.16</v>
      </c>
      <c r="H38" s="193">
        <f>'3 Statement Model'!G97</f>
        <v>19965</v>
      </c>
      <c r="I38" s="193">
        <f>'3 Statement Model'!H97</f>
        <v>93682</v>
      </c>
      <c r="J38" s="193">
        <f>'3 Statement Model'!I97</f>
        <v>69711</v>
      </c>
      <c r="K38" s="151">
        <f>'3 Statement Model'!J97</f>
        <v>79150.953550228034</v>
      </c>
      <c r="L38" s="151">
        <f>'3 Statement Model'!K97</f>
        <v>113042.06782923601</v>
      </c>
      <c r="M38" s="151">
        <f>'3 Statement Model'!L97</f>
        <v>145262.84143320916</v>
      </c>
      <c r="N38" s="151">
        <f>'3 Statement Model'!M97</f>
        <v>178117.80351574215</v>
      </c>
      <c r="O38" s="151">
        <f>'3 Statement Model'!N97</f>
        <v>224809.65239336339</v>
      </c>
    </row>
    <row r="39" spans="2:15">
      <c r="B39" t="s">
        <v>79</v>
      </c>
      <c r="E39" s="193">
        <f>'3 Statement Model'!D74</f>
        <v>430511.53</v>
      </c>
      <c r="F39" s="193">
        <f>'3 Statement Model'!E74</f>
        <v>459625.98000000004</v>
      </c>
      <c r="G39" s="193">
        <f>'3 Statement Model'!F74</f>
        <v>591698.19000000006</v>
      </c>
      <c r="H39" s="193">
        <f>'3 Statement Model'!G74</f>
        <v>822245</v>
      </c>
      <c r="I39" s="193">
        <f>'3 Statement Model'!H74</f>
        <v>1158435</v>
      </c>
      <c r="J39" s="193">
        <f>'3 Statement Model'!I74</f>
        <v>1360021</v>
      </c>
      <c r="K39" s="151">
        <f>'3 Statement Model'!J74</f>
        <v>1496961.5115473513</v>
      </c>
      <c r="L39" s="151">
        <f>'3 Statement Model'!K74</f>
        <v>1698774.6918781362</v>
      </c>
      <c r="M39" s="151">
        <f>'3 Statement Model'!L74</f>
        <v>1811349.6523569296</v>
      </c>
      <c r="N39" s="151">
        <f>'3 Statement Model'!M74</f>
        <v>1957294.9036606746</v>
      </c>
      <c r="O39" s="151">
        <f>'3 Statement Model'!N74</f>
        <v>2163757.3062547324</v>
      </c>
    </row>
    <row r="40" spans="2:15">
      <c r="B40" s="30" t="s">
        <v>106</v>
      </c>
      <c r="C40" s="30"/>
      <c r="D40" s="30"/>
      <c r="E40" s="60">
        <f>E38/E39</f>
        <v>2.5750529840629349E-3</v>
      </c>
      <c r="F40" s="60">
        <f t="shared" ref="F40:O40" si="7">F38/F39</f>
        <v>-0.13028119080649006</v>
      </c>
      <c r="G40" s="60">
        <f t="shared" si="7"/>
        <v>-0.1055692936968423</v>
      </c>
      <c r="H40" s="60">
        <f t="shared" si="7"/>
        <v>2.4281084105102494E-2</v>
      </c>
      <c r="I40" s="60">
        <f t="shared" si="7"/>
        <v>8.0869448868516575E-2</v>
      </c>
      <c r="J40" s="60">
        <f t="shared" si="7"/>
        <v>5.1257296762329402E-2</v>
      </c>
      <c r="K40" s="60">
        <f t="shared" si="7"/>
        <v>5.2874407885352213E-2</v>
      </c>
      <c r="L40" s="60">
        <f t="shared" si="7"/>
        <v>6.6543296394566978E-2</v>
      </c>
      <c r="M40" s="60">
        <f t="shared" si="7"/>
        <v>8.0195914269888771E-2</v>
      </c>
      <c r="N40" s="60">
        <f t="shared" si="7"/>
        <v>9.1002026921243886E-2</v>
      </c>
      <c r="O40" s="60">
        <f t="shared" si="7"/>
        <v>0.10389781318982048</v>
      </c>
    </row>
    <row r="41" spans="2:15">
      <c r="E41" s="61"/>
      <c r="F41" s="61"/>
      <c r="G41" s="61"/>
      <c r="H41" s="61"/>
      <c r="I41" s="61"/>
      <c r="J41" s="61"/>
      <c r="K41" s="61"/>
      <c r="L41" s="61"/>
    </row>
    <row r="42" spans="2:15" ht="15.6">
      <c r="B42" s="7" t="s">
        <v>107</v>
      </c>
      <c r="C42" s="8"/>
      <c r="D42" s="8"/>
      <c r="E42" s="8"/>
      <c r="F42" s="8"/>
      <c r="G42" s="8"/>
      <c r="H42" s="8"/>
      <c r="I42" s="8"/>
      <c r="J42" s="8"/>
      <c r="K42" s="54"/>
      <c r="L42" s="54"/>
      <c r="M42" s="54"/>
      <c r="N42" s="54"/>
      <c r="O42" s="54"/>
    </row>
    <row r="44" spans="2:15">
      <c r="B44" t="s">
        <v>61</v>
      </c>
      <c r="E44" s="193">
        <f>'3 Statement Model'!D15</f>
        <v>51922.969999999987</v>
      </c>
      <c r="F44" s="193">
        <f>'3 Statement Model'!E15</f>
        <v>64900.829999999987</v>
      </c>
      <c r="G44" s="193">
        <f>'3 Statement Model'!F15</f>
        <v>155370.63</v>
      </c>
      <c r="H44" s="193">
        <f>'3 Statement Model'!G15</f>
        <v>283093</v>
      </c>
      <c r="I44" s="193">
        <f>'3 Statement Model'!H15</f>
        <v>326226</v>
      </c>
      <c r="J44" s="193">
        <f>'3 Statement Model'!I15</f>
        <v>285571</v>
      </c>
      <c r="K44" s="151">
        <f>'3 Statement Model'!J15</f>
        <v>345366.36619999993</v>
      </c>
      <c r="L44" s="151">
        <f>'3 Statement Model'!K15</f>
        <v>413005.32866600004</v>
      </c>
      <c r="M44" s="151">
        <f>'3 Statement Model'!L15</f>
        <v>493995.8843463799</v>
      </c>
      <c r="N44" s="151">
        <f>'3 Statement Model'!M15</f>
        <v>590985.56202490325</v>
      </c>
      <c r="O44" s="151">
        <f>'3 Statement Model'!N15</f>
        <v>707148.29592030705</v>
      </c>
    </row>
    <row r="45" spans="2:15">
      <c r="B45" t="s">
        <v>14</v>
      </c>
      <c r="E45" s="193">
        <f>'3 Statement Model'!D13</f>
        <v>146406.31</v>
      </c>
      <c r="F45" s="193">
        <f>'3 Statement Model'!E13</f>
        <v>259309.27</v>
      </c>
      <c r="G45" s="193">
        <f>'3 Statement Model'!F13</f>
        <v>544464.53</v>
      </c>
      <c r="H45" s="193">
        <f>'3 Statement Model'!G13</f>
        <v>689043</v>
      </c>
      <c r="I45" s="193">
        <f>'3 Statement Model'!H13</f>
        <v>808029</v>
      </c>
      <c r="J45" s="193">
        <f>'3 Statement Model'!I13</f>
        <v>849619</v>
      </c>
      <c r="K45" s="151">
        <f>'3 Statement Model'!J13</f>
        <v>1015783.43</v>
      </c>
      <c r="L45" s="151">
        <f>'3 Statement Model'!K13</f>
        <v>1214721.5549000001</v>
      </c>
      <c r="M45" s="151">
        <f>'3 Statement Model'!L13</f>
        <v>1452929.0716069997</v>
      </c>
      <c r="N45" s="151">
        <f>'3 Statement Model'!M13</f>
        <v>1738192.8294850097</v>
      </c>
      <c r="O45" s="151">
        <f>'3 Statement Model'!N13</f>
        <v>2079847.9291773739</v>
      </c>
    </row>
    <row r="46" spans="2:15">
      <c r="B46" s="30" t="s">
        <v>108</v>
      </c>
      <c r="C46" s="30"/>
      <c r="D46" s="30"/>
      <c r="E46" s="60">
        <f>E44/E45</f>
        <v>0.35464980983401595</v>
      </c>
      <c r="F46" s="60">
        <f t="shared" ref="F46:O46" si="8">F44/F45</f>
        <v>0.25028349352878898</v>
      </c>
      <c r="G46" s="60">
        <f t="shared" si="8"/>
        <v>0.28536409892486475</v>
      </c>
      <c r="H46" s="60">
        <f t="shared" si="8"/>
        <v>0.41084954059470891</v>
      </c>
      <c r="I46" s="60">
        <f t="shared" si="8"/>
        <v>0.40373055917547512</v>
      </c>
      <c r="J46" s="60">
        <f t="shared" si="8"/>
        <v>0.33611654164984539</v>
      </c>
      <c r="K46" s="60">
        <f t="shared" si="8"/>
        <v>0.33999999999999991</v>
      </c>
      <c r="L46" s="60">
        <f t="shared" si="8"/>
        <v>0.34</v>
      </c>
      <c r="M46" s="60">
        <f t="shared" si="8"/>
        <v>0.33999999999999997</v>
      </c>
      <c r="N46" s="60">
        <f t="shared" si="8"/>
        <v>0.33999999999999997</v>
      </c>
      <c r="O46" s="60">
        <f t="shared" si="8"/>
        <v>0.33999999999999997</v>
      </c>
    </row>
    <row r="47" spans="2:15" ht="13.2" customHeight="1">
      <c r="B47" s="16"/>
      <c r="C47" s="16"/>
      <c r="D47" s="16"/>
      <c r="E47" s="61"/>
      <c r="F47" s="61"/>
      <c r="G47" s="61"/>
      <c r="H47" s="61"/>
      <c r="I47" s="61"/>
      <c r="J47" s="61"/>
      <c r="K47" s="61"/>
      <c r="L47" s="61"/>
    </row>
    <row r="48" spans="2:15">
      <c r="B48" t="s">
        <v>64</v>
      </c>
      <c r="E48" s="193">
        <f>'3 Statement Model'!D25</f>
        <v>-136.05000000001019</v>
      </c>
      <c r="F48" s="193">
        <f>'3 Statement Model'!E25</f>
        <v>5473.3299999999872</v>
      </c>
      <c r="G48" s="193">
        <f>'3 Statement Model'!F25</f>
        <v>64953.5</v>
      </c>
      <c r="H48" s="193">
        <f>'3 Statement Model'!G25</f>
        <v>163175</v>
      </c>
      <c r="I48" s="193">
        <f>'3 Statement Model'!H25</f>
        <v>180583</v>
      </c>
      <c r="J48" s="193">
        <f>'3 Statement Model'!I25</f>
        <v>119834</v>
      </c>
      <c r="K48" s="151">
        <f>'3 Statement Model'!J25</f>
        <v>152367.51449999993</v>
      </c>
      <c r="L48" s="151">
        <f>'3 Statement Model'!K25</f>
        <v>182208.23323500002</v>
      </c>
      <c r="M48" s="151">
        <f>'3 Statement Model'!L25</f>
        <v>174351.48859283997</v>
      </c>
      <c r="N48" s="151">
        <f>'3 Statement Model'!M25</f>
        <v>173819.28294850094</v>
      </c>
      <c r="O48" s="151">
        <f>'3 Statement Model'!N25</f>
        <v>207984.79291773733</v>
      </c>
    </row>
    <row r="49" spans="2:15">
      <c r="B49" t="s">
        <v>14</v>
      </c>
      <c r="E49" s="193">
        <f>'3 Statement Model'!D13</f>
        <v>146406.31</v>
      </c>
      <c r="F49" s="193">
        <f>'3 Statement Model'!E13</f>
        <v>259309.27</v>
      </c>
      <c r="G49" s="193">
        <f>'3 Statement Model'!F13</f>
        <v>544464.53</v>
      </c>
      <c r="H49" s="193">
        <f>'3 Statement Model'!G13</f>
        <v>689043</v>
      </c>
      <c r="I49" s="193">
        <f>'3 Statement Model'!H13</f>
        <v>808029</v>
      </c>
      <c r="J49" s="193">
        <f>'3 Statement Model'!I13</f>
        <v>849619</v>
      </c>
      <c r="K49" s="151">
        <f>'3 Statement Model'!J13</f>
        <v>1015783.43</v>
      </c>
      <c r="L49" s="151">
        <f>'3 Statement Model'!K13</f>
        <v>1214721.5549000001</v>
      </c>
      <c r="M49" s="151">
        <f>'3 Statement Model'!L13</f>
        <v>1452929.0716069997</v>
      </c>
      <c r="N49" s="151">
        <f>'3 Statement Model'!M13</f>
        <v>1738192.8294850097</v>
      </c>
      <c r="O49" s="151">
        <f>'3 Statement Model'!N13</f>
        <v>2079847.9291773739</v>
      </c>
    </row>
    <row r="50" spans="2:15">
      <c r="B50" s="30" t="s">
        <v>109</v>
      </c>
      <c r="C50" s="30"/>
      <c r="D50" s="30"/>
      <c r="E50" s="60">
        <f>E48/E49</f>
        <v>-9.2926322642794686E-4</v>
      </c>
      <c r="F50" s="60">
        <f t="shared" ref="F50:O50" si="9">F48/F49</f>
        <v>2.1107344137754842E-2</v>
      </c>
      <c r="G50" s="60">
        <f t="shared" si="9"/>
        <v>0.11929794581843559</v>
      </c>
      <c r="H50" s="60">
        <f t="shared" si="9"/>
        <v>0.23681395790973858</v>
      </c>
      <c r="I50" s="60">
        <f t="shared" si="9"/>
        <v>0.22348579073275834</v>
      </c>
      <c r="J50" s="60">
        <f t="shared" si="9"/>
        <v>0.14104439754760664</v>
      </c>
      <c r="K50" s="60">
        <f t="shared" si="9"/>
        <v>0.14999999999999994</v>
      </c>
      <c r="L50" s="60">
        <f t="shared" si="9"/>
        <v>0.15</v>
      </c>
      <c r="M50" s="60">
        <f t="shared" si="9"/>
        <v>0.12000000000000001</v>
      </c>
      <c r="N50" s="60">
        <f t="shared" si="9"/>
        <v>9.9999999999999992E-2</v>
      </c>
      <c r="O50" s="60">
        <f t="shared" si="9"/>
        <v>9.9999999999999978E-2</v>
      </c>
    </row>
    <row r="51" spans="2:15">
      <c r="B51" s="16"/>
      <c r="C51" s="16"/>
      <c r="D51" s="16"/>
      <c r="E51" s="61"/>
      <c r="F51" s="61"/>
      <c r="G51" s="61"/>
      <c r="H51" s="61"/>
      <c r="I51" s="61"/>
      <c r="J51" s="61"/>
      <c r="K51" s="61"/>
      <c r="L51" s="61"/>
    </row>
    <row r="52" spans="2:15">
      <c r="B52" t="s">
        <v>66</v>
      </c>
      <c r="E52" s="193">
        <f>'3 Statement Model'!D31</f>
        <v>-47130.510000000009</v>
      </c>
      <c r="F52" s="193">
        <f>'3 Statement Model'!E31</f>
        <v>-45212.670000000013</v>
      </c>
      <c r="G52" s="193">
        <f>'3 Statement Model'!F31</f>
        <v>13923.809999999998</v>
      </c>
      <c r="H52" s="193">
        <f>'3 Statement Model'!G31</f>
        <v>98918</v>
      </c>
      <c r="I52" s="193">
        <f>'3 Statement Model'!H31</f>
        <v>93781</v>
      </c>
      <c r="J52" s="193">
        <f>'3 Statement Model'!I31</f>
        <v>11752</v>
      </c>
      <c r="K52" s="151">
        <f>'3 Statement Model'!J31</f>
        <v>33789.377881637411</v>
      </c>
      <c r="L52" s="151">
        <f>'3 Statement Model'!K31</f>
        <v>52452.003042450626</v>
      </c>
      <c r="M52" s="151">
        <f>'3 Statement Model'!L31</f>
        <v>32785.245251273242</v>
      </c>
      <c r="N52" s="151">
        <f>'3 Statement Model'!M31</f>
        <v>19849.960541862383</v>
      </c>
      <c r="O52" s="151">
        <f>'3 Statement Model'!N31</f>
        <v>41077.777035376726</v>
      </c>
    </row>
    <row r="53" spans="2:15">
      <c r="B53" t="s">
        <v>14</v>
      </c>
      <c r="E53" s="193">
        <f>'3 Statement Model'!D13</f>
        <v>146406.31</v>
      </c>
      <c r="F53" s="193">
        <f>'3 Statement Model'!E13</f>
        <v>259309.27</v>
      </c>
      <c r="G53" s="193">
        <f>'3 Statement Model'!F13</f>
        <v>544464.53</v>
      </c>
      <c r="H53" s="193">
        <f>'3 Statement Model'!G13</f>
        <v>689043</v>
      </c>
      <c r="I53" s="193">
        <f>'3 Statement Model'!H13</f>
        <v>808029</v>
      </c>
      <c r="J53" s="193">
        <f>'3 Statement Model'!I13</f>
        <v>849619</v>
      </c>
      <c r="K53" s="151">
        <f>'3 Statement Model'!J13</f>
        <v>1015783.43</v>
      </c>
      <c r="L53" s="151">
        <f>'3 Statement Model'!K13</f>
        <v>1214721.5549000001</v>
      </c>
      <c r="M53" s="151">
        <f>'3 Statement Model'!L13</f>
        <v>1452929.0716069997</v>
      </c>
      <c r="N53" s="151">
        <f>'3 Statement Model'!M13</f>
        <v>1738192.8294850097</v>
      </c>
      <c r="O53" s="151">
        <f>'3 Statement Model'!N13</f>
        <v>2079847.9291773739</v>
      </c>
    </row>
    <row r="54" spans="2:15">
      <c r="B54" s="30" t="s">
        <v>110</v>
      </c>
      <c r="C54" s="30"/>
      <c r="D54" s="30"/>
      <c r="E54" s="435">
        <f>E52/E53</f>
        <v>-0.32191583819030756</v>
      </c>
      <c r="F54" s="435">
        <f t="shared" ref="F54:O54" si="10">F52/F53</f>
        <v>-0.17435809371566244</v>
      </c>
      <c r="G54" s="435">
        <f t="shared" si="10"/>
        <v>2.5573401448208199E-2</v>
      </c>
      <c r="H54" s="435">
        <f t="shared" si="10"/>
        <v>0.14355852972891386</v>
      </c>
      <c r="I54" s="435">
        <f t="shared" si="10"/>
        <v>0.11606142848833396</v>
      </c>
      <c r="J54" s="435">
        <f t="shared" si="10"/>
        <v>1.3832082380455239E-2</v>
      </c>
      <c r="K54" s="435">
        <f t="shared" si="10"/>
        <v>3.3264352305527774E-2</v>
      </c>
      <c r="L54" s="435">
        <f t="shared" si="10"/>
        <v>4.3180268622769809E-2</v>
      </c>
      <c r="M54" s="435">
        <f t="shared" si="10"/>
        <v>2.2564931690031782E-2</v>
      </c>
      <c r="N54" s="435">
        <f t="shared" si="10"/>
        <v>1.1419884034237739E-2</v>
      </c>
      <c r="O54" s="435">
        <f t="shared" si="10"/>
        <v>1.9750375236147144E-2</v>
      </c>
    </row>
    <row r="55" spans="2:15">
      <c r="B55" s="16"/>
      <c r="C55" s="16"/>
      <c r="D55" s="16"/>
      <c r="E55" s="61"/>
      <c r="F55" s="61"/>
      <c r="G55" s="61"/>
      <c r="H55" s="61"/>
      <c r="I55" s="61"/>
      <c r="J55" s="61"/>
      <c r="K55" s="61"/>
      <c r="L55" s="61"/>
    </row>
    <row r="56" spans="2:15">
      <c r="B56" t="s">
        <v>29</v>
      </c>
      <c r="E56" s="193">
        <f>'3 Statement Model'!D42</f>
        <v>-58064.270000000011</v>
      </c>
      <c r="F56" s="193">
        <f>'3 Statement Model'!E42</f>
        <v>-61618.450000000012</v>
      </c>
      <c r="G56" s="193">
        <f>'3 Statement Model'!F42</f>
        <v>-3057.890000000004</v>
      </c>
      <c r="H56" s="193">
        <f>'3 Statement Model'!G42</f>
        <v>81725.459999999992</v>
      </c>
      <c r="I56" s="193">
        <f>'3 Statement Model'!H42</f>
        <v>72584</v>
      </c>
      <c r="J56" s="193">
        <f>'3 Statement Model'!I42</f>
        <v>-23936</v>
      </c>
      <c r="K56" s="151">
        <f>'3 Statement Model'!J42</f>
        <v>9439.9535502280632</v>
      </c>
      <c r="L56" s="151">
        <f>'3 Statement Model'!K42</f>
        <v>33891.114279007968</v>
      </c>
      <c r="M56" s="151">
        <f>'3 Statement Model'!L42</f>
        <v>32220.773603973164</v>
      </c>
      <c r="N56" s="151">
        <f>'3 Statement Model'!M42</f>
        <v>32854.962082532991</v>
      </c>
      <c r="O56" s="151">
        <f>'3 Statement Model'!N42</f>
        <v>46691.848877621225</v>
      </c>
    </row>
    <row r="57" spans="2:15">
      <c r="B57" t="s">
        <v>14</v>
      </c>
      <c r="E57" s="193">
        <f>'3 Statement Model'!D13</f>
        <v>146406.31</v>
      </c>
      <c r="F57" s="193">
        <f>'3 Statement Model'!E13</f>
        <v>259309.27</v>
      </c>
      <c r="G57" s="193">
        <f>'3 Statement Model'!F13</f>
        <v>544464.53</v>
      </c>
      <c r="H57" s="193">
        <f>'3 Statement Model'!G13</f>
        <v>689043</v>
      </c>
      <c r="I57" s="193">
        <f>'3 Statement Model'!H13</f>
        <v>808029</v>
      </c>
      <c r="J57" s="193">
        <f>'3 Statement Model'!I13</f>
        <v>849619</v>
      </c>
      <c r="K57" s="151">
        <f>'3 Statement Model'!J13</f>
        <v>1015783.43</v>
      </c>
      <c r="L57" s="151">
        <f>'3 Statement Model'!K13</f>
        <v>1214721.5549000001</v>
      </c>
      <c r="M57" s="151">
        <f>'3 Statement Model'!L13</f>
        <v>1452929.0716069997</v>
      </c>
      <c r="N57" s="151">
        <f>'3 Statement Model'!M13</f>
        <v>1738192.8294850097</v>
      </c>
      <c r="O57" s="151">
        <f>'3 Statement Model'!N13</f>
        <v>2079847.9291773739</v>
      </c>
    </row>
    <row r="58" spans="2:15">
      <c r="B58" s="30" t="s">
        <v>112</v>
      </c>
      <c r="C58" s="30"/>
      <c r="D58" s="30"/>
      <c r="E58" s="435">
        <f>E56/E57</f>
        <v>-0.39659677236589058</v>
      </c>
      <c r="F58" s="435">
        <f t="shared" ref="F58:O58" si="11">F56/F57</f>
        <v>-0.23762532669965872</v>
      </c>
      <c r="G58" s="435">
        <f t="shared" si="11"/>
        <v>-5.6163254564994417E-3</v>
      </c>
      <c r="H58" s="435">
        <f t="shared" si="11"/>
        <v>0.11860719867990821</v>
      </c>
      <c r="I58" s="435">
        <f t="shared" si="11"/>
        <v>8.9828459127085786E-2</v>
      </c>
      <c r="J58" s="435">
        <f t="shared" si="11"/>
        <v>-2.817262796618249E-2</v>
      </c>
      <c r="K58" s="435">
        <f t="shared" si="11"/>
        <v>9.2932738135215135E-3</v>
      </c>
      <c r="L58" s="435">
        <f t="shared" si="11"/>
        <v>2.7900315214047549E-2</v>
      </c>
      <c r="M58" s="435">
        <f t="shared" si="11"/>
        <v>2.217642570007609E-2</v>
      </c>
      <c r="N58" s="435">
        <f t="shared" si="11"/>
        <v>1.8901793589993828E-2</v>
      </c>
      <c r="O58" s="435">
        <f t="shared" si="11"/>
        <v>2.244964558350614E-2</v>
      </c>
    </row>
    <row r="59" spans="2:15">
      <c r="E59" s="61"/>
      <c r="F59" s="61"/>
      <c r="G59" s="61"/>
      <c r="H59" s="61"/>
      <c r="I59" s="61"/>
      <c r="J59" s="61"/>
      <c r="K59" s="61"/>
      <c r="L59" s="61"/>
    </row>
    <row r="60" spans="2:15">
      <c r="B60" t="s">
        <v>111</v>
      </c>
      <c r="E60" s="193">
        <f>'3 Statement Model'!D42</f>
        <v>-58064.270000000011</v>
      </c>
      <c r="F60" s="193">
        <f>'3 Statement Model'!E42</f>
        <v>-61618.450000000012</v>
      </c>
      <c r="G60" s="193">
        <f>'3 Statement Model'!F42</f>
        <v>-3057.890000000004</v>
      </c>
      <c r="H60" s="193">
        <f>'3 Statement Model'!G42</f>
        <v>81725.459999999992</v>
      </c>
      <c r="I60" s="193">
        <f>'3 Statement Model'!H42</f>
        <v>72584</v>
      </c>
      <c r="J60" s="193">
        <f>'3 Statement Model'!I42</f>
        <v>-23936</v>
      </c>
      <c r="K60" s="151">
        <f>'3 Statement Model'!J42</f>
        <v>9439.9535502280632</v>
      </c>
      <c r="L60" s="151">
        <f>'3 Statement Model'!K42</f>
        <v>33891.114279007968</v>
      </c>
      <c r="M60" s="151">
        <f>'3 Statement Model'!L42</f>
        <v>32220.773603973164</v>
      </c>
      <c r="N60" s="151">
        <f>'3 Statement Model'!M42</f>
        <v>32854.962082532991</v>
      </c>
      <c r="O60" s="151">
        <f>'3 Statement Model'!N42</f>
        <v>46691.848877621225</v>
      </c>
    </row>
    <row r="61" spans="2:15">
      <c r="B61" t="s">
        <v>79</v>
      </c>
      <c r="E61" s="193">
        <f>'3 Statement Model'!D74</f>
        <v>430511.53</v>
      </c>
      <c r="F61" s="193">
        <f>'3 Statement Model'!E74</f>
        <v>459625.98000000004</v>
      </c>
      <c r="G61" s="193">
        <f>'3 Statement Model'!F74</f>
        <v>591698.19000000006</v>
      </c>
      <c r="H61" s="193">
        <f>'3 Statement Model'!G74</f>
        <v>822245</v>
      </c>
      <c r="I61" s="193">
        <f>'3 Statement Model'!H74</f>
        <v>1158435</v>
      </c>
      <c r="J61" s="193">
        <f>'3 Statement Model'!I74</f>
        <v>1360021</v>
      </c>
      <c r="K61" s="151">
        <f>'3 Statement Model'!J74</f>
        <v>1496961.5115473513</v>
      </c>
      <c r="L61" s="151">
        <f>'3 Statement Model'!K74</f>
        <v>1698774.6918781362</v>
      </c>
      <c r="M61" s="151">
        <f>'3 Statement Model'!L74</f>
        <v>1811349.6523569296</v>
      </c>
      <c r="N61" s="151">
        <f>'3 Statement Model'!M74</f>
        <v>1957294.9036606746</v>
      </c>
      <c r="O61" s="151">
        <f>'3 Statement Model'!N74</f>
        <v>2163757.3062547324</v>
      </c>
    </row>
    <row r="62" spans="2:15">
      <c r="B62" s="30" t="s">
        <v>113</v>
      </c>
      <c r="C62" s="30"/>
      <c r="D62" s="30"/>
      <c r="E62" s="435">
        <f>E60/E61</f>
        <v>-0.13487274080673289</v>
      </c>
      <c r="F62" s="435">
        <f t="shared" ref="F62:O62" si="12">F60/F61</f>
        <v>-0.1340621563646163</v>
      </c>
      <c r="G62" s="435">
        <f t="shared" si="12"/>
        <v>-5.1679894440779068E-3</v>
      </c>
      <c r="H62" s="435">
        <f t="shared" si="12"/>
        <v>9.9393076272887029E-2</v>
      </c>
      <c r="I62" s="435">
        <f t="shared" si="12"/>
        <v>6.2656946656480514E-2</v>
      </c>
      <c r="J62" s="435">
        <f t="shared" si="12"/>
        <v>-1.7599728239490419E-2</v>
      </c>
      <c r="K62" s="435">
        <f t="shared" si="12"/>
        <v>6.3060763268858854E-3</v>
      </c>
      <c r="L62" s="435">
        <f t="shared" si="12"/>
        <v>1.9950329164333459E-2</v>
      </c>
      <c r="M62" s="435">
        <f t="shared" si="12"/>
        <v>1.778826830151068E-2</v>
      </c>
      <c r="N62" s="435">
        <f t="shared" si="12"/>
        <v>1.6785902840233867E-2</v>
      </c>
      <c r="O62" s="435">
        <f t="shared" si="12"/>
        <v>2.1579060064938881E-2</v>
      </c>
    </row>
    <row r="63" spans="2:15">
      <c r="E63" s="61"/>
      <c r="F63" s="61"/>
      <c r="G63" s="61"/>
      <c r="H63" s="61"/>
      <c r="I63" s="61"/>
      <c r="J63" s="61"/>
      <c r="K63" s="61"/>
      <c r="L63" s="61"/>
    </row>
    <row r="64" spans="2:15">
      <c r="B64" t="s">
        <v>111</v>
      </c>
      <c r="E64" s="193">
        <f>'3 Statement Model'!D42</f>
        <v>-58064.270000000011</v>
      </c>
      <c r="F64" s="193">
        <f>'3 Statement Model'!E42</f>
        <v>-61618.450000000012</v>
      </c>
      <c r="G64" s="193">
        <f>'3 Statement Model'!F42</f>
        <v>-3057.890000000004</v>
      </c>
      <c r="H64" s="193">
        <f>'3 Statement Model'!G42</f>
        <v>81725.459999999992</v>
      </c>
      <c r="I64" s="193">
        <f>'3 Statement Model'!H42</f>
        <v>72584</v>
      </c>
      <c r="J64" s="193">
        <f>'3 Statement Model'!I42</f>
        <v>-23936</v>
      </c>
      <c r="K64" s="151">
        <f>'3 Statement Model'!J42</f>
        <v>9439.9535502280632</v>
      </c>
      <c r="L64" s="151">
        <f>'3 Statement Model'!K42</f>
        <v>33891.114279007968</v>
      </c>
      <c r="M64" s="151">
        <f>'3 Statement Model'!L42</f>
        <v>32220.773603973164</v>
      </c>
      <c r="N64" s="151">
        <f>'3 Statement Model'!M42</f>
        <v>32854.962082532991</v>
      </c>
      <c r="O64" s="151">
        <f>'3 Statement Model'!N42</f>
        <v>46691.848877621225</v>
      </c>
    </row>
    <row r="65" spans="2:15">
      <c r="B65" t="s">
        <v>103</v>
      </c>
      <c r="E65" s="193">
        <f>'3 Statement Model'!D97</f>
        <v>1108.5899999999997</v>
      </c>
      <c r="F65" s="193">
        <f>'3 Statement Model'!E97</f>
        <v>-59880.619999999995</v>
      </c>
      <c r="G65" s="193">
        <f>'3 Statement Model'!F97</f>
        <v>-62465.16</v>
      </c>
      <c r="H65" s="193">
        <f>'3 Statement Model'!G97</f>
        <v>19965</v>
      </c>
      <c r="I65" s="193">
        <f>'3 Statement Model'!H97</f>
        <v>93682</v>
      </c>
      <c r="J65" s="193">
        <f>'3 Statement Model'!I97</f>
        <v>69711</v>
      </c>
      <c r="K65" s="151">
        <f>'3 Statement Model'!J97</f>
        <v>79150.953550228034</v>
      </c>
      <c r="L65" s="151">
        <f>'3 Statement Model'!K97</f>
        <v>113042.06782923601</v>
      </c>
      <c r="M65" s="151">
        <f>'3 Statement Model'!L97</f>
        <v>145262.84143320916</v>
      </c>
      <c r="N65" s="151">
        <f>'3 Statement Model'!M97</f>
        <v>178117.80351574215</v>
      </c>
      <c r="O65" s="151">
        <f>'3 Statement Model'!N97</f>
        <v>224809.65239336339</v>
      </c>
    </row>
    <row r="66" spans="2:15">
      <c r="B66" s="30" t="s">
        <v>114</v>
      </c>
      <c r="C66" s="30"/>
      <c r="D66" s="30"/>
      <c r="E66" s="435">
        <f>E64/E65</f>
        <v>-52.376685699852992</v>
      </c>
      <c r="F66" s="435">
        <f t="shared" ref="F66:O66" si="13">F64/F65</f>
        <v>1.0290215765969026</v>
      </c>
      <c r="G66" s="435">
        <f t="shared" si="13"/>
        <v>4.8953528655013512E-2</v>
      </c>
      <c r="H66" s="435">
        <f t="shared" si="13"/>
        <v>4.0934365138993236</v>
      </c>
      <c r="I66" s="435">
        <f t="shared" si="13"/>
        <v>0.77479131530069811</v>
      </c>
      <c r="J66" s="435">
        <f t="shared" si="13"/>
        <v>-0.34336044526688758</v>
      </c>
      <c r="K66" s="435">
        <f t="shared" si="13"/>
        <v>0.1192651904596147</v>
      </c>
      <c r="L66" s="435">
        <f t="shared" si="13"/>
        <v>0.29980975162454282</v>
      </c>
      <c r="M66" s="435">
        <f t="shared" si="13"/>
        <v>0.22181015658287292</v>
      </c>
      <c r="N66" s="435">
        <f t="shared" si="13"/>
        <v>0.1844563622166453</v>
      </c>
      <c r="O66" s="435">
        <f t="shared" si="13"/>
        <v>0.20769503613626697</v>
      </c>
    </row>
    <row r="67" spans="2:15">
      <c r="E67" s="61"/>
      <c r="F67" s="61"/>
      <c r="G67" s="61"/>
      <c r="H67" s="61"/>
      <c r="I67" s="61"/>
      <c r="J67" s="61"/>
      <c r="K67" s="61"/>
      <c r="L67" s="61"/>
    </row>
    <row r="68" spans="2:15" ht="15.6">
      <c r="B68" s="7" t="s">
        <v>115</v>
      </c>
      <c r="C68" s="8"/>
      <c r="D68" s="8"/>
      <c r="E68" s="8"/>
      <c r="F68" s="8"/>
      <c r="G68" s="8"/>
      <c r="H68" s="8"/>
      <c r="I68" s="8"/>
      <c r="J68" s="8"/>
      <c r="K68" s="54"/>
      <c r="L68" s="54"/>
      <c r="M68" s="54"/>
      <c r="N68" s="54"/>
      <c r="O68" s="54"/>
    </row>
    <row r="70" spans="2:15">
      <c r="B70" t="s">
        <v>116</v>
      </c>
      <c r="E70" s="193">
        <f>'3 Statement Model'!D13</f>
        <v>146406.31</v>
      </c>
      <c r="F70" s="193">
        <f>'3 Statement Model'!E13</f>
        <v>259309.27</v>
      </c>
      <c r="G70" s="193">
        <f>'3 Statement Model'!F13</f>
        <v>544464.53</v>
      </c>
      <c r="H70" s="193">
        <f>'3 Statement Model'!G13</f>
        <v>689043</v>
      </c>
      <c r="I70" s="193">
        <f>'3 Statement Model'!H13</f>
        <v>808029</v>
      </c>
      <c r="J70" s="193">
        <f>'3 Statement Model'!I13</f>
        <v>849619</v>
      </c>
      <c r="K70" s="151">
        <f>'3 Statement Model'!J13</f>
        <v>1015783.43</v>
      </c>
      <c r="L70" s="151">
        <f>'3 Statement Model'!K13</f>
        <v>1214721.5549000001</v>
      </c>
      <c r="M70" s="151">
        <f>'3 Statement Model'!L13</f>
        <v>1452929.0716069997</v>
      </c>
      <c r="N70" s="151">
        <f>'3 Statement Model'!M13</f>
        <v>1738192.8294850097</v>
      </c>
      <c r="O70" s="151">
        <f>'3 Statement Model'!N13</f>
        <v>2079847.9291773739</v>
      </c>
    </row>
    <row r="71" spans="2:15">
      <c r="B71" t="s">
        <v>79</v>
      </c>
      <c r="E71" s="193">
        <f>'3 Statement Model'!D74</f>
        <v>430511.53</v>
      </c>
      <c r="F71" s="193">
        <f>'3 Statement Model'!E74</f>
        <v>459625.98000000004</v>
      </c>
      <c r="G71" s="193">
        <f>'3 Statement Model'!F74</f>
        <v>591698.19000000006</v>
      </c>
      <c r="H71" s="193">
        <f>'3 Statement Model'!G74</f>
        <v>822245</v>
      </c>
      <c r="I71" s="193">
        <f>'3 Statement Model'!H74</f>
        <v>1158435</v>
      </c>
      <c r="J71" s="193">
        <f>'3 Statement Model'!I74</f>
        <v>1360021</v>
      </c>
      <c r="K71" s="151">
        <f>'3 Statement Model'!J74</f>
        <v>1496961.5115473513</v>
      </c>
      <c r="L71" s="151">
        <f>'3 Statement Model'!K74</f>
        <v>1698774.6918781362</v>
      </c>
      <c r="M71" s="151">
        <f>'3 Statement Model'!L74</f>
        <v>1811349.6523569296</v>
      </c>
      <c r="N71" s="151">
        <f>'3 Statement Model'!M74</f>
        <v>1957294.9036606746</v>
      </c>
      <c r="O71" s="151">
        <f>'3 Statement Model'!N74</f>
        <v>2163757.3062547324</v>
      </c>
    </row>
    <row r="72" spans="2:15">
      <c r="B72" s="30" t="s">
        <v>117</v>
      </c>
      <c r="C72" s="30"/>
      <c r="D72" s="30"/>
      <c r="E72" s="60">
        <f>E70/E71</f>
        <v>0.34007523561564074</v>
      </c>
      <c r="F72" s="60">
        <f t="shared" ref="F72:O72" si="14">F70/F71</f>
        <v>0.56417452729717321</v>
      </c>
      <c r="G72" s="60">
        <f t="shared" si="14"/>
        <v>0.92017271507962528</v>
      </c>
      <c r="H72" s="60">
        <f t="shared" si="14"/>
        <v>0.83800205534846672</v>
      </c>
      <c r="I72" s="60">
        <f t="shared" si="14"/>
        <v>0.69751777182146601</v>
      </c>
      <c r="J72" s="60">
        <f t="shared" si="14"/>
        <v>0.62471020668063215</v>
      </c>
      <c r="K72" s="60">
        <f t="shared" si="14"/>
        <v>0.67856349155565399</v>
      </c>
      <c r="L72" s="60">
        <f t="shared" si="14"/>
        <v>0.71505748273011105</v>
      </c>
      <c r="M72" s="60">
        <f t="shared" si="14"/>
        <v>0.80212512792129742</v>
      </c>
      <c r="N72" s="60">
        <f t="shared" si="14"/>
        <v>0.88805873158618853</v>
      </c>
      <c r="O72" s="60">
        <f t="shared" si="14"/>
        <v>0.96122052282166615</v>
      </c>
    </row>
    <row r="73" spans="2:15">
      <c r="B73" s="16"/>
      <c r="C73" s="16"/>
      <c r="D73" s="16"/>
      <c r="E73" s="61"/>
      <c r="F73" s="61"/>
      <c r="G73" s="61"/>
      <c r="H73" s="61"/>
      <c r="I73" s="61"/>
      <c r="J73" s="61"/>
      <c r="K73" s="61"/>
      <c r="L73" s="61"/>
    </row>
    <row r="74" spans="2:15">
      <c r="B74" t="s">
        <v>118</v>
      </c>
      <c r="C74" s="16"/>
      <c r="D74" s="16"/>
      <c r="E74" s="62"/>
      <c r="F74" s="193">
        <f>'3 Statement Model'!E13-'3 Statement Model'!D13</f>
        <v>112902.95999999999</v>
      </c>
      <c r="G74" s="193">
        <f>'3 Statement Model'!F13-'3 Statement Model'!E13</f>
        <v>285155.26</v>
      </c>
      <c r="H74" s="193">
        <f>'3 Statement Model'!G13-'3 Statement Model'!F13</f>
        <v>144578.46999999997</v>
      </c>
      <c r="I74" s="193">
        <f>'3 Statement Model'!H13-'3 Statement Model'!G13</f>
        <v>118986</v>
      </c>
      <c r="J74" s="193">
        <f>'3 Statement Model'!I13-'3 Statement Model'!H13</f>
        <v>41590</v>
      </c>
      <c r="K74" s="193">
        <f>'3 Statement Model'!J13-'3 Statement Model'!I13</f>
        <v>166164.43000000005</v>
      </c>
      <c r="L74" s="151">
        <f>'3 Statement Model'!K13-'3 Statement Model'!J13</f>
        <v>198938.12490000005</v>
      </c>
      <c r="M74" s="151">
        <f>'3 Statement Model'!L13-'3 Statement Model'!K13</f>
        <v>238207.51670699962</v>
      </c>
      <c r="N74" s="151">
        <f>'3 Statement Model'!M13-'3 Statement Model'!L13</f>
        <v>285263.75787800993</v>
      </c>
      <c r="O74" s="151">
        <f>'3 Statement Model'!N13-'3 Statement Model'!M13</f>
        <v>341655.09969236422</v>
      </c>
    </row>
    <row r="75" spans="2:15">
      <c r="B75" s="29" t="s">
        <v>119</v>
      </c>
      <c r="C75" s="28"/>
      <c r="D75" s="16"/>
      <c r="E75" s="62"/>
      <c r="F75" s="193">
        <f>'3 Statement Model'!E74-'3 Statement Model'!D74</f>
        <v>29114.450000000012</v>
      </c>
      <c r="G75" s="193">
        <f>'3 Statement Model'!F74-'3 Statement Model'!E74</f>
        <v>132072.21000000002</v>
      </c>
      <c r="H75" s="193">
        <f>'3 Statement Model'!G74-'3 Statement Model'!F74</f>
        <v>230546.80999999994</v>
      </c>
      <c r="I75" s="193">
        <f>'3 Statement Model'!H74-'3 Statement Model'!G74</f>
        <v>336190</v>
      </c>
      <c r="J75" s="193">
        <f>'3 Statement Model'!I74-'3 Statement Model'!H74</f>
        <v>201586</v>
      </c>
      <c r="K75" s="193">
        <f>'3 Statement Model'!J74-'3 Statement Model'!I74</f>
        <v>136940.51154735126</v>
      </c>
      <c r="L75" s="151">
        <f>'3 Statement Model'!K74-'3 Statement Model'!J74</f>
        <v>201813.18033078499</v>
      </c>
      <c r="M75" s="151">
        <f>'3 Statement Model'!L74-'3 Statement Model'!K74</f>
        <v>112574.96047879336</v>
      </c>
      <c r="N75" s="151">
        <f>'3 Statement Model'!M74-'3 Statement Model'!L74</f>
        <v>145945.25130374497</v>
      </c>
      <c r="O75" s="151">
        <f>'3 Statement Model'!N74-'3 Statement Model'!M74</f>
        <v>206462.40259405784</v>
      </c>
    </row>
    <row r="76" spans="2:15">
      <c r="B76" s="16" t="s">
        <v>120</v>
      </c>
      <c r="C76" s="16"/>
      <c r="D76" s="30"/>
      <c r="E76" s="63"/>
      <c r="F76" s="60">
        <f>F74/F75</f>
        <v>3.8779011796547742</v>
      </c>
      <c r="G76" s="60">
        <f t="shared" ref="G76:O76" si="15">G74/G75</f>
        <v>2.1590860030281918</v>
      </c>
      <c r="H76" s="60">
        <f t="shared" si="15"/>
        <v>0.62711112767077548</v>
      </c>
      <c r="I76" s="60">
        <f t="shared" si="15"/>
        <v>0.35392486391623784</v>
      </c>
      <c r="J76" s="60">
        <f t="shared" si="15"/>
        <v>0.20631393053089003</v>
      </c>
      <c r="K76" s="60">
        <f t="shared" si="15"/>
        <v>1.2134059389908425</v>
      </c>
      <c r="L76" s="60">
        <f t="shared" si="15"/>
        <v>0.98575387679797455</v>
      </c>
      <c r="M76" s="60">
        <f t="shared" si="15"/>
        <v>2.1159902316987504</v>
      </c>
      <c r="N76" s="60">
        <f t="shared" si="15"/>
        <v>1.9545943107413049</v>
      </c>
      <c r="O76" s="60">
        <f t="shared" si="15"/>
        <v>1.6548054047599141</v>
      </c>
    </row>
    <row r="77" spans="2:15">
      <c r="C77" s="16"/>
      <c r="D77" s="16"/>
      <c r="E77" s="62"/>
      <c r="F77" s="62"/>
      <c r="G77" s="62"/>
      <c r="H77" s="62"/>
      <c r="I77" s="62"/>
      <c r="J77" s="62"/>
      <c r="K77" s="62"/>
      <c r="L77" s="62"/>
    </row>
    <row r="78" spans="2:15">
      <c r="B78" t="s">
        <v>40</v>
      </c>
      <c r="E78" s="193">
        <f>'3 Statement Model'!D14*-1</f>
        <v>94483.340000000011</v>
      </c>
      <c r="F78" s="193">
        <f>'3 Statement Model'!E14*-1</f>
        <v>194408.44</v>
      </c>
      <c r="G78" s="193">
        <f>'3 Statement Model'!F14*-1</f>
        <v>389093.9</v>
      </c>
      <c r="H78" s="193">
        <f>'3 Statement Model'!G14*-1</f>
        <v>405950</v>
      </c>
      <c r="I78" s="193">
        <f>'3 Statement Model'!H14*-1</f>
        <v>481803</v>
      </c>
      <c r="J78" s="193">
        <f>'3 Statement Model'!I14*-1</f>
        <v>564048</v>
      </c>
      <c r="K78" s="151">
        <f>'3 Statement Model'!J14*-1</f>
        <v>670417.06380000012</v>
      </c>
      <c r="L78" s="151">
        <f>'3 Statement Model'!K14*-1</f>
        <v>801716.22623400006</v>
      </c>
      <c r="M78" s="151">
        <f>'3 Statement Model'!L14*-1</f>
        <v>958933.18726061983</v>
      </c>
      <c r="N78" s="151">
        <f>'3 Statement Model'!M14*-1</f>
        <v>1147207.2674601064</v>
      </c>
      <c r="O78" s="151">
        <f>'3 Statement Model'!N14*-1</f>
        <v>1372699.6332570668</v>
      </c>
    </row>
    <row r="79" spans="2:15">
      <c r="B79" t="s">
        <v>121</v>
      </c>
      <c r="E79" s="193">
        <f>'3 Statement Model'!D56</f>
        <v>3164.18</v>
      </c>
      <c r="F79" s="193">
        <f>'3 Statement Model'!E56</f>
        <v>4080.63</v>
      </c>
      <c r="G79" s="193">
        <f>'3 Statement Model'!F56</f>
        <v>5910.67</v>
      </c>
      <c r="H79" s="193">
        <f>'3 Statement Model'!G56</f>
        <v>6248</v>
      </c>
      <c r="I79" s="193">
        <f>'3 Statement Model'!H56</f>
        <v>8203</v>
      </c>
      <c r="J79" s="193">
        <f>'3 Statement Model'!I56</f>
        <v>9848</v>
      </c>
      <c r="K79" s="151">
        <f>'3 Statement Model'!J56</f>
        <v>11020.55447342466</v>
      </c>
      <c r="L79" s="151">
        <f>'3 Statement Model'!K56</f>
        <v>13178.896869600001</v>
      </c>
      <c r="M79" s="151">
        <f>'3 Statement Model'!L56</f>
        <v>15763.285270037586</v>
      </c>
      <c r="N79" s="151">
        <f>'3 Statement Model'!M56</f>
        <v>18858.20165687846</v>
      </c>
      <c r="O79" s="151">
        <f>'3 Statement Model'!N56</f>
        <v>22564.925478198358</v>
      </c>
    </row>
    <row r="80" spans="2:15">
      <c r="B80" s="30" t="s">
        <v>122</v>
      </c>
      <c r="C80" s="30"/>
      <c r="D80" s="30"/>
      <c r="E80" s="60">
        <f>E78/E79</f>
        <v>29.86029239803046</v>
      </c>
      <c r="F80" s="60">
        <f t="shared" ref="F80:O80" si="16">F78/F79</f>
        <v>47.641771001046408</v>
      </c>
      <c r="G80" s="60">
        <f t="shared" si="16"/>
        <v>65.829068447401056</v>
      </c>
      <c r="H80" s="60">
        <f t="shared" si="16"/>
        <v>64.972791293213831</v>
      </c>
      <c r="I80" s="60">
        <f t="shared" si="16"/>
        <v>58.734975009143</v>
      </c>
      <c r="J80" s="60">
        <f t="shared" si="16"/>
        <v>57.275385865150284</v>
      </c>
      <c r="K80" s="60">
        <f t="shared" si="16"/>
        <v>60.833333333333336</v>
      </c>
      <c r="L80" s="60">
        <f t="shared" si="16"/>
        <v>60.833333333333336</v>
      </c>
      <c r="M80" s="60">
        <f t="shared" si="16"/>
        <v>60.833333333333336</v>
      </c>
      <c r="N80" s="60">
        <f t="shared" si="16"/>
        <v>60.833333333333336</v>
      </c>
      <c r="O80" s="60">
        <f t="shared" si="16"/>
        <v>60.833333333333336</v>
      </c>
    </row>
    <row r="81" spans="2:15">
      <c r="B81" s="16"/>
      <c r="C81" s="16"/>
      <c r="D81" s="16"/>
      <c r="E81" s="61"/>
      <c r="F81" s="61"/>
      <c r="G81" s="61"/>
      <c r="H81" s="61"/>
      <c r="I81" s="61"/>
      <c r="J81" s="61"/>
      <c r="K81" s="61"/>
      <c r="L81" s="61"/>
    </row>
    <row r="82" spans="2:15" ht="15.6">
      <c r="B82" s="7" t="s">
        <v>123</v>
      </c>
      <c r="C82" s="8"/>
      <c r="D82" s="8"/>
      <c r="E82" s="8"/>
      <c r="F82" s="8"/>
      <c r="G82" s="8"/>
      <c r="H82" s="8"/>
      <c r="I82" s="8"/>
      <c r="J82" s="8"/>
      <c r="K82" s="54"/>
      <c r="L82" s="54"/>
      <c r="M82" s="54"/>
      <c r="N82" s="54"/>
      <c r="O82" s="54"/>
    </row>
    <row r="84" spans="2:15">
      <c r="B84" t="s">
        <v>102</v>
      </c>
      <c r="E84" s="193">
        <f>'3 Statement Model'!D81+'3 Statement Model'!D87</f>
        <v>298596.53999999998</v>
      </c>
      <c r="F84" s="193">
        <f>'3 Statement Model'!E81+'3 Statement Model'!E87</f>
        <v>368778.37</v>
      </c>
      <c r="G84" s="193">
        <f>'3 Statement Model'!F81+'3 Statement Model'!F87</f>
        <v>448542.13</v>
      </c>
      <c r="H84" s="193">
        <f>'3 Statement Model'!G81+'3 Statement Model'!G87</f>
        <v>512801</v>
      </c>
      <c r="I84" s="193">
        <f>'3 Statement Model'!H81+'3 Statement Model'!H87</f>
        <v>668098</v>
      </c>
      <c r="J84" s="193">
        <f>'3 Statement Model'!I81+'3 Statement Model'!I87</f>
        <v>777492</v>
      </c>
      <c r="K84" s="151">
        <f>'3 Statement Model'!J81+'3 Statement Model'!J87</f>
        <v>819149.93020000006</v>
      </c>
      <c r="L84" s="151">
        <f>'3 Statement Model'!K81+'3 Statement Model'!K87</f>
        <v>880848.28018600005</v>
      </c>
      <c r="M84" s="151">
        <f>'3 Statement Model'!L81+'3 Statement Model'!L87</f>
        <v>949736.69564997999</v>
      </c>
      <c r="N84" s="151">
        <f>'3 Statement Model'!M81+'3 Statement Model'!M87</f>
        <v>1004600.1542654013</v>
      </c>
      <c r="O84" s="151">
        <f>'3 Statement Model'!N81+'3 Statement Model'!N87</f>
        <v>1067656.9313850822</v>
      </c>
    </row>
    <row r="85" spans="2:15">
      <c r="B85" t="s">
        <v>64</v>
      </c>
      <c r="E85" s="193">
        <f>'3 Statement Model'!D25</f>
        <v>-136.05000000001019</v>
      </c>
      <c r="F85" s="193">
        <f>'3 Statement Model'!E25</f>
        <v>5473.3299999999872</v>
      </c>
      <c r="G85" s="193">
        <f>'3 Statement Model'!F25</f>
        <v>64953.5</v>
      </c>
      <c r="H85" s="193">
        <f>'3 Statement Model'!G25</f>
        <v>163175</v>
      </c>
      <c r="I85" s="193">
        <f>'3 Statement Model'!H25</f>
        <v>180583</v>
      </c>
      <c r="J85" s="193">
        <f>'3 Statement Model'!I25</f>
        <v>119834</v>
      </c>
      <c r="K85" s="151">
        <f>'3 Statement Model'!J25</f>
        <v>152367.51449999993</v>
      </c>
      <c r="L85" s="151">
        <f>'3 Statement Model'!K25</f>
        <v>182208.23323500002</v>
      </c>
      <c r="M85" s="151">
        <f>'3 Statement Model'!L25</f>
        <v>174351.48859283997</v>
      </c>
      <c r="N85" s="151">
        <f>'3 Statement Model'!M25</f>
        <v>173819.28294850094</v>
      </c>
      <c r="O85" s="151">
        <f>'3 Statement Model'!N25</f>
        <v>207984.79291773733</v>
      </c>
    </row>
    <row r="86" spans="2:15">
      <c r="B86" s="30" t="s">
        <v>124</v>
      </c>
      <c r="C86" s="30"/>
      <c r="D86" s="30"/>
      <c r="E86" s="435">
        <f>E84/E85</f>
        <v>-2194.7558985665391</v>
      </c>
      <c r="F86" s="435">
        <f t="shared" ref="F86:O86" si="17">F84/F85</f>
        <v>67.377331533088793</v>
      </c>
      <c r="G86" s="435">
        <f t="shared" si="17"/>
        <v>6.905588305480074</v>
      </c>
      <c r="H86" s="435">
        <f t="shared" si="17"/>
        <v>3.1426444001838516</v>
      </c>
      <c r="I86" s="435">
        <f t="shared" si="17"/>
        <v>3.6996727266686231</v>
      </c>
      <c r="J86" s="435">
        <f t="shared" si="17"/>
        <v>6.4880751706527366</v>
      </c>
      <c r="K86" s="435">
        <f t="shared" si="17"/>
        <v>5.3761455182101852</v>
      </c>
      <c r="L86" s="435">
        <f t="shared" si="17"/>
        <v>4.8342946119780477</v>
      </c>
      <c r="M86" s="435">
        <f t="shared" si="17"/>
        <v>5.4472531511783284</v>
      </c>
      <c r="N86" s="435">
        <f t="shared" si="17"/>
        <v>5.7795667846762635</v>
      </c>
      <c r="O86" s="435">
        <f t="shared" si="17"/>
        <v>5.133341319850075</v>
      </c>
    </row>
    <row r="87" spans="2:15">
      <c r="B87" s="16"/>
      <c r="C87" s="16"/>
      <c r="D87" s="16"/>
      <c r="E87" s="61"/>
      <c r="F87" s="61"/>
      <c r="G87" s="61"/>
      <c r="H87" s="61"/>
      <c r="I87" s="61"/>
      <c r="J87" s="61"/>
      <c r="K87" s="61"/>
      <c r="L87" s="61"/>
    </row>
    <row r="88" spans="2:15">
      <c r="B88" t="s">
        <v>66</v>
      </c>
      <c r="E88" s="193">
        <f>'3 Statement Model'!D31</f>
        <v>-47130.510000000009</v>
      </c>
      <c r="F88" s="193">
        <f>'3 Statement Model'!E31</f>
        <v>-45212.670000000013</v>
      </c>
      <c r="G88" s="193">
        <f>'3 Statement Model'!F31</f>
        <v>13923.809999999998</v>
      </c>
      <c r="H88" s="193">
        <f>'3 Statement Model'!G31</f>
        <v>98918</v>
      </c>
      <c r="I88" s="193">
        <f>'3 Statement Model'!H31</f>
        <v>93781</v>
      </c>
      <c r="J88" s="193">
        <f>'3 Statement Model'!I31</f>
        <v>11752</v>
      </c>
      <c r="K88" s="151">
        <f>'3 Statement Model'!J31</f>
        <v>33789.377881637411</v>
      </c>
      <c r="L88" s="151">
        <f>'3 Statement Model'!K31</f>
        <v>52452.003042450626</v>
      </c>
      <c r="M88" s="151">
        <f>'3 Statement Model'!L31</f>
        <v>32785.245251273242</v>
      </c>
      <c r="N88" s="151">
        <f>'3 Statement Model'!M31</f>
        <v>19849.960541862383</v>
      </c>
      <c r="O88" s="151">
        <f>'3 Statement Model'!N31</f>
        <v>41077.777035376726</v>
      </c>
    </row>
    <row r="89" spans="2:15">
      <c r="B89" t="s">
        <v>125</v>
      </c>
      <c r="E89" s="193">
        <f>'3 Statement Model'!D36</f>
        <v>21419.83</v>
      </c>
      <c r="F89" s="193">
        <f>'3 Statement Model'!E36</f>
        <v>23580.15</v>
      </c>
      <c r="G89" s="193">
        <f>'3 Statement Model'!F36</f>
        <v>31317.31</v>
      </c>
      <c r="H89" s="193">
        <f>'3 Statement Model'!G36</f>
        <v>41693.54</v>
      </c>
      <c r="I89" s="193">
        <f>'3 Statement Model'!H36</f>
        <v>50800</v>
      </c>
      <c r="J89" s="193">
        <f>'3 Statement Model'!I36</f>
        <v>58908</v>
      </c>
      <c r="K89" s="151">
        <f>'3 Statement Model'!J36</f>
        <v>63865.677208000001</v>
      </c>
      <c r="L89" s="151">
        <f>'3 Statement Model'!K36</f>
        <v>67999.928415440008</v>
      </c>
      <c r="M89" s="151">
        <f>'3 Statement Model'!L36</f>
        <v>91529.248791799007</v>
      </c>
      <c r="N89" s="151">
        <f>'3 Statement Model'!M36</f>
        <v>97716.842495769073</v>
      </c>
      <c r="O89" s="151">
        <f>'3 Statement Model'!N36</f>
        <v>103612.85428252419</v>
      </c>
    </row>
    <row r="90" spans="2:15">
      <c r="B90" s="19" t="s">
        <v>126</v>
      </c>
      <c r="C90" s="19"/>
      <c r="D90" s="19"/>
      <c r="E90" s="193">
        <f>'3 Statement Model'!D188*-1</f>
        <v>19967.919999999998</v>
      </c>
      <c r="F90" s="193">
        <f>'3 Statement Model'!E188*-1</f>
        <v>24893.18</v>
      </c>
      <c r="G90" s="193">
        <f>'3 Statement Model'!F188*-1</f>
        <v>41137.71</v>
      </c>
      <c r="H90" s="193">
        <f>'3 Statement Model'!G188*-1</f>
        <v>62422</v>
      </c>
      <c r="I90" s="193">
        <f>'3 Statement Model'!H188*-1</f>
        <v>69011</v>
      </c>
      <c r="J90" s="193">
        <f>'3 Statement Model'!I188*-1</f>
        <v>161802</v>
      </c>
      <c r="K90" s="151">
        <f>'3 Statement Model'!J188*-1</f>
        <v>161802</v>
      </c>
      <c r="L90" s="151">
        <f>'3 Statement Model'!K188*-1</f>
        <v>161802</v>
      </c>
      <c r="M90" s="151">
        <f>'3 Statement Model'!L188*-1</f>
        <v>161802</v>
      </c>
      <c r="N90" s="151">
        <f>'3 Statement Model'!M188*-1</f>
        <v>161802</v>
      </c>
      <c r="O90" s="151">
        <f>'3 Statement Model'!N188*-1</f>
        <v>161802</v>
      </c>
    </row>
    <row r="91" spans="2:15">
      <c r="B91" s="30" t="s">
        <v>127</v>
      </c>
      <c r="C91" s="30"/>
      <c r="D91" s="30"/>
      <c r="E91" s="435">
        <f>E88/SUM(E89:E90)</f>
        <v>-1.1387550664145794</v>
      </c>
      <c r="F91" s="435">
        <f t="shared" ref="F91:O91" si="18">F88/SUM(F89:F90)</f>
        <v>-0.93273290694078603</v>
      </c>
      <c r="G91" s="435">
        <f t="shared" si="18"/>
        <v>0.19217177774569652</v>
      </c>
      <c r="H91" s="435">
        <f t="shared" si="18"/>
        <v>0.95007911403043188</v>
      </c>
      <c r="I91" s="435">
        <f t="shared" si="18"/>
        <v>0.78274115064560013</v>
      </c>
      <c r="J91" s="435">
        <f t="shared" si="18"/>
        <v>5.3246341352906526E-2</v>
      </c>
      <c r="K91" s="435">
        <f t="shared" si="18"/>
        <v>0.14973069382237414</v>
      </c>
      <c r="L91" s="435">
        <f t="shared" si="18"/>
        <v>0.22824875058327168</v>
      </c>
      <c r="M91" s="435">
        <f t="shared" si="18"/>
        <v>0.12941650667903937</v>
      </c>
      <c r="N91" s="435">
        <f t="shared" si="18"/>
        <v>7.6487550387351916E-2</v>
      </c>
      <c r="O91" s="435">
        <f t="shared" si="18"/>
        <v>0.15476819165385131</v>
      </c>
    </row>
    <row r="92" spans="2:15">
      <c r="B92" s="16"/>
      <c r="C92" s="16"/>
      <c r="D92" s="16"/>
      <c r="E92" s="61"/>
      <c r="F92" s="61"/>
      <c r="G92" s="62"/>
      <c r="H92" s="62"/>
      <c r="I92" s="62"/>
      <c r="J92" s="62"/>
      <c r="K92" s="62"/>
      <c r="L92" s="62"/>
    </row>
    <row r="93" spans="2:15">
      <c r="B93" t="s">
        <v>66</v>
      </c>
      <c r="E93" s="193">
        <f>'3 Statement Model'!D31</f>
        <v>-47130.510000000009</v>
      </c>
      <c r="F93" s="193">
        <f>'3 Statement Model'!E31</f>
        <v>-45212.670000000013</v>
      </c>
      <c r="G93" s="193">
        <f>'3 Statement Model'!F31</f>
        <v>13923.809999999998</v>
      </c>
      <c r="H93" s="193">
        <f>'3 Statement Model'!G31</f>
        <v>98918</v>
      </c>
      <c r="I93" s="193">
        <f>'3 Statement Model'!H31</f>
        <v>93781</v>
      </c>
      <c r="J93" s="193">
        <f>'3 Statement Model'!I31</f>
        <v>11752</v>
      </c>
      <c r="K93" s="151">
        <f>'3 Statement Model'!J31</f>
        <v>33789.377881637411</v>
      </c>
      <c r="L93" s="151">
        <f>'3 Statement Model'!K31</f>
        <v>52452.003042450626</v>
      </c>
      <c r="M93" s="151">
        <f>'3 Statement Model'!L31</f>
        <v>32785.245251273242</v>
      </c>
      <c r="N93" s="151">
        <f>'3 Statement Model'!M31</f>
        <v>19849.960541862383</v>
      </c>
      <c r="O93" s="151">
        <f>'3 Statement Model'!N31</f>
        <v>41077.777035376726</v>
      </c>
    </row>
    <row r="94" spans="2:15">
      <c r="B94" t="s">
        <v>128</v>
      </c>
      <c r="E94" s="193">
        <f>'3 Statement Model'!D36</f>
        <v>21419.83</v>
      </c>
      <c r="F94" s="193">
        <f>'3 Statement Model'!E36</f>
        <v>23580.15</v>
      </c>
      <c r="G94" s="193">
        <f>'3 Statement Model'!F36</f>
        <v>31317.31</v>
      </c>
      <c r="H94" s="193">
        <f>'3 Statement Model'!G36</f>
        <v>41693.54</v>
      </c>
      <c r="I94" s="193">
        <f>'3 Statement Model'!H36</f>
        <v>50800</v>
      </c>
      <c r="J94" s="193">
        <f>'3 Statement Model'!I36</f>
        <v>58908</v>
      </c>
      <c r="K94" s="151">
        <f>'3 Statement Model'!J36</f>
        <v>63865.677208000001</v>
      </c>
      <c r="L94" s="151">
        <f>'3 Statement Model'!K36</f>
        <v>67999.928415440008</v>
      </c>
      <c r="M94" s="151">
        <f>'3 Statement Model'!L36</f>
        <v>91529.248791799007</v>
      </c>
      <c r="N94" s="151">
        <f>'3 Statement Model'!M36</f>
        <v>97716.842495769073</v>
      </c>
      <c r="O94" s="151">
        <f>'3 Statement Model'!N36</f>
        <v>103612.85428252419</v>
      </c>
    </row>
    <row r="95" spans="2:15">
      <c r="B95" s="30" t="s">
        <v>129</v>
      </c>
      <c r="C95" s="30"/>
      <c r="D95" s="30"/>
      <c r="E95" s="435">
        <f>E93/E94</f>
        <v>-2.2003213844367582</v>
      </c>
      <c r="F95" s="435">
        <f t="shared" ref="F95:O95" si="19">F93/F94</f>
        <v>-1.9174038333089489</v>
      </c>
      <c r="G95" s="435">
        <f t="shared" si="19"/>
        <v>0.44460427795363</v>
      </c>
      <c r="H95" s="435">
        <f t="shared" si="19"/>
        <v>2.372501831218937</v>
      </c>
      <c r="I95" s="435">
        <f t="shared" si="19"/>
        <v>1.8460826771653542</v>
      </c>
      <c r="J95" s="435">
        <f t="shared" si="19"/>
        <v>0.19949752155904121</v>
      </c>
      <c r="K95" s="435">
        <f t="shared" si="19"/>
        <v>0.52906943696206288</v>
      </c>
      <c r="L95" s="435">
        <f t="shared" si="19"/>
        <v>0.77135379793342429</v>
      </c>
      <c r="M95" s="435">
        <f t="shared" si="19"/>
        <v>0.35819419129998137</v>
      </c>
      <c r="N95" s="435">
        <f t="shared" si="19"/>
        <v>0.20313755576703008</v>
      </c>
      <c r="O95" s="435">
        <f t="shared" si="19"/>
        <v>0.39645444882127034</v>
      </c>
    </row>
    <row r="96" spans="2:15">
      <c r="B96" s="16"/>
      <c r="C96" s="16"/>
      <c r="D96" s="16"/>
      <c r="E96" s="61"/>
      <c r="F96" s="61"/>
      <c r="G96" s="61"/>
      <c r="H96" s="61"/>
      <c r="I96" s="61"/>
      <c r="J96" s="61"/>
      <c r="K96" s="61"/>
      <c r="L96" s="61"/>
    </row>
  </sheetData>
  <mergeCells count="2">
    <mergeCell ref="E8:J8"/>
    <mergeCell ref="K8:O8"/>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5121" r:id="rId4" name="Drop Down 1">
              <controlPr defaultSize="0" autoLine="0" autoPict="0">
                <anchor moveWithCells="1">
                  <from>
                    <xdr:col>8</xdr:col>
                    <xdr:colOff>60960</xdr:colOff>
                    <xdr:row>4</xdr:row>
                    <xdr:rowOff>45720</xdr:rowOff>
                  </from>
                  <to>
                    <xdr:col>9</xdr:col>
                    <xdr:colOff>701040</xdr:colOff>
                    <xdr:row>5</xdr:row>
                    <xdr:rowOff>22860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DD238-CC3A-4D35-BB12-7226A8E45731}">
  <dimension ref="B3:E24"/>
  <sheetViews>
    <sheetView showGridLines="0" topLeftCell="A16" workbookViewId="0">
      <selection activeCell="B7" sqref="B7:C7"/>
    </sheetView>
  </sheetViews>
  <sheetFormatPr defaultRowHeight="14.4"/>
  <cols>
    <col min="1" max="1" width="1.88671875" customWidth="1"/>
    <col min="2" max="2" width="45.77734375" customWidth="1"/>
    <col min="3" max="3" width="16.77734375" customWidth="1"/>
  </cols>
  <sheetData>
    <row r="3" spans="2:5">
      <c r="B3" s="8" t="s">
        <v>449</v>
      </c>
      <c r="E3" s="277" t="s">
        <v>132</v>
      </c>
    </row>
    <row r="4" spans="2:5">
      <c r="E4" s="277" t="s">
        <v>133</v>
      </c>
    </row>
    <row r="5" spans="2:5">
      <c r="B5" s="256" t="s">
        <v>450</v>
      </c>
      <c r="C5" s="257" t="str">
        <f>'Control Sheet'!B2</f>
        <v xml:space="preserve">InterGlobe Aviation </v>
      </c>
      <c r="D5" s="279" t="s">
        <v>598</v>
      </c>
    </row>
    <row r="6" spans="2:5">
      <c r="D6" s="279" t="s">
        <v>597</v>
      </c>
    </row>
    <row r="7" spans="2:5">
      <c r="B7" s="8" t="s">
        <v>451</v>
      </c>
      <c r="C7" s="480"/>
    </row>
    <row r="8" spans="2:5">
      <c r="B8" s="256" t="s">
        <v>452</v>
      </c>
      <c r="C8" s="269" t="s">
        <v>497</v>
      </c>
    </row>
    <row r="9" spans="2:5">
      <c r="B9" s="256" t="s">
        <v>453</v>
      </c>
      <c r="C9" s="302">
        <v>6.7830000000000001E-2</v>
      </c>
      <c r="D9" s="265"/>
    </row>
    <row r="10" spans="2:5">
      <c r="B10" s="256" t="str">
        <f>C8&amp;"'s" &amp; " Moodys Sovereign Rating"</f>
        <v>India's Moodys Sovereign Rating</v>
      </c>
      <c r="C10" s="270" t="str">
        <f>VLOOKUP(C8,'Damodaran Data'!B3:C83,2,FALSE)</f>
        <v>Baa3</v>
      </c>
      <c r="E10" s="265"/>
    </row>
    <row r="11" spans="2:5">
      <c r="B11" s="256" t="s">
        <v>454</v>
      </c>
      <c r="C11" s="302">
        <f>VLOOKUP(Input!C8,'Damodaran Data'!B3:E83,4,FALSE)</f>
        <v>1.0200000000000001E-2</v>
      </c>
      <c r="D11" s="265"/>
      <c r="E11" s="265"/>
    </row>
    <row r="12" spans="2:5">
      <c r="B12" s="256" t="s">
        <v>455</v>
      </c>
      <c r="C12" s="278">
        <v>4.2799999999999998E-2</v>
      </c>
      <c r="E12" s="265"/>
    </row>
    <row r="13" spans="2:5">
      <c r="B13" s="256" t="s">
        <v>456</v>
      </c>
      <c r="C13" s="400">
        <f>WACC!C81</f>
        <v>0.33116883116883117</v>
      </c>
    </row>
    <row r="14" spans="2:5">
      <c r="B14" s="256" t="s">
        <v>457</v>
      </c>
      <c r="C14" s="269">
        <v>0.06</v>
      </c>
    </row>
    <row r="15" spans="2:5">
      <c r="B15" s="256" t="s">
        <v>104</v>
      </c>
      <c r="C15" s="477">
        <v>11.1</v>
      </c>
    </row>
    <row r="16" spans="2:5">
      <c r="B16" s="256" t="s">
        <v>458</v>
      </c>
      <c r="C16" s="278">
        <f>Assumptions!J124</f>
        <v>0.91771629703860824</v>
      </c>
    </row>
    <row r="17" spans="2:3">
      <c r="B17" s="256" t="s">
        <v>10</v>
      </c>
      <c r="C17" s="302">
        <v>0.3</v>
      </c>
    </row>
    <row r="18" spans="2:3">
      <c r="B18" s="256" t="s">
        <v>459</v>
      </c>
      <c r="C18" s="269" t="s">
        <v>132</v>
      </c>
    </row>
    <row r="19" spans="2:3">
      <c r="B19" s="256" t="s">
        <v>596</v>
      </c>
      <c r="C19" s="269" t="s">
        <v>597</v>
      </c>
    </row>
    <row r="20" spans="2:3">
      <c r="B20" s="256" t="s">
        <v>460</v>
      </c>
      <c r="C20" s="269" t="s">
        <v>589</v>
      </c>
    </row>
    <row r="21" spans="2:3">
      <c r="B21" s="256" t="s">
        <v>129</v>
      </c>
      <c r="C21" s="280">
        <f>'3 Statement Model'!I31/'3 Statement Model'!I36</f>
        <v>0.19949752155904121</v>
      </c>
    </row>
    <row r="22" spans="2:3">
      <c r="B22" s="256" t="s">
        <v>599</v>
      </c>
      <c r="C22" s="278">
        <f>IF(C19="Non-financial firm", VLOOKUP(C21,'Damodaran Data'!M7:P21,4,TRUE), VLOOKUP(Input!C21,'Damodaran Data'!H7:K21,4,TRUE))</f>
        <v>0.12609999999999999</v>
      </c>
    </row>
    <row r="23" spans="2:3" ht="13.8" customHeight="1">
      <c r="B23" s="256" t="s">
        <v>461</v>
      </c>
      <c r="C23" s="479">
        <v>0</v>
      </c>
    </row>
    <row r="24" spans="2:3">
      <c r="B24" s="256" t="s">
        <v>462</v>
      </c>
      <c r="C24" s="479">
        <v>0</v>
      </c>
    </row>
  </sheetData>
  <dataValidations count="2">
    <dataValidation type="list" allowBlank="1" showInputMessage="1" showErrorMessage="1" sqref="C18" xr:uid="{7F2C76F1-24D6-4DF0-93C3-E4E83D0D93B6}">
      <formula1>$E$3:$E$4</formula1>
    </dataValidation>
    <dataValidation type="list" allowBlank="1" showInputMessage="1" showErrorMessage="1" sqref="C19" xr:uid="{B6C609D9-F986-49DF-B05D-1AD6E8DD61EC}">
      <formula1>$D$5:$D$6</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26101A04-CD03-41C9-B80A-E9C1F11AB327}">
          <x14:formula1>
            <xm:f>'Damodaran Data'!$B$3:$B$83</xm:f>
          </x14:formula1>
          <xm:sqref>C8</xm:sqref>
        </x14:dataValidation>
        <x14:dataValidation type="list" allowBlank="1" showInputMessage="1" showErrorMessage="1" xr:uid="{22F6551A-1A6B-4C21-A4D9-05C66F45BF8A}">
          <x14:formula1>
            <xm:f>'Damodaran Data'!$O$7:$O$21</xm:f>
          </x14:formula1>
          <xm:sqref>C20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A9C80-259B-4F4C-8122-D34511B521FF}">
  <sheetPr>
    <tabColor rgb="FF001B94"/>
  </sheetPr>
  <dimension ref="B2:M81"/>
  <sheetViews>
    <sheetView showGridLines="0" topLeftCell="A50" zoomScale="80" zoomScaleNormal="80" workbookViewId="0">
      <selection activeCell="N76" sqref="N76"/>
    </sheetView>
  </sheetViews>
  <sheetFormatPr defaultRowHeight="14.4"/>
  <cols>
    <col min="1" max="1" width="1.88671875" customWidth="1"/>
    <col min="2" max="2" width="42.44140625" customWidth="1"/>
    <col min="3" max="3" width="4.5546875" bestFit="1" customWidth="1"/>
    <col min="4" max="4" width="10.33203125" customWidth="1"/>
    <col min="5" max="5" width="13.21875" customWidth="1"/>
    <col min="6" max="7" width="10.88671875" customWidth="1"/>
    <col min="8" max="8" width="11.109375" customWidth="1"/>
    <col min="9" max="9" width="10.33203125" customWidth="1"/>
    <col min="12" max="12" width="12.6640625" customWidth="1"/>
    <col min="13" max="13" width="11.77734375" customWidth="1"/>
  </cols>
  <sheetData>
    <row r="2" spans="2:9" ht="21">
      <c r="B2" s="282" t="str">
        <f>'Control Sheet'!B2</f>
        <v xml:space="preserve">InterGlobe Aviation </v>
      </c>
    </row>
    <row r="3" spans="2:9" ht="18">
      <c r="B3" s="2" t="s">
        <v>144</v>
      </c>
    </row>
    <row r="5" spans="2:9">
      <c r="B5" s="8" t="s">
        <v>160</v>
      </c>
      <c r="C5" s="8"/>
      <c r="D5" s="53" t="s">
        <v>600</v>
      </c>
      <c r="E5" s="53" t="s">
        <v>602</v>
      </c>
      <c r="F5" s="53" t="s">
        <v>601</v>
      </c>
      <c r="H5" s="312" t="s">
        <v>603</v>
      </c>
    </row>
    <row r="6" spans="2:9">
      <c r="B6" s="12" t="s">
        <v>603</v>
      </c>
      <c r="C6" s="12"/>
      <c r="D6" s="306">
        <f>Input!$C$9-Input!$C$11</f>
        <v>5.7630000000000001E-2</v>
      </c>
      <c r="E6" s="306">
        <f>Input!$C$9-Input!$C$11</f>
        <v>5.7630000000000001E-2</v>
      </c>
      <c r="F6" s="306">
        <f>Input!$C$9-Input!$C$11</f>
        <v>5.7630000000000001E-2</v>
      </c>
      <c r="H6" s="498" t="str">
        <f>"We have considered " &amp;TEXT(E6,"0.0%")&amp; " as the risk free rate in estimating the cost  of equity of IndiGo " &amp;TEXT(E11,"0.0%")&amp; " . The risk free rate of India is calculated by considering local currency 10Yr. Government bond yield adjusted for default spread of India."</f>
        <v>We have considered 5.8% as the risk free rate in estimating the cost  of equity of IndiGo 27.0% . The risk free rate of India is calculated by considering local currency 10Yr. Government bond yield adjusted for default spread of India.</v>
      </c>
    </row>
    <row r="7" spans="2:9" ht="16.8" customHeight="1">
      <c r="B7" s="12" t="s">
        <v>604</v>
      </c>
      <c r="C7" s="12"/>
      <c r="D7" s="306">
        <f>Input!$C$12+Input!$C$11</f>
        <v>5.2999999999999999E-2</v>
      </c>
      <c r="E7" s="306">
        <f>Input!$C$12+Input!$C$11</f>
        <v>5.2999999999999999E-2</v>
      </c>
      <c r="F7" s="306">
        <f>Input!$C$12+Input!$C$11</f>
        <v>5.2999999999999999E-2</v>
      </c>
      <c r="H7" s="498"/>
      <c r="I7" s="311"/>
    </row>
    <row r="8" spans="2:9">
      <c r="B8" s="12" t="s">
        <v>456</v>
      </c>
      <c r="C8" s="12"/>
      <c r="D8" s="401">
        <f>Input!C13-Input!C14</f>
        <v>0.27116883116883117</v>
      </c>
      <c r="E8" s="401">
        <f>Input!C13</f>
        <v>0.33116883116883117</v>
      </c>
      <c r="F8" s="401">
        <f>Input!C13+Input!C14</f>
        <v>0.39116883116883117</v>
      </c>
      <c r="H8" s="498"/>
    </row>
    <row r="9" spans="2:9">
      <c r="B9" s="12" t="s">
        <v>605</v>
      </c>
      <c r="C9" s="12"/>
      <c r="D9" s="478">
        <f>Input!C15</f>
        <v>11.1</v>
      </c>
      <c r="E9" s="478">
        <f>D9</f>
        <v>11.1</v>
      </c>
      <c r="F9" s="478">
        <f>E9</f>
        <v>11.1</v>
      </c>
    </row>
    <row r="10" spans="2:9">
      <c r="B10" s="285" t="s">
        <v>606</v>
      </c>
      <c r="C10" s="285"/>
      <c r="D10" s="303">
        <f>D8*(1+(D9*(1-Input!C17)))</f>
        <v>2.3781506493506495</v>
      </c>
      <c r="E10" s="303">
        <f>E8*(1+(E9*(1-Input!D17)))</f>
        <v>4.0071428571428571</v>
      </c>
      <c r="F10" s="303">
        <f>F8*(1+(F9*(1-Input!E17)))</f>
        <v>4.7331428571428571</v>
      </c>
      <c r="H10" s="312" t="s">
        <v>456</v>
      </c>
    </row>
    <row r="11" spans="2:9" s="16" customFormat="1">
      <c r="B11" s="286" t="s">
        <v>607</v>
      </c>
      <c r="C11" s="286"/>
      <c r="D11" s="308">
        <f>D6+D7*D10</f>
        <v>0.18367198441558441</v>
      </c>
      <c r="E11" s="308">
        <f>E6+E7*E10</f>
        <v>0.27000857142857143</v>
      </c>
      <c r="F11" s="308">
        <f t="shared" ref="F11" si="0">F6+F7*F10</f>
        <v>0.30848657142857144</v>
      </c>
      <c r="H11" s="498" t="str">
        <f>"We have estimated an asset beta range of " &amp;TEXT(D8,"0.0%")&amp; " to " &amp;TEXT(F8,"0.0%")&amp; " , with a mid point of " &amp;TEXT(E8,"0.0%")&amp; " based on observe median of 5 year monthly asset beta of benchmark listed companies adjusted for blume effect."</f>
        <v>We have estimated an asset beta range of 27.1% to 39.1% , with a mid point of 33.1% based on observe median of 5 year monthly asset beta of benchmark listed companies adjusted for blume effect.</v>
      </c>
    </row>
    <row r="12" spans="2:9">
      <c r="D12" s="3"/>
      <c r="E12" s="3"/>
      <c r="F12" s="3"/>
      <c r="H12" s="498"/>
    </row>
    <row r="13" spans="2:9">
      <c r="B13" s="12" t="s">
        <v>461</v>
      </c>
      <c r="C13" s="12"/>
      <c r="D13" s="284">
        <f>Input!$C$23</f>
        <v>0</v>
      </c>
      <c r="E13" s="284">
        <f>Input!$C$23</f>
        <v>0</v>
      </c>
      <c r="F13" s="284">
        <f>Input!$C$23</f>
        <v>0</v>
      </c>
      <c r="H13" s="498"/>
    </row>
    <row r="14" spans="2:9">
      <c r="B14" s="285" t="s">
        <v>608</v>
      </c>
      <c r="C14" s="285"/>
      <c r="D14" s="287">
        <f>Input!$C$24</f>
        <v>0</v>
      </c>
      <c r="E14" s="287">
        <f>Input!$C$24</f>
        <v>0</v>
      </c>
      <c r="F14" s="287">
        <f>Input!$C$24</f>
        <v>0</v>
      </c>
    </row>
    <row r="15" spans="2:9" s="16" customFormat="1">
      <c r="B15" s="286" t="s">
        <v>612</v>
      </c>
      <c r="C15" s="286"/>
      <c r="D15" s="308">
        <f>D11+D13+D14</f>
        <v>0.18367198441558441</v>
      </c>
      <c r="E15" s="308">
        <f t="shared" ref="E15:F15" si="1">E11+E13+E14</f>
        <v>0.27000857142857143</v>
      </c>
      <c r="F15" s="308">
        <f t="shared" si="1"/>
        <v>0.30848657142857144</v>
      </c>
      <c r="H15" s="312" t="s">
        <v>638</v>
      </c>
    </row>
    <row r="16" spans="2:9">
      <c r="D16" s="3"/>
      <c r="E16" s="3"/>
      <c r="F16" s="3"/>
      <c r="H16" s="498" t="str">
        <f>"An ERP of " &amp;TEXT(D7,"0.0%")&amp; " has been adopted for IndiGo based on the estimated market risk premium for India. The ERP represents the additional return investors require for investing in equities over the risk free rate."</f>
        <v>An ERP of 5.3% has been adopted for IndiGo based on the estimated market risk premium for India. The ERP represents the additional return investors require for investing in equities over the risk free rate.</v>
      </c>
    </row>
    <row r="17" spans="2:8">
      <c r="B17" s="12" t="s">
        <v>613</v>
      </c>
      <c r="C17" s="12"/>
      <c r="D17" s="306">
        <f>Input!$C$9+(IF(Input!$C$18="No",Input!$C$22,VLOOKUP(Input!$C$20,'Damodaran Data'!$O$7:$P$21,2,FALSE)))</f>
        <v>7.4830000000000008E-2</v>
      </c>
      <c r="E17" s="306">
        <f>Input!$C$9+(IF(Input!$C$18="No",Input!$C$22,VLOOKUP(Input!$C$20,'Damodaran Data'!$O$7:$P$21,2,FALSE)))</f>
        <v>7.4830000000000008E-2</v>
      </c>
      <c r="F17" s="306">
        <f>Input!$C$9+(IF(Input!$C$18="No",Input!$C$22,VLOOKUP(Input!$C$20,'Damodaran Data'!$O$7:$P$21,2,FALSE)))</f>
        <v>7.4830000000000008E-2</v>
      </c>
      <c r="H17" s="498"/>
    </row>
    <row r="18" spans="2:8">
      <c r="B18" s="285" t="s">
        <v>10</v>
      </c>
      <c r="C18" s="285"/>
      <c r="D18" s="307">
        <f>Input!$C$17</f>
        <v>0.3</v>
      </c>
      <c r="E18" s="307">
        <f>Input!$C$17</f>
        <v>0.3</v>
      </c>
      <c r="F18" s="307">
        <f>Input!$C$17</f>
        <v>0.3</v>
      </c>
      <c r="H18" s="498"/>
    </row>
    <row r="19" spans="2:8" s="16" customFormat="1">
      <c r="B19" s="286" t="s">
        <v>609</v>
      </c>
      <c r="C19" s="286"/>
      <c r="D19" s="308">
        <f>D17*(1-D18)</f>
        <v>5.2381000000000004E-2</v>
      </c>
      <c r="E19" s="308">
        <f t="shared" ref="E19:F19" si="2">E17*(1-E18)</f>
        <v>5.2381000000000004E-2</v>
      </c>
      <c r="F19" s="308">
        <f t="shared" si="2"/>
        <v>5.2381000000000004E-2</v>
      </c>
    </row>
    <row r="20" spans="2:8">
      <c r="D20" s="3"/>
      <c r="E20" s="3"/>
      <c r="F20" s="3"/>
      <c r="H20" s="312" t="s">
        <v>639</v>
      </c>
    </row>
    <row r="21" spans="2:8">
      <c r="B21" s="12" t="s">
        <v>610</v>
      </c>
      <c r="C21" s="12"/>
      <c r="D21" s="306">
        <f>Input!$C$16</f>
        <v>0.91771629703860824</v>
      </c>
      <c r="E21" s="306">
        <f>Input!$C$16</f>
        <v>0.91771629703860824</v>
      </c>
      <c r="F21" s="306">
        <f>Input!$C$16</f>
        <v>0.91771629703860824</v>
      </c>
      <c r="H21" s="498" t="str">
        <f>"For the purpose of assessing the cost of debt, we have used country's risk free rate, country's default spread and corporate default spread based on company's debt rating and interest coverage ratio. "</f>
        <v xml:space="preserve">For the purpose of assessing the cost of debt, we have used country's risk free rate, country's default spread and corporate default spread based on company's debt rating and interest coverage ratio. </v>
      </c>
    </row>
    <row r="22" spans="2:8">
      <c r="B22" s="285" t="s">
        <v>144</v>
      </c>
      <c r="C22" s="285"/>
      <c r="D22" s="307">
        <f>(D19*D21)+(D11*(1-D21))</f>
        <v>6.3184108363160657E-2</v>
      </c>
      <c r="E22" s="307">
        <f>(E21*E19)+(E11*(1-E21))</f>
        <v>7.0288202443637635E-2</v>
      </c>
      <c r="F22" s="307">
        <f t="shared" ref="F22" si="3">(F21*F19)+(F11*(1-F21))</f>
        <v>7.345431476618608E-2</v>
      </c>
      <c r="H22" s="498"/>
    </row>
    <row r="23" spans="2:8" s="16" customFormat="1">
      <c r="B23" s="286" t="s">
        <v>611</v>
      </c>
      <c r="C23" s="286"/>
      <c r="D23" s="308">
        <f>ROUNDUP(D22,2)</f>
        <v>6.9999999999999993E-2</v>
      </c>
      <c r="E23" s="308">
        <f t="shared" ref="E23:F23" si="4">ROUNDUP(E22,2)</f>
        <v>0.08</v>
      </c>
      <c r="F23" s="308">
        <f t="shared" si="4"/>
        <v>0.08</v>
      </c>
      <c r="H23" s="498"/>
    </row>
    <row r="24" spans="2:8" s="18" customFormat="1">
      <c r="D24" s="309"/>
      <c r="E24" s="309"/>
      <c r="F24" s="309"/>
    </row>
    <row r="25" spans="2:8" s="18" customFormat="1">
      <c r="B25" s="310" t="s">
        <v>635</v>
      </c>
      <c r="D25" s="309"/>
      <c r="E25" s="309"/>
      <c r="F25" s="309"/>
      <c r="H25" s="312" t="s">
        <v>640</v>
      </c>
    </row>
    <row r="26" spans="2:8" s="18" customFormat="1" ht="28.8" customHeight="1">
      <c r="B26" s="310" t="s">
        <v>637</v>
      </c>
      <c r="D26" s="309"/>
      <c r="E26" s="309"/>
      <c r="F26" s="309"/>
      <c r="H26" s="498" t="s">
        <v>641</v>
      </c>
    </row>
    <row r="27" spans="2:8" s="18" customFormat="1">
      <c r="B27" s="310" t="s">
        <v>636</v>
      </c>
      <c r="D27" s="309"/>
      <c r="E27" s="309"/>
      <c r="F27" s="309"/>
      <c r="H27" s="498"/>
    </row>
    <row r="28" spans="2:8" s="18" customFormat="1">
      <c r="B28" s="221"/>
      <c r="D28" s="309"/>
      <c r="E28" s="309"/>
      <c r="F28" s="309"/>
      <c r="H28" s="498"/>
    </row>
    <row r="29" spans="2:8" s="18" customFormat="1">
      <c r="D29" s="309"/>
      <c r="E29" s="309"/>
      <c r="F29" s="309"/>
    </row>
    <row r="30" spans="2:8" s="18" customFormat="1">
      <c r="D30" s="309"/>
      <c r="E30" s="309"/>
      <c r="F30" s="309"/>
    </row>
    <row r="31" spans="2:8" s="18" customFormat="1">
      <c r="D31" s="309"/>
      <c r="E31" s="309"/>
      <c r="F31" s="309"/>
    </row>
    <row r="32" spans="2:8" s="18" customFormat="1">
      <c r="D32" s="309"/>
      <c r="E32" s="309"/>
      <c r="F32" s="309"/>
    </row>
    <row r="33" spans="2:13" s="18" customFormat="1">
      <c r="D33" s="309"/>
      <c r="E33" s="309"/>
      <c r="F33" s="309"/>
    </row>
    <row r="34" spans="2:13" s="18" customFormat="1">
      <c r="D34" s="309"/>
      <c r="E34" s="309"/>
      <c r="F34" s="309"/>
    </row>
    <row r="35" spans="2:13" s="18" customFormat="1">
      <c r="D35" s="309"/>
      <c r="E35" s="309"/>
      <c r="F35" s="309"/>
    </row>
    <row r="36" spans="2:13" s="18" customFormat="1">
      <c r="D36" s="309"/>
      <c r="E36" s="309"/>
      <c r="F36" s="309"/>
    </row>
    <row r="38" spans="2:13" ht="21">
      <c r="B38" s="282" t="str">
        <f>B2</f>
        <v xml:space="preserve">InterGlobe Aviation </v>
      </c>
    </row>
    <row r="39" spans="2:13">
      <c r="B39" s="16" t="s">
        <v>614</v>
      </c>
      <c r="J39" s="51">
        <v>0.25</v>
      </c>
    </row>
    <row r="41" spans="2:13" s="288" customFormat="1" ht="39" customHeight="1">
      <c r="B41" s="289" t="s">
        <v>615</v>
      </c>
      <c r="C41" s="289"/>
      <c r="D41" s="289" t="s">
        <v>621</v>
      </c>
      <c r="E41" s="289" t="s">
        <v>616</v>
      </c>
      <c r="F41" s="289" t="s">
        <v>617</v>
      </c>
      <c r="G41" s="289" t="s">
        <v>618</v>
      </c>
      <c r="H41" s="289" t="s">
        <v>619</v>
      </c>
      <c r="I41" s="289" t="s">
        <v>606</v>
      </c>
      <c r="J41" s="289" t="s">
        <v>620</v>
      </c>
      <c r="L41" s="289" t="s">
        <v>626</v>
      </c>
      <c r="M41" s="289" t="s">
        <v>631</v>
      </c>
    </row>
    <row r="42" spans="2:13">
      <c r="B42" s="417"/>
    </row>
    <row r="43" spans="2:13" ht="14.4" customHeight="1">
      <c r="B43" s="422" t="s">
        <v>740</v>
      </c>
      <c r="C43" s="283"/>
      <c r="D43" s="291" t="s">
        <v>741</v>
      </c>
      <c r="E43" s="291">
        <v>104</v>
      </c>
      <c r="F43" s="423">
        <v>1.5</v>
      </c>
      <c r="G43" s="421">
        <f>I43/(1+H43*(1-$J$39))</f>
        <v>8.2456517071075791E-2</v>
      </c>
      <c r="H43" s="418">
        <v>14.19</v>
      </c>
      <c r="I43" s="421">
        <v>0.96</v>
      </c>
      <c r="J43" s="415">
        <v>0.91859999999999997</v>
      </c>
      <c r="L43" s="283" t="s">
        <v>132</v>
      </c>
      <c r="M43" s="283" t="str">
        <f>IF(L43="Yes","True","False")</f>
        <v>True</v>
      </c>
    </row>
    <row r="44" spans="2:13" ht="14.4" customHeight="1">
      <c r="B44" s="416" t="s">
        <v>622</v>
      </c>
      <c r="C44" s="283"/>
      <c r="D44" s="291" t="s">
        <v>623</v>
      </c>
      <c r="E44" s="291">
        <v>104</v>
      </c>
      <c r="F44" s="423">
        <v>34.869999999999997</v>
      </c>
      <c r="G44" s="421">
        <f t="shared" ref="G44:G45" si="5">I44/(1+H44*(1-$J$39))</f>
        <v>0.86192468619246865</v>
      </c>
      <c r="H44" s="418">
        <v>0.26</v>
      </c>
      <c r="I44" s="421">
        <v>1.03</v>
      </c>
      <c r="J44" s="415">
        <v>0.20219999999999999</v>
      </c>
      <c r="L44" s="283" t="s">
        <v>132</v>
      </c>
      <c r="M44" s="283" t="str">
        <f t="shared" ref="M44:M45" si="6">IF(L44="Yes","True","False")</f>
        <v>True</v>
      </c>
    </row>
    <row r="45" spans="2:13" ht="14.4" customHeight="1">
      <c r="B45" s="416" t="s">
        <v>624</v>
      </c>
      <c r="C45" s="283"/>
      <c r="D45" s="291" t="s">
        <v>625</v>
      </c>
      <c r="E45" s="291">
        <v>104</v>
      </c>
      <c r="F45" s="423">
        <v>18.54</v>
      </c>
      <c r="G45" s="421">
        <f t="shared" si="5"/>
        <v>0.82467532467532467</v>
      </c>
      <c r="H45" s="418">
        <v>0.72</v>
      </c>
      <c r="I45" s="421">
        <v>1.27</v>
      </c>
      <c r="J45" s="415">
        <v>0.41649999999999998</v>
      </c>
      <c r="L45" s="283" t="s">
        <v>132</v>
      </c>
      <c r="M45" s="283" t="str">
        <f t="shared" si="6"/>
        <v>True</v>
      </c>
    </row>
    <row r="47" spans="2:13">
      <c r="B47" s="290" t="s">
        <v>627</v>
      </c>
      <c r="C47" s="12"/>
      <c r="D47" s="12"/>
      <c r="E47" s="12"/>
      <c r="F47" s="12"/>
      <c r="G47" s="293">
        <f>AVERAGE(G43:G45)</f>
        <v>0.58968550931295638</v>
      </c>
      <c r="H47" s="419">
        <f>AVERAGE(H43:H45)</f>
        <v>5.0566666666666666</v>
      </c>
      <c r="I47" s="294">
        <f>AVERAGE(I43:I45)</f>
        <v>1.0866666666666667</v>
      </c>
      <c r="J47" s="293">
        <f>AVERAGE(J43:J45)</f>
        <v>0.51243333333333341</v>
      </c>
    </row>
    <row r="48" spans="2:13" s="16" customFormat="1">
      <c r="B48" s="295" t="s">
        <v>628</v>
      </c>
      <c r="C48" s="11"/>
      <c r="D48" s="11"/>
      <c r="E48" s="11"/>
      <c r="F48" s="11"/>
      <c r="G48" s="296">
        <f>MEDIAN(G43:G45)</f>
        <v>0.82467532467532467</v>
      </c>
      <c r="H48" s="420">
        <f>MEDIAN(H43:H45)</f>
        <v>0.72</v>
      </c>
      <c r="I48" s="297">
        <f>MEDIAN(I43:I45)</f>
        <v>1.03</v>
      </c>
      <c r="J48" s="296">
        <f>MEDIAN(J43:J45)</f>
        <v>0.41649999999999998</v>
      </c>
    </row>
    <row r="50" spans="2:13">
      <c r="B50" s="290" t="s">
        <v>629</v>
      </c>
      <c r="C50" s="12"/>
      <c r="D50" s="12"/>
      <c r="E50" s="12"/>
      <c r="F50" s="12"/>
      <c r="G50" s="294" cm="1">
        <f t="array" ref="G50">AVERAGE(IF(M43:$M$45,G43:G45))</f>
        <v>0.58968550931295638</v>
      </c>
      <c r="H50" s="294" cm="1">
        <f t="array" ref="H50">AVERAGE(IF(M43:$M$45,H43:H45))</f>
        <v>5.0566666666666666</v>
      </c>
      <c r="I50" s="294" cm="1">
        <f t="array" ref="I50">AVERAGE(IF(M43:$N$45,I43:I45))</f>
        <v>1.0866666666666667</v>
      </c>
      <c r="J50" s="294" cm="1">
        <f t="array" ref="J50">AVERAGE(IF(M43:$O$45,J43:J45))</f>
        <v>0.51243333333333341</v>
      </c>
    </row>
    <row r="51" spans="2:13" s="16" customFormat="1">
      <c r="B51" s="295" t="s">
        <v>630</v>
      </c>
      <c r="C51" s="11"/>
      <c r="D51" s="11"/>
      <c r="E51" s="11"/>
      <c r="F51" s="11"/>
      <c r="G51" s="297" cm="1">
        <f t="array" ref="G51">MEDIAN(IF(M43:$M$45,G43:G45))</f>
        <v>0.82467532467532467</v>
      </c>
      <c r="H51" s="297" cm="1">
        <f t="array" ref="H51">MEDIAN(IF(M43:$M$45,H43:H45))</f>
        <v>0.72</v>
      </c>
      <c r="I51" s="297" cm="1">
        <f t="array" ref="I51">MEDIAN(IF($M43:N$45,I43:I45))</f>
        <v>1.03</v>
      </c>
      <c r="J51" s="297" cm="1">
        <f t="array" ref="J51">MEDIAN(IF($M43:O$45,J43:J45))</f>
        <v>0.41649999999999998</v>
      </c>
    </row>
    <row r="52" spans="2:13" s="16" customFormat="1">
      <c r="B52" s="299"/>
      <c r="G52" s="172"/>
      <c r="H52" s="172"/>
      <c r="I52" s="172"/>
      <c r="J52" s="172"/>
    </row>
    <row r="53" spans="2:13" s="16" customFormat="1">
      <c r="B53" s="16" t="s">
        <v>632</v>
      </c>
      <c r="G53" s="172"/>
      <c r="H53" s="172"/>
      <c r="I53" s="172"/>
      <c r="J53" s="172"/>
    </row>
    <row r="54" spans="2:13" s="16" customFormat="1">
      <c r="B54" s="299"/>
      <c r="G54" s="172"/>
      <c r="H54" s="172"/>
      <c r="I54" s="172"/>
      <c r="J54" s="172"/>
    </row>
    <row r="55" spans="2:13" ht="43.2">
      <c r="B55" s="289" t="s">
        <v>615</v>
      </c>
      <c r="C55" s="289"/>
      <c r="D55" s="289" t="s">
        <v>621</v>
      </c>
      <c r="E55" s="289" t="s">
        <v>616</v>
      </c>
      <c r="F55" s="289" t="s">
        <v>617</v>
      </c>
      <c r="G55" s="289" t="s">
        <v>618</v>
      </c>
      <c r="H55" s="289" t="s">
        <v>619</v>
      </c>
      <c r="I55" s="289" t="s">
        <v>606</v>
      </c>
      <c r="J55" s="289" t="s">
        <v>620</v>
      </c>
      <c r="K55" s="288"/>
      <c r="L55" s="289" t="s">
        <v>626</v>
      </c>
      <c r="M55" s="289" t="s">
        <v>631</v>
      </c>
    </row>
    <row r="57" spans="2:13">
      <c r="B57" s="422" t="s">
        <v>740</v>
      </c>
      <c r="C57" s="283"/>
      <c r="D57" s="291" t="s">
        <v>741</v>
      </c>
      <c r="E57" s="291">
        <v>60</v>
      </c>
      <c r="F57" s="423">
        <v>1.5</v>
      </c>
      <c r="G57" s="298">
        <f>I57/(1+H57*(1-$J$39))</f>
        <v>0.152029203349796</v>
      </c>
      <c r="H57" s="418">
        <v>14.19</v>
      </c>
      <c r="I57" s="292">
        <v>1.77</v>
      </c>
      <c r="J57" s="415">
        <v>0.91859999999999997</v>
      </c>
      <c r="L57" s="283" t="s">
        <v>132</v>
      </c>
      <c r="M57" s="283" t="str">
        <f>IF(L57="Yes","True","False")</f>
        <v>True</v>
      </c>
    </row>
    <row r="58" spans="2:13">
      <c r="B58" s="290" t="s">
        <v>622</v>
      </c>
      <c r="C58" s="12"/>
      <c r="D58" s="291" t="s">
        <v>623</v>
      </c>
      <c r="E58" s="291">
        <v>60</v>
      </c>
      <c r="F58" s="423">
        <v>34.869999999999997</v>
      </c>
      <c r="G58" s="298">
        <f t="shared" ref="G58:G59" si="7">I58/(1+H58*(1-$J$39))</f>
        <v>0.84518828451882844</v>
      </c>
      <c r="H58" s="418">
        <v>0.26</v>
      </c>
      <c r="I58" s="292">
        <v>1.01</v>
      </c>
      <c r="J58" s="415">
        <v>0.20219999999999999</v>
      </c>
      <c r="L58" s="283" t="s">
        <v>132</v>
      </c>
      <c r="M58" s="283" t="str">
        <f t="shared" ref="M58:M59" si="8">IF(L58="Yes","True","False")</f>
        <v>True</v>
      </c>
    </row>
    <row r="59" spans="2:13">
      <c r="B59" s="290" t="s">
        <v>624</v>
      </c>
      <c r="C59" s="12"/>
      <c r="D59" s="291" t="s">
        <v>625</v>
      </c>
      <c r="E59" s="291">
        <v>60</v>
      </c>
      <c r="F59" s="423">
        <v>18.54</v>
      </c>
      <c r="G59" s="298">
        <f t="shared" si="7"/>
        <v>0.33116883116883117</v>
      </c>
      <c r="H59" s="418">
        <v>0.72</v>
      </c>
      <c r="I59" s="292">
        <v>0.51</v>
      </c>
      <c r="J59" s="415">
        <v>0.41649999999999998</v>
      </c>
      <c r="L59" s="283" t="s">
        <v>132</v>
      </c>
      <c r="M59" s="283" t="str">
        <f t="shared" si="8"/>
        <v>True</v>
      </c>
    </row>
    <row r="61" spans="2:13">
      <c r="B61" s="290" t="s">
        <v>627</v>
      </c>
      <c r="C61" s="12"/>
      <c r="D61" s="12"/>
      <c r="E61" s="12"/>
      <c r="F61" s="12"/>
      <c r="G61" s="293">
        <f>AVERAGE(G57:G59)</f>
        <v>0.44279543967915186</v>
      </c>
      <c r="H61" s="419">
        <f>AVERAGE(H57:H59)</f>
        <v>5.0566666666666666</v>
      </c>
      <c r="I61" s="294">
        <f>AVERAGE(I57:I59)</f>
        <v>1.0966666666666667</v>
      </c>
      <c r="J61" s="293">
        <f>AVERAGE(J57:J59)</f>
        <v>0.51243333333333341</v>
      </c>
    </row>
    <row r="62" spans="2:13">
      <c r="B62" s="295" t="s">
        <v>628</v>
      </c>
      <c r="C62" s="11"/>
      <c r="D62" s="11"/>
      <c r="E62" s="11"/>
      <c r="F62" s="11"/>
      <c r="G62" s="296">
        <f>MEDIAN(G57:G59)</f>
        <v>0.33116883116883117</v>
      </c>
      <c r="H62" s="420">
        <f>MEDIAN(H57:H59)</f>
        <v>0.72</v>
      </c>
      <c r="I62" s="297">
        <f>MEDIAN(I57:I59)</f>
        <v>1.01</v>
      </c>
      <c r="J62" s="296">
        <f>MEDIAN(J57:J59)</f>
        <v>0.41649999999999998</v>
      </c>
    </row>
    <row r="64" spans="2:13">
      <c r="B64" s="290" t="s">
        <v>629</v>
      </c>
      <c r="C64" s="12"/>
      <c r="D64" s="12"/>
      <c r="E64" s="12"/>
      <c r="F64" s="12"/>
      <c r="G64" s="294" cm="1">
        <f t="array" ref="G64">AVERAGE(IF(M$57:$M59,G57:G59))</f>
        <v>0.44279543967915186</v>
      </c>
      <c r="H64" s="294" cm="1">
        <f t="array" ref="H64">AVERAGE(IF($M$57:N59,H57:H59))</f>
        <v>5.0566666666666666</v>
      </c>
      <c r="I64" s="294" cm="1">
        <f t="array" ref="I64">AVERAGE(IF($M$57:O59,I57:I59))</f>
        <v>1.0966666666666667</v>
      </c>
      <c r="J64" s="294" cm="1">
        <f t="array" ref="J64">AVERAGE(IF($M$57:P59,J57:J59))</f>
        <v>0.51243333333333341</v>
      </c>
    </row>
    <row r="65" spans="2:13">
      <c r="B65" s="295" t="s">
        <v>630</v>
      </c>
      <c r="C65" s="11"/>
      <c r="D65" s="11"/>
      <c r="E65" s="11"/>
      <c r="F65" s="11"/>
      <c r="G65" s="297" cm="1">
        <f t="array" ref="G65">MEDIAN(IF(M$57:$M59,G57:G59))</f>
        <v>0.33116883116883117</v>
      </c>
      <c r="H65" s="297" cm="1">
        <f t="array" ref="H65">MEDIAN(IF($M$57:N59,H57:H59))</f>
        <v>0.72</v>
      </c>
      <c r="I65" s="297" cm="1">
        <f t="array" ref="I65">MEDIAN(IF($M$57:O59,I57:I59))</f>
        <v>1.01</v>
      </c>
      <c r="J65" s="297" cm="1">
        <f t="array" ref="J65">MEDIAN(IF($M$57:P59,J57:J59))</f>
        <v>0.41649999999999998</v>
      </c>
    </row>
    <row r="67" spans="2:13">
      <c r="B67" s="16" t="s">
        <v>633</v>
      </c>
      <c r="D67" s="300" t="s">
        <v>634</v>
      </c>
      <c r="E67" s="300"/>
    </row>
    <row r="69" spans="2:13" ht="43.2">
      <c r="B69" s="289" t="s">
        <v>615</v>
      </c>
      <c r="C69" s="289"/>
      <c r="D69" s="289" t="s">
        <v>621</v>
      </c>
      <c r="E69" s="289" t="s">
        <v>616</v>
      </c>
      <c r="F69" s="289" t="s">
        <v>617</v>
      </c>
      <c r="G69" s="289" t="s">
        <v>618</v>
      </c>
      <c r="H69" s="289" t="s">
        <v>619</v>
      </c>
      <c r="I69" s="289" t="s">
        <v>606</v>
      </c>
      <c r="J69" s="289" t="s">
        <v>620</v>
      </c>
      <c r="K69" s="288"/>
      <c r="L69" s="289" t="s">
        <v>626</v>
      </c>
      <c r="M69" s="289" t="s">
        <v>631</v>
      </c>
    </row>
    <row r="71" spans="2:13">
      <c r="B71" s="422" t="s">
        <v>740</v>
      </c>
      <c r="C71" s="283"/>
      <c r="D71" s="291" t="s">
        <v>741</v>
      </c>
      <c r="E71" s="291">
        <v>60</v>
      </c>
      <c r="F71" s="423">
        <v>1.5</v>
      </c>
      <c r="G71" s="298">
        <f>I71/(1+H71*(1-$J$39))</f>
        <v>0.152029203349796</v>
      </c>
      <c r="H71" s="418">
        <v>14.19</v>
      </c>
      <c r="I71" s="292">
        <v>1.77</v>
      </c>
      <c r="J71" s="415">
        <v>0.91859999999999997</v>
      </c>
      <c r="L71" s="283" t="s">
        <v>132</v>
      </c>
      <c r="M71" s="283" t="str">
        <f>IF(L71="Yes","True","False")</f>
        <v>True</v>
      </c>
    </row>
    <row r="72" spans="2:13">
      <c r="B72" s="290" t="s">
        <v>622</v>
      </c>
      <c r="C72" s="12"/>
      <c r="D72" s="291" t="s">
        <v>623</v>
      </c>
      <c r="E72" s="291">
        <v>60</v>
      </c>
      <c r="F72" s="423">
        <v>34.869999999999997</v>
      </c>
      <c r="G72" s="298">
        <f t="shared" ref="G72:G73" si="9">I72/(1+H72*(1-$J$39))</f>
        <v>0.84518828451882844</v>
      </c>
      <c r="H72" s="418">
        <v>0.26</v>
      </c>
      <c r="I72" s="292">
        <v>1.01</v>
      </c>
      <c r="J72" s="415">
        <v>0.20219999999999999</v>
      </c>
      <c r="L72" s="283" t="s">
        <v>132</v>
      </c>
      <c r="M72" s="283" t="str">
        <f t="shared" ref="M72:M73" si="10">IF(L72="Yes","True","False")</f>
        <v>True</v>
      </c>
    </row>
    <row r="73" spans="2:13">
      <c r="B73" s="290" t="s">
        <v>624</v>
      </c>
      <c r="C73" s="12"/>
      <c r="D73" s="291" t="s">
        <v>625</v>
      </c>
      <c r="E73" s="291">
        <v>60</v>
      </c>
      <c r="F73" s="423">
        <v>18.54</v>
      </c>
      <c r="G73" s="298">
        <f t="shared" si="9"/>
        <v>0.33116883116883117</v>
      </c>
      <c r="H73" s="418">
        <v>0.72</v>
      </c>
      <c r="I73" s="292">
        <v>0.51</v>
      </c>
      <c r="J73" s="415">
        <v>0.41649999999999998</v>
      </c>
      <c r="L73" s="283" t="s">
        <v>132</v>
      </c>
      <c r="M73" s="283" t="str">
        <f t="shared" si="10"/>
        <v>True</v>
      </c>
    </row>
    <row r="74" spans="2:13">
      <c r="B74" s="12"/>
      <c r="C74" s="12"/>
      <c r="D74" s="12"/>
      <c r="E74" s="12"/>
      <c r="F74" s="12"/>
      <c r="G74" s="12"/>
      <c r="H74" s="12"/>
      <c r="I74" s="12"/>
    </row>
    <row r="75" spans="2:13">
      <c r="B75" s="290" t="s">
        <v>627</v>
      </c>
      <c r="C75" s="12"/>
      <c r="D75" s="12"/>
      <c r="E75" s="12"/>
      <c r="F75" s="12"/>
      <c r="G75" s="293">
        <f>AVERAGE(G71:G73)</f>
        <v>0.44279543967915186</v>
      </c>
      <c r="H75" s="419">
        <f>AVERAGE(H71:H73)</f>
        <v>5.0566666666666666</v>
      </c>
      <c r="I75" s="294">
        <f>AVERAGE(I71:I73)</f>
        <v>1.0966666666666667</v>
      </c>
      <c r="J75" s="293">
        <f>AVERAGE(J71:J73)</f>
        <v>0.51243333333333341</v>
      </c>
    </row>
    <row r="76" spans="2:13">
      <c r="B76" s="295" t="s">
        <v>628</v>
      </c>
      <c r="C76" s="11"/>
      <c r="D76" s="11"/>
      <c r="E76" s="11"/>
      <c r="F76" s="11"/>
      <c r="G76" s="296">
        <f>MEDIAN(G71:G73)</f>
        <v>0.33116883116883117</v>
      </c>
      <c r="H76" s="420">
        <f>MEDIAN(H71:H73)</f>
        <v>0.72</v>
      </c>
      <c r="I76" s="297">
        <f>MEDIAN(I71:I73)</f>
        <v>1.01</v>
      </c>
      <c r="J76" s="296">
        <f>MEDIAN(J71:J73)</f>
        <v>0.41649999999999998</v>
      </c>
    </row>
    <row r="78" spans="2:13">
      <c r="B78" s="290" t="s">
        <v>629</v>
      </c>
      <c r="C78" s="12"/>
      <c r="D78" s="12"/>
      <c r="E78" s="12"/>
      <c r="F78" s="12"/>
      <c r="G78" s="294" cm="1">
        <f t="array" ref="G78">AVERAGE(IF(M$71:$M73,G71:G73))</f>
        <v>0.44279543967915186</v>
      </c>
      <c r="H78" s="294" cm="1">
        <f t="array" ref="H78">AVERAGE(IF($M$71:N73,H71:H73))</f>
        <v>5.0566666666666666</v>
      </c>
      <c r="I78" s="294" cm="1">
        <f t="array" ref="I78">AVERAGE(IF($M$71:O73,I71:I73))</f>
        <v>1.0966666666666667</v>
      </c>
      <c r="J78" s="294" cm="1">
        <f t="array" ref="J78">AVERAGE(IF($M$71:P73,J71:J73))</f>
        <v>0.51243333333333341</v>
      </c>
    </row>
    <row r="79" spans="2:13">
      <c r="B79" s="295" t="s">
        <v>630</v>
      </c>
      <c r="C79" s="11"/>
      <c r="D79" s="11"/>
      <c r="E79" s="11"/>
      <c r="F79" s="11"/>
      <c r="G79" s="297" cm="1">
        <f t="array" ref="G79">MEDIAN(IF(M$71:$M73,G71:G73))</f>
        <v>0.33116883116883117</v>
      </c>
      <c r="H79" s="297" cm="1">
        <f t="array" ref="H79">MEDIAN(IF($M$71:N73,H71:H73))</f>
        <v>0.72</v>
      </c>
      <c r="I79" s="297" cm="1">
        <f t="array" ref="I79">MEDIAN(IF($M$71:O73,I71:I73))</f>
        <v>1.01</v>
      </c>
      <c r="J79" s="297" cm="1">
        <f t="array" ref="J79">MEDIAN(IF($M$71:P73,J71:J73))</f>
        <v>0.41649999999999998</v>
      </c>
    </row>
    <row r="81" spans="2:3">
      <c r="B81" s="173" t="s">
        <v>735</v>
      </c>
      <c r="C81" s="399">
        <f>G79</f>
        <v>0.33116883116883117</v>
      </c>
    </row>
  </sheetData>
  <mergeCells count="5">
    <mergeCell ref="H6:H8"/>
    <mergeCell ref="H11:H13"/>
    <mergeCell ref="H16:H18"/>
    <mergeCell ref="H21:H23"/>
    <mergeCell ref="H26:H2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592E-AC38-4899-8CCF-66C50338D39F}">
  <dimension ref="B2:O30"/>
  <sheetViews>
    <sheetView showGridLines="0" zoomScale="80" zoomScaleNormal="80" workbookViewId="0">
      <selection activeCell="E10" sqref="E10"/>
    </sheetView>
  </sheetViews>
  <sheetFormatPr defaultRowHeight="14.4"/>
  <cols>
    <col min="1" max="1" width="1.88671875" customWidth="1"/>
    <col min="2" max="2" width="44.6640625" customWidth="1"/>
    <col min="3" max="3" width="14.21875" customWidth="1"/>
    <col min="4" max="4" width="14.5546875" customWidth="1"/>
    <col min="5" max="5" width="16.6640625" customWidth="1"/>
    <col min="7" max="7" width="14.44140625" customWidth="1"/>
    <col min="10" max="10" width="9.6640625" bestFit="1" customWidth="1"/>
    <col min="11" max="11" width="14.44140625" bestFit="1" customWidth="1"/>
    <col min="12" max="12" width="12.33203125" bestFit="1" customWidth="1"/>
  </cols>
  <sheetData>
    <row r="2" spans="2:15" ht="15" thickBot="1">
      <c r="B2" s="320" t="s">
        <v>647</v>
      </c>
      <c r="C2" s="321"/>
      <c r="D2" s="321"/>
      <c r="E2" s="322"/>
      <c r="F2" s="321"/>
      <c r="G2" s="321"/>
      <c r="H2" s="321"/>
    </row>
    <row r="3" spans="2:15" ht="15" thickBot="1">
      <c r="B3" s="323" t="s">
        <v>648</v>
      </c>
      <c r="C3" s="321"/>
      <c r="D3" s="324"/>
      <c r="E3" s="335">
        <v>5334</v>
      </c>
      <c r="F3" s="321"/>
      <c r="G3" s="321"/>
      <c r="H3" s="321"/>
      <c r="J3" t="s">
        <v>675</v>
      </c>
      <c r="K3" t="s">
        <v>676</v>
      </c>
      <c r="L3" t="s">
        <v>677</v>
      </c>
      <c r="M3" t="s">
        <v>678</v>
      </c>
      <c r="N3" t="s">
        <v>679</v>
      </c>
    </row>
    <row r="4" spans="2:15" ht="15" thickBot="1">
      <c r="B4" s="323" t="s">
        <v>649</v>
      </c>
      <c r="C4" s="321"/>
      <c r="D4" s="324"/>
      <c r="E4" s="336">
        <v>740.76</v>
      </c>
      <c r="F4" s="321"/>
      <c r="G4" s="321"/>
      <c r="H4" s="321"/>
      <c r="I4">
        <v>1</v>
      </c>
      <c r="J4" s="328">
        <v>45232</v>
      </c>
      <c r="K4" s="84">
        <v>104500</v>
      </c>
      <c r="L4">
        <v>10</v>
      </c>
      <c r="M4">
        <v>6.67</v>
      </c>
      <c r="N4" s="329">
        <v>0.40500000000000003</v>
      </c>
      <c r="O4" s="329">
        <v>1.9E-3</v>
      </c>
    </row>
    <row r="5" spans="2:15" ht="15" thickBot="1">
      <c r="B5" s="323" t="s">
        <v>650</v>
      </c>
      <c r="C5" s="321"/>
      <c r="D5" s="324"/>
      <c r="E5" s="336">
        <v>8.0399999999999991</v>
      </c>
      <c r="F5" s="321"/>
      <c r="G5" s="321"/>
      <c r="H5" s="321"/>
      <c r="I5">
        <v>2</v>
      </c>
      <c r="J5" s="328">
        <v>45383</v>
      </c>
      <c r="K5" s="84">
        <v>70480</v>
      </c>
      <c r="L5">
        <v>10</v>
      </c>
      <c r="M5">
        <v>7.25</v>
      </c>
      <c r="N5" s="329">
        <v>0.40500000000000003</v>
      </c>
      <c r="O5" s="329">
        <v>1.9E-3</v>
      </c>
    </row>
    <row r="6" spans="2:15" ht="14.4" customHeight="1" thickBot="1">
      <c r="B6" s="323" t="s">
        <v>651</v>
      </c>
      <c r="C6" s="321"/>
      <c r="D6" s="324"/>
      <c r="E6" s="337">
        <v>0.40500000000000003</v>
      </c>
      <c r="F6" s="321" t="s">
        <v>652</v>
      </c>
      <c r="G6" s="321"/>
      <c r="H6" s="321"/>
      <c r="I6">
        <v>3</v>
      </c>
      <c r="J6" s="328">
        <v>45435</v>
      </c>
      <c r="K6" s="84">
        <v>119500</v>
      </c>
      <c r="L6">
        <v>10</v>
      </c>
      <c r="M6">
        <v>7.11</v>
      </c>
      <c r="N6" s="329">
        <v>0.40500000000000003</v>
      </c>
      <c r="O6" s="329">
        <v>1.9E-3</v>
      </c>
    </row>
    <row r="7" spans="2:15" ht="15" thickBot="1">
      <c r="B7" s="323" t="s">
        <v>653</v>
      </c>
      <c r="C7" s="321"/>
      <c r="D7" s="324"/>
      <c r="E7" s="337">
        <v>1.9E-3</v>
      </c>
      <c r="F7" s="321"/>
      <c r="G7" s="321"/>
      <c r="H7" s="321"/>
      <c r="I7">
        <v>4</v>
      </c>
      <c r="J7" s="328">
        <v>45748</v>
      </c>
      <c r="K7" s="84">
        <v>50141</v>
      </c>
      <c r="L7">
        <v>10</v>
      </c>
      <c r="M7">
        <v>7.17</v>
      </c>
      <c r="N7" s="329">
        <v>0.40500000000000003</v>
      </c>
      <c r="O7" s="329">
        <v>1.9E-3</v>
      </c>
    </row>
    <row r="8" spans="2:15" ht="15" thickBot="1">
      <c r="B8" s="323" t="s">
        <v>654</v>
      </c>
      <c r="C8" s="321"/>
      <c r="D8" s="324"/>
      <c r="E8" s="338">
        <f>WACC!E6</f>
        <v>5.7630000000000001E-2</v>
      </c>
      <c r="F8" s="321"/>
      <c r="G8" s="321"/>
      <c r="H8" s="321"/>
      <c r="I8">
        <v>5</v>
      </c>
      <c r="J8" s="328">
        <v>45797</v>
      </c>
      <c r="K8" s="84">
        <v>107000</v>
      </c>
      <c r="L8">
        <v>10</v>
      </c>
      <c r="M8">
        <v>7.12</v>
      </c>
      <c r="N8" s="329">
        <v>0.40500000000000003</v>
      </c>
      <c r="O8" s="329">
        <v>1.9E-3</v>
      </c>
    </row>
    <row r="9" spans="2:15" ht="15" thickBot="1">
      <c r="B9" s="323" t="s">
        <v>655</v>
      </c>
      <c r="C9" s="321"/>
      <c r="D9" s="324"/>
      <c r="E9" s="335">
        <v>2.9615300000000001E-2</v>
      </c>
      <c r="F9" s="321"/>
      <c r="G9" s="321"/>
      <c r="H9" s="321"/>
      <c r="I9">
        <v>6</v>
      </c>
      <c r="J9" s="328">
        <v>45875</v>
      </c>
      <c r="K9" s="84">
        <v>1500</v>
      </c>
      <c r="L9">
        <v>10</v>
      </c>
      <c r="M9">
        <v>6.9</v>
      </c>
      <c r="N9" s="329">
        <v>0.40500000000000003</v>
      </c>
      <c r="O9" s="329">
        <v>1.9E-3</v>
      </c>
    </row>
    <row r="10" spans="2:15" ht="15" thickBot="1">
      <c r="B10" s="323" t="s">
        <v>656</v>
      </c>
      <c r="C10" s="321"/>
      <c r="D10" s="324"/>
      <c r="E10" s="335">
        <v>38.661299800000002</v>
      </c>
      <c r="F10" s="321"/>
      <c r="G10" s="321"/>
      <c r="H10" s="321"/>
      <c r="K10" s="84"/>
      <c r="N10" s="329"/>
      <c r="O10" s="329"/>
    </row>
    <row r="11" spans="2:15">
      <c r="B11" s="321"/>
      <c r="C11" s="321"/>
      <c r="D11" s="321"/>
      <c r="E11" s="321"/>
      <c r="F11" s="321"/>
      <c r="G11" s="321"/>
      <c r="H11" s="321"/>
      <c r="J11" s="328"/>
      <c r="K11" s="331" t="s">
        <v>680</v>
      </c>
      <c r="L11" s="339">
        <f ca="1">SUMPRODUCT(L4:L12,$K$4:$K$12)/SUM($K$4:$K$12)</f>
        <v>10</v>
      </c>
      <c r="M11" s="339">
        <f ca="1">SUMPRODUCT(M4:M12,$K$4:$K$12)/SUM($K$4:$K$12)</f>
        <v>7.0386077228819666</v>
      </c>
      <c r="N11" s="340">
        <f ca="1">SUMPRODUCT(N4:N12,$K$4:$K$12)/SUM($K$4:$K$12)</f>
        <v>0.40500000000000003</v>
      </c>
      <c r="O11" s="340">
        <f ca="1">SUMPRODUCT(O4:O12,$K$4:$K$12)/SUM($K$4:$K$12)</f>
        <v>1.9E-3</v>
      </c>
    </row>
    <row r="12" spans="2:15">
      <c r="B12" s="325" t="s">
        <v>657</v>
      </c>
      <c r="C12" s="321"/>
      <c r="D12" s="321"/>
      <c r="E12" s="321"/>
      <c r="F12" s="321"/>
      <c r="G12" s="321"/>
      <c r="H12" s="321"/>
      <c r="J12" s="328"/>
      <c r="K12" s="84"/>
      <c r="N12" s="329"/>
      <c r="O12" s="329"/>
    </row>
    <row r="13" spans="2:15" ht="15" thickBot="1">
      <c r="B13" s="320" t="s">
        <v>658</v>
      </c>
      <c r="C13" s="321"/>
      <c r="D13" s="322"/>
      <c r="E13" s="321"/>
      <c r="F13" s="321"/>
      <c r="G13" s="322"/>
      <c r="H13" s="321"/>
    </row>
    <row r="14" spans="2:15" ht="15" customHeight="1" thickBot="1">
      <c r="B14" s="321" t="s">
        <v>659</v>
      </c>
      <c r="C14" s="324"/>
      <c r="D14" s="332">
        <f>E3</f>
        <v>5334</v>
      </c>
      <c r="E14" s="323" t="s">
        <v>681</v>
      </c>
      <c r="F14" s="324"/>
      <c r="G14" s="330">
        <f>E9</f>
        <v>2.9615300000000001E-2</v>
      </c>
      <c r="H14" s="321"/>
    </row>
    <row r="15" spans="2:15" ht="15" customHeight="1" thickBot="1">
      <c r="B15" s="321" t="s">
        <v>660</v>
      </c>
      <c r="C15" s="324"/>
      <c r="D15" s="333">
        <f>E4</f>
        <v>740.76</v>
      </c>
      <c r="E15" s="323" t="s">
        <v>661</v>
      </c>
      <c r="F15" s="324"/>
      <c r="G15" s="330">
        <f>E10</f>
        <v>38.661299800000002</v>
      </c>
      <c r="H15" s="321"/>
    </row>
    <row r="16" spans="2:15" ht="15" thickBot="1">
      <c r="B16" s="321" t="s">
        <v>662</v>
      </c>
      <c r="C16" s="324"/>
      <c r="D16" s="341">
        <f ca="1">(D14*G15+D27*G14)/(G15+G14)</f>
        <v>5333.5886570478096</v>
      </c>
      <c r="E16" s="321" t="s">
        <v>663</v>
      </c>
      <c r="F16" s="324"/>
      <c r="G16" s="344">
        <f>E8</f>
        <v>5.7630000000000001E-2</v>
      </c>
      <c r="H16" s="321"/>
    </row>
    <row r="17" spans="2:8" ht="14.4" customHeight="1" thickBot="1">
      <c r="B17" s="321" t="s">
        <v>664</v>
      </c>
      <c r="C17" s="324"/>
      <c r="D17" s="333">
        <f>D15</f>
        <v>740.76</v>
      </c>
      <c r="E17" s="321" t="s">
        <v>665</v>
      </c>
      <c r="F17" s="324"/>
      <c r="G17" s="326">
        <f>E6^2</f>
        <v>0.16402500000000003</v>
      </c>
      <c r="H17" s="321"/>
    </row>
    <row r="18" spans="2:8" ht="15" thickBot="1">
      <c r="B18" s="323" t="s">
        <v>666</v>
      </c>
      <c r="C18" s="324"/>
      <c r="D18" s="333">
        <f>E5</f>
        <v>8.0399999999999991</v>
      </c>
      <c r="E18" s="323" t="s">
        <v>667</v>
      </c>
      <c r="F18" s="324"/>
      <c r="G18" s="334">
        <f>E7</f>
        <v>1.9E-3</v>
      </c>
      <c r="H18" s="321"/>
    </row>
    <row r="19" spans="2:8" ht="15" thickBot="1">
      <c r="B19" s="321"/>
      <c r="C19" s="321"/>
      <c r="D19" s="321"/>
      <c r="E19" s="323" t="s">
        <v>668</v>
      </c>
      <c r="F19" s="324"/>
      <c r="G19" s="327">
        <f>G16-G18</f>
        <v>5.5730000000000002E-2</v>
      </c>
      <c r="H19" s="321"/>
    </row>
    <row r="20" spans="2:8" ht="15" thickBot="1">
      <c r="B20" s="321"/>
      <c r="C20" s="322"/>
      <c r="D20" s="321"/>
      <c r="E20" s="321"/>
      <c r="F20" s="321"/>
      <c r="G20" s="321"/>
      <c r="H20" s="321"/>
    </row>
    <row r="21" spans="2:8" ht="15" thickBot="1">
      <c r="B21" s="324" t="s">
        <v>669</v>
      </c>
      <c r="C21" s="345">
        <f ca="1">(LN(D16/D17)+(G19+(G17/2))*D18)/(((G17)^(0.5))*(D18^0.5))</f>
        <v>2.683406932501947</v>
      </c>
      <c r="D21" s="346"/>
      <c r="E21" s="346"/>
      <c r="F21" s="321"/>
      <c r="G21" s="321"/>
      <c r="H21" s="321"/>
    </row>
    <row r="22" spans="2:8" ht="15" thickBot="1">
      <c r="B22" s="324" t="s">
        <v>670</v>
      </c>
      <c r="C22" s="342">
        <f ca="1">NORMSDIST(C21)</f>
        <v>0.99635618721673069</v>
      </c>
      <c r="D22" s="346"/>
      <c r="E22" s="346"/>
      <c r="F22" s="321"/>
      <c r="G22" s="321"/>
      <c r="H22" s="321"/>
    </row>
    <row r="23" spans="2:8" ht="15" thickBot="1">
      <c r="B23" s="321"/>
      <c r="C23" s="148"/>
      <c r="D23" s="346"/>
      <c r="E23" s="346"/>
      <c r="F23" s="321"/>
      <c r="G23" s="321"/>
      <c r="H23" s="321"/>
    </row>
    <row r="24" spans="2:8" ht="15" thickBot="1">
      <c r="B24" s="324" t="s">
        <v>671</v>
      </c>
      <c r="C24" s="347">
        <f ca="1">C21-((G17^0.5)*(D18^(0.5)))</f>
        <v>1.5350337353225632</v>
      </c>
      <c r="D24" s="346"/>
      <c r="E24" s="346"/>
      <c r="F24" s="321"/>
      <c r="G24" s="321"/>
      <c r="H24" s="321"/>
    </row>
    <row r="25" spans="2:8" ht="15" thickBot="1">
      <c r="B25" s="324" t="s">
        <v>672</v>
      </c>
      <c r="C25" s="342">
        <f ca="1">NORMSDIST(C24)</f>
        <v>0.93761222918118536</v>
      </c>
      <c r="D25" s="346"/>
      <c r="E25" s="346"/>
      <c r="F25" s="321"/>
      <c r="G25" s="321"/>
      <c r="H25" s="321"/>
    </row>
    <row r="26" spans="2:8" ht="15" thickBot="1">
      <c r="B26" s="321"/>
      <c r="C26" s="346"/>
      <c r="D26" s="348"/>
      <c r="E26" s="346"/>
      <c r="F26" s="321"/>
      <c r="G26" s="321"/>
      <c r="H26" s="321"/>
    </row>
    <row r="27" spans="2:8" ht="15" thickBot="1">
      <c r="B27" s="323" t="s">
        <v>673</v>
      </c>
      <c r="C27" s="349"/>
      <c r="D27" s="342">
        <f ca="1">((EXP((0-G18)*D18))*D16*C22-D17*(EXP((0-G16)*D18))*C25)</f>
        <v>4796.6009110093792</v>
      </c>
      <c r="E27" s="348"/>
      <c r="F27" s="321"/>
      <c r="G27" s="321"/>
      <c r="H27" s="321"/>
    </row>
    <row r="28" spans="2:8" ht="15" thickBot="1">
      <c r="B28" s="323" t="s">
        <v>674</v>
      </c>
      <c r="C28" s="346"/>
      <c r="D28" s="349"/>
      <c r="E28" s="343">
        <f ca="1">D27*E9</f>
        <v>142.05277495981608</v>
      </c>
      <c r="F28" s="321"/>
      <c r="G28" s="321"/>
      <c r="H28" s="321"/>
    </row>
    <row r="29" spans="2:8">
      <c r="B29" s="321"/>
      <c r="C29" s="346"/>
      <c r="D29" s="346"/>
      <c r="E29" s="346"/>
      <c r="F29" s="321"/>
      <c r="G29" s="321"/>
      <c r="H29" s="321"/>
    </row>
    <row r="30" spans="2:8">
      <c r="B30" s="321"/>
      <c r="C30" s="321"/>
      <c r="D30" s="321"/>
      <c r="E30" s="321"/>
      <c r="F30" s="321"/>
      <c r="G30" s="321"/>
      <c r="H30" s="321"/>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B052B-8686-49C8-A43E-8FF32B51694E}">
  <sheetPr>
    <tabColor rgb="FF001B94"/>
  </sheetPr>
  <dimension ref="B2:O83"/>
  <sheetViews>
    <sheetView showGridLines="0" zoomScale="80" zoomScaleNormal="80" workbookViewId="0">
      <pane ySplit="9" topLeftCell="A55" activePane="bottomLeft" state="frozen"/>
      <selection pane="bottomLeft" activeCell="C69" sqref="C69:C74"/>
    </sheetView>
  </sheetViews>
  <sheetFormatPr defaultRowHeight="14.4"/>
  <cols>
    <col min="1" max="1" width="1.88671875" customWidth="1"/>
    <col min="2" max="2" width="55.21875" customWidth="1"/>
    <col min="3" max="3" width="37.77734375" bestFit="1" customWidth="1"/>
    <col min="4" max="4" width="12.88671875" bestFit="1" customWidth="1"/>
    <col min="5" max="5" width="14" customWidth="1"/>
    <col min="6" max="6" width="15" bestFit="1" customWidth="1"/>
    <col min="7" max="7" width="13.88671875" bestFit="1" customWidth="1"/>
    <col min="8" max="8" width="13.6640625" customWidth="1"/>
    <col min="9" max="9" width="14" customWidth="1"/>
    <col min="10" max="10" width="13.77734375" customWidth="1"/>
    <col min="11" max="12" width="13" bestFit="1" customWidth="1"/>
    <col min="13" max="13" width="14.33203125" customWidth="1"/>
    <col min="14" max="14" width="13.109375" customWidth="1"/>
    <col min="15" max="15" width="13" customWidth="1"/>
    <col min="16" max="16" width="10.109375" bestFit="1" customWidth="1"/>
    <col min="17" max="17" width="13.109375" bestFit="1" customWidth="1"/>
    <col min="18" max="18" width="12.6640625" bestFit="1" customWidth="1"/>
    <col min="19" max="19" width="17" bestFit="1" customWidth="1"/>
  </cols>
  <sheetData>
    <row r="2" spans="2:15" ht="21">
      <c r="B2" s="282" t="str">
        <f>'Control Sheet'!B2</f>
        <v xml:space="preserve">InterGlobe Aviation </v>
      </c>
      <c r="C2" s="282"/>
      <c r="D2" s="282"/>
    </row>
    <row r="3" spans="2:15" ht="18">
      <c r="B3" s="2" t="s">
        <v>130</v>
      </c>
      <c r="C3" s="2"/>
      <c r="D3" s="2"/>
      <c r="M3" s="277" t="s">
        <v>131</v>
      </c>
    </row>
    <row r="4" spans="2:15" ht="18">
      <c r="B4" s="2"/>
      <c r="C4" s="2"/>
      <c r="D4" s="2"/>
      <c r="M4" s="277" t="s">
        <v>132</v>
      </c>
    </row>
    <row r="5" spans="2:15" ht="18">
      <c r="B5" s="2"/>
      <c r="C5" s="2"/>
      <c r="D5" s="2"/>
      <c r="M5" s="277" t="s">
        <v>133</v>
      </c>
    </row>
    <row r="8" spans="2:15">
      <c r="E8" s="495" t="s">
        <v>3</v>
      </c>
      <c r="F8" s="495"/>
      <c r="G8" s="495"/>
      <c r="H8" s="495"/>
      <c r="I8" s="495"/>
      <c r="J8" s="495"/>
      <c r="K8" s="496" t="s">
        <v>4</v>
      </c>
      <c r="L8" s="496"/>
      <c r="M8" s="496"/>
      <c r="N8" s="496"/>
      <c r="O8" s="496"/>
    </row>
    <row r="9" spans="2:15">
      <c r="B9" s="4" t="s">
        <v>684</v>
      </c>
      <c r="C9" s="4"/>
      <c r="D9" s="4"/>
      <c r="E9" s="5">
        <v>2021</v>
      </c>
      <c r="F9" s="5">
        <f>E9+1</f>
        <v>2022</v>
      </c>
      <c r="G9" s="5">
        <f t="shared" ref="G9:O9" si="0">F9+1</f>
        <v>2023</v>
      </c>
      <c r="H9" s="5">
        <f t="shared" si="0"/>
        <v>2024</v>
      </c>
      <c r="I9" s="5">
        <f t="shared" si="0"/>
        <v>2025</v>
      </c>
      <c r="J9" s="5">
        <f t="shared" si="0"/>
        <v>2026</v>
      </c>
      <c r="K9" s="5">
        <f t="shared" si="0"/>
        <v>2027</v>
      </c>
      <c r="L9" s="5">
        <f t="shared" si="0"/>
        <v>2028</v>
      </c>
      <c r="M9" s="5">
        <f t="shared" si="0"/>
        <v>2029</v>
      </c>
      <c r="N9" s="5">
        <f t="shared" si="0"/>
        <v>2030</v>
      </c>
      <c r="O9" s="5">
        <f t="shared" si="0"/>
        <v>2031</v>
      </c>
    </row>
    <row r="10" spans="2:15">
      <c r="B10" s="6"/>
      <c r="C10" s="6"/>
      <c r="D10" s="6"/>
      <c r="E10" s="6"/>
      <c r="F10" s="6"/>
      <c r="G10" s="6"/>
      <c r="H10" s="6"/>
      <c r="I10" s="6"/>
      <c r="J10" s="6"/>
      <c r="K10" s="6"/>
    </row>
    <row r="11" spans="2:15" ht="15.6">
      <c r="B11" s="7" t="s">
        <v>134</v>
      </c>
      <c r="C11" s="7"/>
      <c r="D11" s="7"/>
      <c r="E11" s="8"/>
      <c r="F11" s="8"/>
      <c r="G11" s="8"/>
      <c r="H11" s="8"/>
      <c r="I11" s="8"/>
      <c r="J11" s="54"/>
      <c r="K11" s="54"/>
      <c r="L11" s="54"/>
      <c r="M11" s="54"/>
      <c r="N11" s="54"/>
      <c r="O11" s="54"/>
    </row>
    <row r="13" spans="2:15">
      <c r="B13" s="16" t="s">
        <v>64</v>
      </c>
      <c r="C13" s="16"/>
      <c r="D13" s="16"/>
      <c r="E13" s="143">
        <f>'3 Statement Model'!D25</f>
        <v>-136.05000000001019</v>
      </c>
      <c r="F13" s="143">
        <f>'3 Statement Model'!E25</f>
        <v>5473.3299999999872</v>
      </c>
      <c r="G13" s="143">
        <f>'3 Statement Model'!F25</f>
        <v>64953.5</v>
      </c>
      <c r="H13" s="143">
        <f>'3 Statement Model'!G25</f>
        <v>163175</v>
      </c>
      <c r="I13" s="143">
        <f>'3 Statement Model'!H25</f>
        <v>180583</v>
      </c>
      <c r="J13" s="143">
        <f>'3 Statement Model'!I25</f>
        <v>119834</v>
      </c>
      <c r="K13" s="143">
        <f>'3 Statement Model'!J25</f>
        <v>152367.51449999993</v>
      </c>
      <c r="L13" s="143">
        <f>'3 Statement Model'!K25</f>
        <v>182208.23323500002</v>
      </c>
      <c r="M13" s="143">
        <f>'3 Statement Model'!L25</f>
        <v>174351.48859283997</v>
      </c>
      <c r="N13" s="143">
        <f>'3 Statement Model'!M25</f>
        <v>173819.28294850094</v>
      </c>
      <c r="O13" s="143">
        <f>'3 Statement Model'!N25</f>
        <v>207984.79291773733</v>
      </c>
    </row>
    <row r="14" spans="2:15">
      <c r="B14" s="64" t="s">
        <v>642</v>
      </c>
      <c r="C14" s="64"/>
      <c r="D14" s="64"/>
      <c r="E14" s="141">
        <f>'3 Statement Model'!D30</f>
        <v>-46994.46</v>
      </c>
      <c r="F14" s="141">
        <f>'3 Statement Model'!E30</f>
        <v>-50686</v>
      </c>
      <c r="G14" s="141">
        <f>'3 Statement Model'!F30</f>
        <v>-51029.69</v>
      </c>
      <c r="H14" s="141">
        <f>'3 Statement Model'!G30</f>
        <v>-64257</v>
      </c>
      <c r="I14" s="141">
        <f>'3 Statement Model'!H30</f>
        <v>-86802</v>
      </c>
      <c r="J14" s="141">
        <f>'3 Statement Model'!I30</f>
        <v>-108082</v>
      </c>
      <c r="K14" s="141">
        <f>'3 Statement Model'!J30</f>
        <v>-118578.13661836252</v>
      </c>
      <c r="L14" s="141">
        <f>'3 Statement Model'!K30</f>
        <v>-129756.2301925494</v>
      </c>
      <c r="M14" s="141">
        <f>'3 Statement Model'!L30</f>
        <v>-141566.24334156673</v>
      </c>
      <c r="N14" s="141">
        <f>'3 Statement Model'!M30</f>
        <v>-153969.32240663856</v>
      </c>
      <c r="O14" s="141">
        <f>'3 Statement Model'!N30</f>
        <v>-166907.0158823606</v>
      </c>
    </row>
    <row r="15" spans="2:15">
      <c r="B15" s="39" t="s">
        <v>66</v>
      </c>
      <c r="C15" s="39"/>
      <c r="D15" s="39"/>
      <c r="E15" s="219">
        <f>E13+E14</f>
        <v>-47130.510000000009</v>
      </c>
      <c r="F15" s="219">
        <f t="shared" ref="F15:O15" si="1">F13+F14</f>
        <v>-45212.670000000013</v>
      </c>
      <c r="G15" s="219">
        <f t="shared" si="1"/>
        <v>13923.809999999998</v>
      </c>
      <c r="H15" s="219">
        <f t="shared" si="1"/>
        <v>98918</v>
      </c>
      <c r="I15" s="219">
        <f t="shared" si="1"/>
        <v>93781</v>
      </c>
      <c r="J15" s="219">
        <f t="shared" si="1"/>
        <v>11752</v>
      </c>
      <c r="K15" s="219">
        <f t="shared" si="1"/>
        <v>33789.377881637411</v>
      </c>
      <c r="L15" s="219">
        <f t="shared" si="1"/>
        <v>52452.003042450626</v>
      </c>
      <c r="M15" s="219">
        <f t="shared" si="1"/>
        <v>32785.245251273242</v>
      </c>
      <c r="N15" s="219">
        <f t="shared" si="1"/>
        <v>19849.960541862383</v>
      </c>
      <c r="O15" s="219">
        <f t="shared" si="1"/>
        <v>41077.777035376726</v>
      </c>
    </row>
    <row r="16" spans="2:15">
      <c r="B16" s="64" t="s">
        <v>135</v>
      </c>
      <c r="C16" s="64"/>
      <c r="D16" s="64"/>
      <c r="E16" s="191">
        <f>'3 Statement Model'!D41</f>
        <v>-116.43</v>
      </c>
      <c r="F16" s="191">
        <f>'3 Statement Model'!E41</f>
        <v>81.61</v>
      </c>
      <c r="G16" s="191">
        <f>'3 Statement Model'!F41</f>
        <v>14.04</v>
      </c>
      <c r="H16" s="191">
        <f>'3 Statement Model'!G41</f>
        <v>-1232</v>
      </c>
      <c r="I16" s="191">
        <f>'3 Statement Model'!H41</f>
        <v>3350</v>
      </c>
      <c r="J16" s="191">
        <f>'3 Statement Model'!I41</f>
        <v>4331</v>
      </c>
      <c r="K16" s="191">
        <f>'3 Statement Model'!J41</f>
        <v>-3146.6511834093544</v>
      </c>
      <c r="L16" s="191">
        <f>'3 Statement Model'!K41</f>
        <v>-11297.038093002657</v>
      </c>
      <c r="M16" s="191">
        <f>'3 Statement Model'!L41</f>
        <v>-10740.257867991055</v>
      </c>
      <c r="N16" s="191">
        <f>'3 Statement Model'!M41</f>
        <v>-10951.654027510998</v>
      </c>
      <c r="O16" s="191">
        <f>'3 Statement Model'!N41</f>
        <v>-15563.949625873742</v>
      </c>
    </row>
    <row r="17" spans="2:15">
      <c r="B17" s="39" t="s">
        <v>136</v>
      </c>
      <c r="C17" s="39"/>
      <c r="D17" s="39"/>
      <c r="E17" s="219">
        <f>E15-E16</f>
        <v>-47014.080000000009</v>
      </c>
      <c r="F17" s="219">
        <f t="shared" ref="F17:O17" si="2">F15-F16</f>
        <v>-45294.280000000013</v>
      </c>
      <c r="G17" s="219">
        <f t="shared" si="2"/>
        <v>13909.769999999997</v>
      </c>
      <c r="H17" s="219">
        <f t="shared" si="2"/>
        <v>100150</v>
      </c>
      <c r="I17" s="219">
        <f t="shared" si="2"/>
        <v>90431</v>
      </c>
      <c r="J17" s="219">
        <f t="shared" si="2"/>
        <v>7421</v>
      </c>
      <c r="K17" s="219">
        <f t="shared" si="2"/>
        <v>36936.029065046765</v>
      </c>
      <c r="L17" s="219">
        <f t="shared" si="2"/>
        <v>63749.041135453284</v>
      </c>
      <c r="M17" s="219">
        <f t="shared" si="2"/>
        <v>43525.503119264293</v>
      </c>
      <c r="N17" s="219">
        <f t="shared" si="2"/>
        <v>30801.614569373382</v>
      </c>
      <c r="O17" s="219">
        <f t="shared" si="2"/>
        <v>56641.726661250468</v>
      </c>
    </row>
    <row r="18" spans="2:15">
      <c r="B18" s="64" t="s">
        <v>643</v>
      </c>
      <c r="C18" s="64"/>
      <c r="D18" s="64"/>
      <c r="E18" s="191">
        <f>E14*-1</f>
        <v>46994.46</v>
      </c>
      <c r="F18" s="191">
        <f t="shared" ref="F18:O18" si="3">F14*-1</f>
        <v>50686</v>
      </c>
      <c r="G18" s="191">
        <f t="shared" si="3"/>
        <v>51029.69</v>
      </c>
      <c r="H18" s="191">
        <f t="shared" si="3"/>
        <v>64257</v>
      </c>
      <c r="I18" s="191">
        <f t="shared" si="3"/>
        <v>86802</v>
      </c>
      <c r="J18" s="191">
        <f t="shared" si="3"/>
        <v>108082</v>
      </c>
      <c r="K18" s="191">
        <f t="shared" si="3"/>
        <v>118578.13661836252</v>
      </c>
      <c r="L18" s="191">
        <f t="shared" si="3"/>
        <v>129756.2301925494</v>
      </c>
      <c r="M18" s="191">
        <f t="shared" si="3"/>
        <v>141566.24334156673</v>
      </c>
      <c r="N18" s="191">
        <f t="shared" si="3"/>
        <v>153969.32240663856</v>
      </c>
      <c r="O18" s="191">
        <f t="shared" si="3"/>
        <v>166907.0158823606</v>
      </c>
    </row>
    <row r="19" spans="2:15">
      <c r="B19" s="39" t="s">
        <v>837</v>
      </c>
      <c r="C19" s="39"/>
      <c r="D19" s="39"/>
      <c r="E19" s="219">
        <f>E17+E18</f>
        <v>-19.620000000009895</v>
      </c>
      <c r="F19" s="219">
        <f t="shared" ref="F19:O19" si="4">F17+F18</f>
        <v>5391.7199999999866</v>
      </c>
      <c r="G19" s="219">
        <f t="shared" si="4"/>
        <v>64939.46</v>
      </c>
      <c r="H19" s="219">
        <f t="shared" si="4"/>
        <v>164407</v>
      </c>
      <c r="I19" s="219">
        <f t="shared" si="4"/>
        <v>177233</v>
      </c>
      <c r="J19" s="219">
        <f t="shared" si="4"/>
        <v>115503</v>
      </c>
      <c r="K19" s="219">
        <f t="shared" si="4"/>
        <v>155514.16568340929</v>
      </c>
      <c r="L19" s="219">
        <f t="shared" si="4"/>
        <v>193505.27132800268</v>
      </c>
      <c r="M19" s="219">
        <f t="shared" si="4"/>
        <v>185091.74646083103</v>
      </c>
      <c r="N19" s="219">
        <f t="shared" si="4"/>
        <v>184770.93697601193</v>
      </c>
      <c r="O19" s="219">
        <f t="shared" si="4"/>
        <v>223548.74254361106</v>
      </c>
    </row>
    <row r="20" spans="2:15">
      <c r="B20" s="18" t="s">
        <v>137</v>
      </c>
      <c r="C20" s="18"/>
      <c r="D20" s="18"/>
      <c r="E20" s="19"/>
      <c r="F20" s="66"/>
      <c r="G20" s="67"/>
      <c r="H20" s="67"/>
      <c r="I20" s="67"/>
      <c r="J20" s="67"/>
      <c r="K20" s="67"/>
      <c r="L20" s="19"/>
    </row>
    <row r="21" spans="2:15">
      <c r="B21" s="19" t="s">
        <v>138</v>
      </c>
      <c r="C21" s="19"/>
      <c r="D21" s="19"/>
      <c r="E21" s="191">
        <f>'3 Statement Model'!D170*-1</f>
        <v>10927.53</v>
      </c>
      <c r="F21" s="191">
        <f>'3 Statement Model'!E170*-1</f>
        <v>-7615.5299999999979</v>
      </c>
      <c r="G21" s="191">
        <f>'3 Statement Model'!F170*-1</f>
        <v>-31326.440000000002</v>
      </c>
      <c r="H21" s="191">
        <f>'3 Statement Model'!G170*-1</f>
        <v>-43503</v>
      </c>
      <c r="I21" s="191">
        <f>'3 Statement Model'!H170*-1</f>
        <v>-45177</v>
      </c>
      <c r="J21" s="191">
        <f>'3 Statement Model'!I170*-1</f>
        <v>-20473</v>
      </c>
      <c r="K21" s="191">
        <f>'3 Statement Model'!J170*-1</f>
        <v>2600.3343597506719</v>
      </c>
      <c r="L21" s="191">
        <f>'3 Statement Model'!K170*-1</f>
        <v>-30607.342895512676</v>
      </c>
      <c r="M21" s="191">
        <f>'3 Statement Model'!L170*-1</f>
        <v>-8078.1542165401497</v>
      </c>
      <c r="N21" s="191">
        <f>'3 Statement Model'!M170*-1</f>
        <v>-23773.666739641456</v>
      </c>
      <c r="O21" s="191">
        <f>'3 Statement Model'!N170*-1</f>
        <v>-40048.390290311057</v>
      </c>
    </row>
    <row r="22" spans="2:15">
      <c r="B22" s="19" t="s">
        <v>644</v>
      </c>
      <c r="C22" s="19"/>
      <c r="D22" s="19"/>
      <c r="E22" s="191">
        <f>'3 Statement Model'!D183</f>
        <v>-4368.87</v>
      </c>
      <c r="F22" s="191">
        <f>'3 Statement Model'!E183</f>
        <v>-3468.81</v>
      </c>
      <c r="G22" s="191">
        <f>'3 Statement Model'!F183</f>
        <v>-5698.04</v>
      </c>
      <c r="H22" s="191">
        <f>'3 Statement Model'!G183</f>
        <v>-11026</v>
      </c>
      <c r="I22" s="191">
        <f>'3 Statement Model'!H183</f>
        <v>-16048</v>
      </c>
      <c r="J22" s="191">
        <f>'3 Statement Model'!I183</f>
        <v>-17101</v>
      </c>
      <c r="K22" s="191">
        <f>'3 Statement Model'!J183</f>
        <v>-27717.75</v>
      </c>
      <c r="L22" s="191">
        <f>'3 Statement Model'!K183</f>
        <v>-29441.831374421879</v>
      </c>
      <c r="M22" s="191">
        <f>'3 Statement Model'!L183</f>
        <v>-31106.235902875531</v>
      </c>
      <c r="N22" s="191">
        <f>'3 Statement Model'!M183</f>
        <v>-32668.304298394673</v>
      </c>
      <c r="O22" s="191">
        <f>'3 Statement Model'!N183</f>
        <v>-34076.418054487018</v>
      </c>
    </row>
    <row r="23" spans="2:15">
      <c r="B23" s="39" t="s">
        <v>134</v>
      </c>
      <c r="C23" s="39"/>
      <c r="D23" s="39"/>
      <c r="E23" s="219">
        <f>E19+E21+E22</f>
        <v>6539.0399999999909</v>
      </c>
      <c r="F23" s="219">
        <f t="shared" ref="F23:N23" si="5">F19+F21+F22</f>
        <v>-5692.6200000000117</v>
      </c>
      <c r="G23" s="219">
        <f t="shared" si="5"/>
        <v>27914.979999999996</v>
      </c>
      <c r="H23" s="219">
        <f t="shared" si="5"/>
        <v>109878</v>
      </c>
      <c r="I23" s="219">
        <f t="shared" si="5"/>
        <v>116008</v>
      </c>
      <c r="J23" s="219">
        <f t="shared" si="5"/>
        <v>77929</v>
      </c>
      <c r="K23" s="219">
        <f t="shared" si="5"/>
        <v>130396.75004315996</v>
      </c>
      <c r="L23" s="219">
        <f t="shared" si="5"/>
        <v>133456.09705806812</v>
      </c>
      <c r="M23" s="219">
        <f>M19+M21+M22</f>
        <v>145907.35634141532</v>
      </c>
      <c r="N23" s="219">
        <f t="shared" si="5"/>
        <v>128328.96593797579</v>
      </c>
      <c r="O23" s="219">
        <f>O19+O21+O22</f>
        <v>149423.93419881299</v>
      </c>
    </row>
    <row r="24" spans="2:15">
      <c r="B24" s="18"/>
      <c r="C24" s="18"/>
      <c r="D24" s="18"/>
      <c r="E24" s="19"/>
      <c r="F24" s="68"/>
      <c r="G24" s="19"/>
      <c r="H24" s="19"/>
      <c r="I24" s="19"/>
      <c r="J24" s="19"/>
      <c r="K24" s="19"/>
      <c r="L24" s="19"/>
    </row>
    <row r="25" spans="2:15">
      <c r="B25" s="19" t="s">
        <v>139</v>
      </c>
      <c r="C25" s="69" t="s">
        <v>140</v>
      </c>
      <c r="D25" s="70" t="s">
        <v>132</v>
      </c>
      <c r="K25" s="19">
        <f>IF(D25="Yes",(K9-J9)/2,K9-J9)</f>
        <v>0.5</v>
      </c>
      <c r="L25" s="19">
        <f>K25+1</f>
        <v>1.5</v>
      </c>
      <c r="M25" s="19">
        <f>L25+1</f>
        <v>2.5</v>
      </c>
      <c r="N25" s="19">
        <f>M25+1</f>
        <v>3.5</v>
      </c>
      <c r="O25" s="19">
        <f>N25+1</f>
        <v>4.5</v>
      </c>
    </row>
    <row r="26" spans="2:15">
      <c r="B26" s="19" t="s">
        <v>141</v>
      </c>
      <c r="C26" s="350">
        <f>WACC!E23</f>
        <v>0.08</v>
      </c>
      <c r="F26" s="66"/>
      <c r="G26" s="67"/>
      <c r="H26" s="67"/>
      <c r="I26" s="67"/>
      <c r="J26" s="67"/>
      <c r="K26" s="67"/>
      <c r="L26" s="19"/>
    </row>
    <row r="27" spans="2:15">
      <c r="B27" s="19" t="s">
        <v>142</v>
      </c>
      <c r="C27" s="19"/>
      <c r="F27" s="66"/>
      <c r="K27" s="451">
        <f t="shared" ref="K27:O27" si="6">1/(1+$C$26)^K25</f>
        <v>0.96225044864937614</v>
      </c>
      <c r="L27" s="451">
        <f t="shared" si="6"/>
        <v>0.89097263763831136</v>
      </c>
      <c r="M27" s="451">
        <f t="shared" si="6"/>
        <v>0.82497466447991774</v>
      </c>
      <c r="N27" s="451">
        <f t="shared" si="6"/>
        <v>0.76386543007399788</v>
      </c>
      <c r="O27" s="451">
        <f t="shared" si="6"/>
        <v>0.70728280562407209</v>
      </c>
    </row>
    <row r="28" spans="2:15">
      <c r="B28" s="18"/>
      <c r="C28" s="18"/>
      <c r="D28" s="18"/>
      <c r="E28" s="19"/>
      <c r="F28" s="66"/>
      <c r="G28" s="67"/>
      <c r="H28" s="67"/>
      <c r="I28" s="67"/>
      <c r="J28" s="67"/>
      <c r="K28" s="67"/>
      <c r="L28" s="19"/>
    </row>
    <row r="29" spans="2:15" ht="15" thickBot="1">
      <c r="B29" s="27" t="s">
        <v>143</v>
      </c>
      <c r="C29" s="27"/>
      <c r="D29" s="27"/>
      <c r="E29" s="27"/>
      <c r="F29" s="71"/>
      <c r="G29" s="71"/>
      <c r="H29" s="71"/>
      <c r="I29" s="71"/>
      <c r="J29" s="71"/>
      <c r="K29" s="318">
        <f>K23*K27</f>
        <v>125474.33123145123</v>
      </c>
      <c r="L29" s="318">
        <f t="shared" ref="L29:O29" si="7">L23*L27</f>
        <v>118905.73080474144</v>
      </c>
      <c r="M29" s="318">
        <f t="shared" si="7"/>
        <v>120369.87234291089</v>
      </c>
      <c r="N29" s="318">
        <f t="shared" si="7"/>
        <v>98026.060757163301</v>
      </c>
      <c r="O29" s="318">
        <f t="shared" si="7"/>
        <v>105684.97940752319</v>
      </c>
    </row>
    <row r="30" spans="2:15">
      <c r="B30" s="47"/>
      <c r="C30" s="47"/>
      <c r="D30" s="47"/>
      <c r="E30" s="19"/>
      <c r="F30" s="59"/>
      <c r="G30" s="19"/>
      <c r="H30" s="19"/>
      <c r="I30" s="19"/>
      <c r="J30" s="19"/>
      <c r="K30" s="19"/>
      <c r="L30" s="19"/>
    </row>
    <row r="31" spans="2:15" ht="15.6">
      <c r="B31" s="7" t="s">
        <v>145</v>
      </c>
      <c r="C31" s="7"/>
      <c r="D31" s="7"/>
      <c r="E31" s="8"/>
      <c r="F31" s="8"/>
      <c r="G31" s="8"/>
      <c r="H31" s="8"/>
      <c r="I31" s="8"/>
      <c r="J31" s="54"/>
      <c r="K31" s="54"/>
      <c r="L31" s="54"/>
      <c r="M31" s="54"/>
      <c r="N31" s="54"/>
      <c r="O31" s="54"/>
    </row>
    <row r="32" spans="2:15">
      <c r="B32" s="19"/>
      <c r="C32" s="19"/>
      <c r="E32" s="19"/>
      <c r="F32" s="66"/>
      <c r="G32" s="67"/>
      <c r="H32" s="67"/>
      <c r="I32" s="67"/>
      <c r="J32" s="67"/>
      <c r="K32" s="67"/>
      <c r="L32" s="19"/>
    </row>
    <row r="33" spans="2:15">
      <c r="B33" s="19" t="s">
        <v>146</v>
      </c>
      <c r="C33" s="454">
        <v>0.03</v>
      </c>
      <c r="E33" s="19"/>
      <c r="F33" s="66"/>
      <c r="G33" s="67"/>
      <c r="H33" s="67"/>
      <c r="I33" s="67"/>
      <c r="J33" s="67"/>
      <c r="K33" s="67"/>
      <c r="L33" s="19"/>
    </row>
    <row r="34" spans="2:15">
      <c r="B34" s="19" t="s">
        <v>147</v>
      </c>
      <c r="C34" s="195">
        <f>O23*(1+C33)</f>
        <v>153906.65222477738</v>
      </c>
      <c r="E34" s="319"/>
      <c r="F34" s="65"/>
      <c r="G34" s="72"/>
      <c r="H34" s="72"/>
      <c r="I34" s="72"/>
      <c r="J34" s="72"/>
      <c r="K34" s="72"/>
      <c r="L34" s="19"/>
    </row>
    <row r="35" spans="2:15">
      <c r="B35" s="117" t="s">
        <v>148</v>
      </c>
      <c r="C35" s="453">
        <f>C34/(C26-C33)</f>
        <v>3078133.0444955477</v>
      </c>
      <c r="E35" s="19"/>
      <c r="F35" s="19"/>
      <c r="G35" s="19"/>
      <c r="H35" s="19"/>
      <c r="I35" s="19"/>
      <c r="J35" s="19"/>
      <c r="K35" s="19"/>
      <c r="L35" s="19"/>
    </row>
    <row r="36" spans="2:15">
      <c r="B36" s="19" t="s">
        <v>149</v>
      </c>
      <c r="C36" s="195">
        <f>C35*O27</f>
        <v>2177110.5757949776</v>
      </c>
      <c r="E36" s="19"/>
      <c r="F36" s="66"/>
      <c r="G36" s="67"/>
      <c r="H36" s="67"/>
      <c r="I36" s="67"/>
      <c r="J36" s="67"/>
      <c r="K36" s="67"/>
      <c r="L36" s="19"/>
    </row>
    <row r="37" spans="2:15">
      <c r="B37" s="19" t="s">
        <v>150</v>
      </c>
      <c r="C37" s="195">
        <f>SUM(K29:O29)</f>
        <v>568460.9745437901</v>
      </c>
      <c r="E37" s="19"/>
      <c r="F37" s="66"/>
      <c r="G37" s="67"/>
      <c r="H37" s="67"/>
      <c r="I37" s="67"/>
      <c r="J37" s="67"/>
      <c r="K37" s="67"/>
      <c r="L37" s="19"/>
    </row>
    <row r="38" spans="2:15">
      <c r="B38" s="39" t="s">
        <v>645</v>
      </c>
      <c r="C38" s="453">
        <f>SUM(C36:C37)</f>
        <v>2745571.5503387675</v>
      </c>
      <c r="E38" s="19"/>
      <c r="F38" s="66"/>
      <c r="G38" s="67"/>
      <c r="H38" s="67"/>
      <c r="I38" s="67"/>
      <c r="J38" s="67"/>
      <c r="K38" s="67"/>
      <c r="L38" s="19"/>
    </row>
    <row r="39" spans="2:15">
      <c r="B39" s="221" t="s">
        <v>152</v>
      </c>
      <c r="C39" s="452">
        <f>C35/O13</f>
        <v>14.799798587741069</v>
      </c>
      <c r="F39" s="19"/>
      <c r="G39" s="67"/>
      <c r="H39" s="67"/>
      <c r="I39" s="67"/>
      <c r="J39" s="67"/>
      <c r="K39" s="67"/>
      <c r="L39" s="19"/>
    </row>
    <row r="40" spans="2:15">
      <c r="B40" s="221" t="s">
        <v>153</v>
      </c>
      <c r="C40" s="452">
        <f>C38/O13</f>
        <v>13.200828348179778</v>
      </c>
      <c r="E40" s="18"/>
      <c r="F40" s="65"/>
      <c r="G40" s="72"/>
      <c r="H40" s="72"/>
      <c r="I40" s="72"/>
      <c r="J40" s="72"/>
      <c r="K40" s="72"/>
      <c r="L40" s="19"/>
    </row>
    <row r="41" spans="2:15">
      <c r="B41" s="19" t="s">
        <v>154</v>
      </c>
      <c r="C41" s="195">
        <f>'3 Statement Model'!I81+'3 Statement Model'!I87</f>
        <v>777492</v>
      </c>
      <c r="E41" s="19"/>
      <c r="F41" s="19"/>
      <c r="G41" s="19"/>
      <c r="H41" s="19"/>
      <c r="I41" s="19"/>
      <c r="J41" s="19"/>
      <c r="K41" s="19"/>
      <c r="L41" s="19"/>
    </row>
    <row r="42" spans="2:15">
      <c r="B42" s="19" t="s">
        <v>155</v>
      </c>
      <c r="C42" s="195">
        <f>'3 Statement Model'!I54+'3 Statement Model'!I55</f>
        <v>239993</v>
      </c>
      <c r="E42" s="19"/>
      <c r="F42" s="65"/>
      <c r="G42" s="72"/>
      <c r="H42" s="72"/>
      <c r="I42" s="72"/>
      <c r="J42" s="72"/>
      <c r="K42" s="72"/>
      <c r="L42" s="19"/>
    </row>
    <row r="43" spans="2:15">
      <c r="B43" s="19" t="s">
        <v>646</v>
      </c>
      <c r="C43" s="195">
        <f>'3 Statement Model'!N67</f>
        <v>139094.34458832003</v>
      </c>
      <c r="E43" s="19"/>
      <c r="F43" s="65"/>
      <c r="G43" s="72"/>
      <c r="H43" s="72"/>
      <c r="I43" s="72"/>
      <c r="J43" s="72"/>
      <c r="K43" s="72"/>
      <c r="L43" s="19"/>
    </row>
    <row r="44" spans="2:15">
      <c r="B44" s="39" t="s">
        <v>156</v>
      </c>
      <c r="C44" s="453">
        <f>C38-C41+C42+C43</f>
        <v>2347166.8949270877</v>
      </c>
      <c r="E44" s="19"/>
      <c r="F44" s="19"/>
      <c r="G44" s="19"/>
      <c r="H44" s="19"/>
      <c r="I44" s="19"/>
      <c r="J44" s="19"/>
      <c r="K44" s="19"/>
      <c r="L44" s="19"/>
    </row>
    <row r="45" spans="2:15" s="16" customFormat="1">
      <c r="B45" s="19" t="s">
        <v>682</v>
      </c>
      <c r="C45" s="456">
        <f ca="1">'Options Working'!E28*-1</f>
        <v>-142.05277495981608</v>
      </c>
      <c r="E45" s="163"/>
      <c r="F45" s="18"/>
      <c r="G45" s="18"/>
      <c r="H45" s="18"/>
      <c r="I45" s="18"/>
      <c r="J45" s="18"/>
      <c r="K45" s="18"/>
      <c r="L45" s="18"/>
    </row>
    <row r="46" spans="2:15">
      <c r="B46" s="39" t="s">
        <v>683</v>
      </c>
      <c r="C46" s="453">
        <f ca="1">C44+C45</f>
        <v>2347024.842152128</v>
      </c>
      <c r="E46" s="19"/>
      <c r="F46" s="19"/>
      <c r="G46" s="19"/>
      <c r="H46" s="19"/>
      <c r="I46" s="19"/>
      <c r="J46" s="19"/>
      <c r="K46" s="19"/>
      <c r="L46" s="19"/>
    </row>
    <row r="47" spans="2:15">
      <c r="B47" s="18"/>
      <c r="C47" s="108"/>
      <c r="E47" s="19"/>
      <c r="F47" s="19"/>
      <c r="G47" s="19"/>
      <c r="H47" s="19"/>
      <c r="I47" s="19"/>
      <c r="J47" s="19"/>
      <c r="K47" s="19"/>
      <c r="L47" s="19"/>
    </row>
    <row r="48" spans="2:15" ht="15.6">
      <c r="B48" s="7" t="s">
        <v>157</v>
      </c>
      <c r="C48" s="7"/>
      <c r="D48" s="8"/>
      <c r="E48" s="8"/>
      <c r="F48" s="8"/>
      <c r="G48" s="8"/>
      <c r="H48" s="8"/>
      <c r="I48" s="8"/>
      <c r="J48" s="54"/>
      <c r="K48" s="54"/>
      <c r="L48" s="54"/>
      <c r="M48" s="54"/>
      <c r="N48" s="54"/>
      <c r="O48" s="54"/>
    </row>
    <row r="49" spans="2:12">
      <c r="B49" s="19"/>
      <c r="C49" s="442"/>
      <c r="E49" s="19"/>
      <c r="F49" s="66"/>
      <c r="G49" s="67"/>
      <c r="H49" s="67"/>
      <c r="I49" s="67"/>
      <c r="J49" s="67"/>
      <c r="K49" s="67"/>
      <c r="L49" s="19"/>
    </row>
    <row r="50" spans="2:12">
      <c r="B50" s="19" t="s">
        <v>158</v>
      </c>
      <c r="C50" s="353">
        <v>16</v>
      </c>
      <c r="E50" s="19"/>
      <c r="F50" s="66"/>
      <c r="G50" s="67"/>
      <c r="H50" s="67"/>
      <c r="I50" s="67"/>
      <c r="J50" s="67"/>
      <c r="K50" s="67"/>
      <c r="L50" s="19"/>
    </row>
    <row r="51" spans="2:12">
      <c r="B51" s="19" t="s">
        <v>159</v>
      </c>
      <c r="C51" s="195">
        <f>O13</f>
        <v>207984.79291773733</v>
      </c>
      <c r="E51" s="18"/>
      <c r="F51" s="65"/>
      <c r="G51" s="72"/>
      <c r="H51" s="72"/>
      <c r="I51" s="72"/>
      <c r="J51" s="72"/>
      <c r="K51" s="72"/>
      <c r="L51" s="19"/>
    </row>
    <row r="52" spans="2:12">
      <c r="B52" s="39" t="s">
        <v>148</v>
      </c>
      <c r="C52" s="453">
        <f>C51*C50</f>
        <v>3327756.6866837973</v>
      </c>
      <c r="E52" s="19"/>
      <c r="F52" s="19"/>
      <c r="G52" s="19"/>
      <c r="H52" s="19"/>
      <c r="I52" s="19"/>
      <c r="J52" s="19"/>
      <c r="K52" s="19"/>
      <c r="L52" s="19"/>
    </row>
    <row r="53" spans="2:12">
      <c r="B53" s="19" t="s">
        <v>149</v>
      </c>
      <c r="C53" s="195">
        <f>C52*O27</f>
        <v>2353665.0857919822</v>
      </c>
      <c r="E53" s="19"/>
      <c r="F53" s="66"/>
      <c r="G53" s="67"/>
      <c r="H53" s="67"/>
      <c r="I53" s="67"/>
      <c r="J53" s="67"/>
      <c r="K53" s="67"/>
      <c r="L53" s="19"/>
    </row>
    <row r="54" spans="2:12">
      <c r="B54" s="19" t="s">
        <v>150</v>
      </c>
      <c r="C54" s="195">
        <f>C37</f>
        <v>568460.9745437901</v>
      </c>
      <c r="E54" s="19"/>
      <c r="F54" s="66"/>
      <c r="G54" s="67"/>
      <c r="H54" s="67"/>
      <c r="I54" s="67"/>
      <c r="J54" s="67"/>
      <c r="K54" s="67"/>
      <c r="L54" s="19"/>
    </row>
    <row r="55" spans="2:12">
      <c r="B55" s="39" t="s">
        <v>151</v>
      </c>
      <c r="C55" s="453">
        <f>SUM(C53:C54)</f>
        <v>2922126.0603357721</v>
      </c>
      <c r="E55" s="19"/>
      <c r="F55" s="66"/>
      <c r="G55" s="67"/>
      <c r="H55" s="67"/>
      <c r="I55" s="67"/>
      <c r="J55" s="67"/>
      <c r="K55" s="67"/>
      <c r="L55" s="19"/>
    </row>
    <row r="56" spans="2:12">
      <c r="B56" s="19" t="s">
        <v>152</v>
      </c>
      <c r="C56" s="452">
        <f>C52/O13</f>
        <v>16</v>
      </c>
      <c r="F56" s="19"/>
      <c r="G56" s="67"/>
      <c r="H56" s="67"/>
      <c r="I56" s="67"/>
      <c r="J56" s="67"/>
      <c r="K56" s="67"/>
      <c r="L56" s="19"/>
    </row>
    <row r="57" spans="2:12">
      <c r="B57" s="19" t="s">
        <v>153</v>
      </c>
      <c r="C57" s="452">
        <f>C55/O13</f>
        <v>14.049710170356247</v>
      </c>
      <c r="E57" s="18"/>
      <c r="F57" s="65"/>
      <c r="G57" s="72"/>
      <c r="H57" s="72"/>
      <c r="I57" s="72"/>
      <c r="J57" s="72"/>
      <c r="K57" s="72"/>
      <c r="L57" s="19"/>
    </row>
    <row r="58" spans="2:12">
      <c r="B58" s="19" t="s">
        <v>154</v>
      </c>
      <c r="C58" s="195">
        <f>$C$41</f>
        <v>777492</v>
      </c>
      <c r="E58" s="19"/>
      <c r="F58" s="19"/>
      <c r="G58" s="19"/>
      <c r="H58" s="19"/>
      <c r="I58" s="19"/>
      <c r="J58" s="19"/>
      <c r="K58" s="19"/>
      <c r="L58" s="19"/>
    </row>
    <row r="59" spans="2:12">
      <c r="B59" s="19" t="s">
        <v>155</v>
      </c>
      <c r="C59" s="195">
        <f>$C$42</f>
        <v>239993</v>
      </c>
      <c r="E59" s="19"/>
      <c r="F59" s="65"/>
      <c r="G59" s="72"/>
      <c r="H59" s="72"/>
      <c r="I59" s="72"/>
      <c r="J59" s="72"/>
      <c r="K59" s="72"/>
      <c r="L59" s="19"/>
    </row>
    <row r="60" spans="2:12">
      <c r="B60" s="19" t="s">
        <v>646</v>
      </c>
      <c r="C60" s="195">
        <f>$C$43</f>
        <v>139094.34458832003</v>
      </c>
      <c r="E60" s="19"/>
      <c r="F60" s="65"/>
      <c r="G60" s="72"/>
      <c r="H60" s="72"/>
      <c r="I60" s="72"/>
      <c r="J60" s="72"/>
      <c r="K60" s="72"/>
      <c r="L60" s="19"/>
    </row>
    <row r="61" spans="2:12" ht="15" customHeight="1">
      <c r="B61" s="39" t="s">
        <v>156</v>
      </c>
      <c r="C61" s="453">
        <f>C55-C58+C59++C60</f>
        <v>2523721.4049240923</v>
      </c>
      <c r="E61" s="19"/>
      <c r="F61" s="19"/>
      <c r="G61" s="19"/>
      <c r="H61" s="19"/>
      <c r="I61" s="19"/>
      <c r="J61" s="19"/>
      <c r="K61" s="19"/>
      <c r="L61" s="19"/>
    </row>
    <row r="62" spans="2:12" ht="15" customHeight="1">
      <c r="B62" s="19" t="s">
        <v>682</v>
      </c>
      <c r="C62" s="195">
        <f ca="1">'Options Working'!E28*-1</f>
        <v>-142.05277495981608</v>
      </c>
      <c r="E62" s="19"/>
      <c r="F62" s="19"/>
      <c r="G62" s="19"/>
      <c r="H62" s="19"/>
      <c r="I62" s="19"/>
      <c r="J62" s="19"/>
      <c r="K62" s="19"/>
      <c r="L62" s="19"/>
    </row>
    <row r="63" spans="2:12" ht="15" customHeight="1">
      <c r="B63" s="39" t="s">
        <v>683</v>
      </c>
      <c r="C63" s="453">
        <f ca="1">C61+C62</f>
        <v>2523579.3521491326</v>
      </c>
      <c r="E63" s="19"/>
      <c r="F63" s="19"/>
      <c r="G63" s="19"/>
      <c r="H63" s="19"/>
      <c r="I63" s="19"/>
      <c r="J63" s="19"/>
      <c r="K63" s="19"/>
      <c r="L63" s="19"/>
    </row>
    <row r="64" spans="2:12" ht="15" customHeight="1">
      <c r="B64" s="18"/>
      <c r="C64" s="455"/>
      <c r="E64" s="19"/>
      <c r="F64" s="19"/>
      <c r="G64" s="19"/>
      <c r="H64" s="19"/>
      <c r="I64" s="19"/>
      <c r="J64" s="19"/>
      <c r="K64" s="19"/>
      <c r="L64" s="19"/>
    </row>
    <row r="65" spans="2:15">
      <c r="B65" s="18"/>
      <c r="C65" s="18"/>
      <c r="D65" s="18"/>
      <c r="E65" s="18"/>
      <c r="F65" s="65"/>
      <c r="G65" s="72"/>
      <c r="H65" s="72"/>
      <c r="I65" s="72"/>
      <c r="J65" s="72"/>
      <c r="K65" s="72"/>
      <c r="L65" s="19"/>
    </row>
    <row r="66" spans="2:15" ht="15.6">
      <c r="B66" s="7" t="s">
        <v>686</v>
      </c>
      <c r="C66" s="7"/>
      <c r="D66" s="7"/>
      <c r="E66" s="8"/>
      <c r="F66" s="8"/>
      <c r="G66" s="8"/>
      <c r="H66" s="8"/>
      <c r="I66" s="8"/>
      <c r="J66" s="54"/>
      <c r="K66" s="54"/>
      <c r="L66" s="54"/>
      <c r="M66" s="54"/>
      <c r="N66" s="54"/>
      <c r="O66" s="54"/>
    </row>
    <row r="68" spans="2:15" ht="19.2" customHeight="1">
      <c r="E68" s="499" t="s">
        <v>688</v>
      </c>
      <c r="F68" s="499"/>
      <c r="G68" s="499"/>
      <c r="H68" s="499"/>
      <c r="I68" s="499"/>
    </row>
    <row r="69" spans="2:15">
      <c r="C69" s="500" t="s">
        <v>687</v>
      </c>
      <c r="D69" s="457">
        <f ca="1">C46</f>
        <v>2347024.842152128</v>
      </c>
      <c r="E69" s="458">
        <v>7.0000000000000007E-2</v>
      </c>
      <c r="F69" s="458">
        <v>0.08</v>
      </c>
      <c r="G69" s="458">
        <v>0.09</v>
      </c>
      <c r="H69" s="458">
        <v>0.1</v>
      </c>
      <c r="I69" s="458">
        <v>0.11</v>
      </c>
    </row>
    <row r="70" spans="2:15">
      <c r="C70" s="500"/>
      <c r="D70" s="459">
        <v>0.02</v>
      </c>
      <c r="E70" s="461">
        <f t="dataTable" ref="E70:I74" dt2D="1" dtr="1" r1="C26" r2="C33" ca="1"/>
        <v>2430904.1033034073</v>
      </c>
      <c r="F70" s="462">
        <v>1966558.9162850443</v>
      </c>
      <c r="G70" s="462">
        <v>1634974.5661116969</v>
      </c>
      <c r="H70" s="462">
        <v>1386359.7488624223</v>
      </c>
      <c r="I70" s="463">
        <v>1193052.9852284223</v>
      </c>
    </row>
    <row r="71" spans="2:15">
      <c r="C71" s="500"/>
      <c r="D71" s="459">
        <v>0.03</v>
      </c>
      <c r="E71" s="464">
        <v>3020489.8138733655</v>
      </c>
      <c r="F71" s="467">
        <v>2347024.842152128</v>
      </c>
      <c r="G71" s="465">
        <v>1898109.2725578344</v>
      </c>
      <c r="H71" s="465">
        <v>1577502.4600308014</v>
      </c>
      <c r="I71" s="466">
        <v>1337084.4059657722</v>
      </c>
    </row>
    <row r="72" spans="2:15">
      <c r="C72" s="500"/>
      <c r="D72" s="459">
        <v>0.04</v>
      </c>
      <c r="E72" s="464">
        <v>4003132.6648232965</v>
      </c>
      <c r="F72" s="471">
        <v>2917723.7309527537</v>
      </c>
      <c r="G72" s="471">
        <v>2266497.8615824273</v>
      </c>
      <c r="H72" s="465">
        <v>1832359.4082553072</v>
      </c>
      <c r="I72" s="466">
        <v>1522267.6611995078</v>
      </c>
    </row>
    <row r="73" spans="2:15">
      <c r="C73" s="500"/>
      <c r="D73" s="459">
        <v>0.05</v>
      </c>
      <c r="E73" s="464">
        <v>5968418.3667231556</v>
      </c>
      <c r="F73" s="465">
        <v>3868888.5456204619</v>
      </c>
      <c r="G73" s="471">
        <v>2819080.7451193165</v>
      </c>
      <c r="H73" s="465">
        <v>2189159.1357696154</v>
      </c>
      <c r="I73" s="466">
        <v>1769178.6681778214</v>
      </c>
    </row>
    <row r="74" spans="2:15" ht="15.6" customHeight="1">
      <c r="C74" s="500"/>
      <c r="D74" s="459">
        <v>0.06</v>
      </c>
      <c r="E74" s="468">
        <v>11864275.472422732</v>
      </c>
      <c r="F74" s="469">
        <v>5771218.1749558784</v>
      </c>
      <c r="G74" s="469">
        <v>3740052.2176807979</v>
      </c>
      <c r="H74" s="469">
        <v>2724358.7270410769</v>
      </c>
      <c r="I74" s="470">
        <v>2114854.0779474615</v>
      </c>
    </row>
    <row r="77" spans="2:15" ht="19.8" customHeight="1">
      <c r="E77" s="499" t="s">
        <v>688</v>
      </c>
      <c r="F77" s="499"/>
      <c r="G77" s="499"/>
      <c r="H77" s="499"/>
      <c r="I77" s="499"/>
    </row>
    <row r="78" spans="2:15">
      <c r="C78" s="500" t="s">
        <v>689</v>
      </c>
      <c r="D78" s="457">
        <f ca="1">C63</f>
        <v>2523579.3521491326</v>
      </c>
      <c r="E78" s="458">
        <v>7.0000000000000007E-2</v>
      </c>
      <c r="F78" s="458">
        <v>0.08</v>
      </c>
      <c r="G78" s="458">
        <v>0.09</v>
      </c>
      <c r="H78" s="458">
        <v>0.1</v>
      </c>
      <c r="I78" s="458">
        <v>0.11</v>
      </c>
    </row>
    <row r="79" spans="2:15" ht="14.4" customHeight="1">
      <c r="C79" s="500"/>
      <c r="D79" s="460">
        <v>14</v>
      </c>
      <c r="E79" s="461">
        <f t="dataTable" ref="E79:I83" dt2D="1" dtr="1" r1="C26" r2="C50" ca="1"/>
        <v>2330261.4566850709</v>
      </c>
      <c r="F79" s="462">
        <v>2229371.2164251353</v>
      </c>
      <c r="G79" s="462">
        <v>2133345.8353041988</v>
      </c>
      <c r="H79" s="462">
        <v>2041906.429930554</v>
      </c>
      <c r="I79" s="463">
        <v>1954792.5063536132</v>
      </c>
    </row>
    <row r="80" spans="2:15">
      <c r="C80" s="500"/>
      <c r="D80" s="460">
        <v>15</v>
      </c>
      <c r="E80" s="464">
        <v>2483654.1180498111</v>
      </c>
      <c r="F80" s="465">
        <v>2376475.2842871342</v>
      </c>
      <c r="G80" s="465">
        <v>2274473.5605250495</v>
      </c>
      <c r="H80" s="465">
        <v>2177351.9044056954</v>
      </c>
      <c r="I80" s="466">
        <v>2084832.8706821676</v>
      </c>
    </row>
    <row r="81" spans="3:9">
      <c r="C81" s="500"/>
      <c r="D81" s="460">
        <v>16</v>
      </c>
      <c r="E81" s="464">
        <v>2637046.7794145513</v>
      </c>
      <c r="F81" s="467">
        <v>2523579.3521491326</v>
      </c>
      <c r="G81" s="465">
        <v>2415601.2857459011</v>
      </c>
      <c r="H81" s="465">
        <v>2312797.3788808361</v>
      </c>
      <c r="I81" s="466">
        <v>2214873.2350107227</v>
      </c>
    </row>
    <row r="82" spans="3:9">
      <c r="C82" s="500"/>
      <c r="D82" s="460">
        <v>17</v>
      </c>
      <c r="E82" s="464">
        <v>2790439.4407792916</v>
      </c>
      <c r="F82" s="465">
        <v>2670683.420011132</v>
      </c>
      <c r="G82" s="465">
        <v>2556729.0109667517</v>
      </c>
      <c r="H82" s="465">
        <v>2448242.8533559772</v>
      </c>
      <c r="I82" s="466">
        <v>2344913.599339277</v>
      </c>
    </row>
    <row r="83" spans="3:9">
      <c r="C83" s="500"/>
      <c r="D83" s="460">
        <v>18</v>
      </c>
      <c r="E83" s="468">
        <v>2943832.1021440318</v>
      </c>
      <c r="F83" s="469">
        <v>2817787.4878731305</v>
      </c>
      <c r="G83" s="469">
        <v>2697856.7361876033</v>
      </c>
      <c r="H83" s="469">
        <v>2583688.3278311184</v>
      </c>
      <c r="I83" s="470">
        <v>2474953.9636678314</v>
      </c>
    </row>
  </sheetData>
  <mergeCells count="6">
    <mergeCell ref="E77:I77"/>
    <mergeCell ref="C78:C83"/>
    <mergeCell ref="E8:J8"/>
    <mergeCell ref="K8:O8"/>
    <mergeCell ref="C69:C74"/>
    <mergeCell ref="E68:I68"/>
  </mergeCells>
  <dataValidations disablePrompts="1" count="1">
    <dataValidation type="list" allowBlank="1" showInputMessage="1" showErrorMessage="1" sqref="D25" xr:uid="{F0C38D92-B749-43AC-B4CC-944A4A0E825A}">
      <formula1>$L$4:$L$5</formula1>
    </dataValidation>
  </dataValidation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916BA-2844-459D-B957-F40963BE0B97}">
  <sheetPr>
    <tabColor rgb="FF001B94"/>
  </sheetPr>
  <dimension ref="B2:AB31"/>
  <sheetViews>
    <sheetView showGridLines="0" zoomScale="80" zoomScaleNormal="80" workbookViewId="0">
      <selection activeCell="F30" sqref="F30"/>
    </sheetView>
  </sheetViews>
  <sheetFormatPr defaultRowHeight="14.4"/>
  <cols>
    <col min="1" max="1" width="1.88671875" customWidth="1"/>
    <col min="2" max="2" width="25.77734375" customWidth="1"/>
    <col min="3" max="3" width="13.77734375" bestFit="1" customWidth="1"/>
    <col min="4" max="4" width="10.109375" customWidth="1"/>
    <col min="5" max="5" width="13.77734375" bestFit="1" customWidth="1"/>
    <col min="6" max="6" width="10.77734375" customWidth="1"/>
    <col min="7" max="7" width="12.109375" bestFit="1" customWidth="1"/>
    <col min="8" max="8" width="14.44140625" customWidth="1"/>
    <col min="9" max="9" width="12.109375" bestFit="1" customWidth="1"/>
    <col min="10" max="11" width="13.77734375" bestFit="1" customWidth="1"/>
    <col min="12" max="14" width="12.109375" bestFit="1" customWidth="1"/>
    <col min="15" max="17" width="10.77734375" customWidth="1"/>
    <col min="18" max="18" width="0.77734375" customWidth="1"/>
    <col min="19" max="19" width="10.6640625" bestFit="1" customWidth="1"/>
    <col min="20" max="21" width="9" bestFit="1" customWidth="1"/>
    <col min="22" max="24" width="10.21875" bestFit="1" customWidth="1"/>
    <col min="25" max="26" width="13.88671875" bestFit="1" customWidth="1"/>
    <col min="27" max="27" width="14.6640625" customWidth="1"/>
    <col min="28" max="28" width="13.77734375" bestFit="1" customWidth="1"/>
  </cols>
  <sheetData>
    <row r="2" spans="2:28">
      <c r="B2" s="4" t="s">
        <v>723</v>
      </c>
    </row>
    <row r="3" spans="2:28">
      <c r="B3" s="4"/>
    </row>
    <row r="4" spans="2:28">
      <c r="B4" s="370"/>
      <c r="C4" s="496" t="s">
        <v>717</v>
      </c>
      <c r="D4" s="496"/>
      <c r="E4" s="496"/>
      <c r="F4" s="496"/>
      <c r="G4" s="496"/>
      <c r="H4" s="496"/>
      <c r="I4" s="496" t="s">
        <v>722</v>
      </c>
      <c r="J4" s="496"/>
      <c r="K4" s="496"/>
      <c r="L4" s="496"/>
      <c r="M4" s="496"/>
      <c r="N4" s="496"/>
      <c r="O4" s="496"/>
      <c r="P4" s="496"/>
      <c r="Q4" s="496"/>
      <c r="S4" s="496" t="s">
        <v>724</v>
      </c>
      <c r="T4" s="496"/>
      <c r="U4" s="496"/>
      <c r="V4" s="496"/>
      <c r="W4" s="496"/>
      <c r="X4" s="496"/>
      <c r="Y4" s="496"/>
      <c r="Z4" s="496"/>
      <c r="AA4" s="496"/>
    </row>
    <row r="5" spans="2:28">
      <c r="B5" s="53"/>
      <c r="C5" s="53"/>
      <c r="D5" s="53"/>
      <c r="E5" s="53"/>
      <c r="F5" s="53"/>
      <c r="G5" s="53"/>
      <c r="H5" s="53"/>
      <c r="I5" s="371">
        <v>2026</v>
      </c>
      <c r="J5" s="372">
        <f>I5+1</f>
        <v>2027</v>
      </c>
      <c r="K5" s="372">
        <f t="shared" ref="K5" si="0">J5+1</f>
        <v>2028</v>
      </c>
      <c r="L5" s="371">
        <f>I5</f>
        <v>2026</v>
      </c>
      <c r="M5" s="372">
        <f>J5</f>
        <v>2027</v>
      </c>
      <c r="N5" s="372">
        <f>K5</f>
        <v>2028</v>
      </c>
      <c r="O5" s="371">
        <f>I5</f>
        <v>2026</v>
      </c>
      <c r="P5" s="372">
        <f>J5</f>
        <v>2027</v>
      </c>
      <c r="Q5" s="372">
        <f>K5</f>
        <v>2028</v>
      </c>
      <c r="S5" s="371">
        <v>2026</v>
      </c>
      <c r="T5" s="372">
        <f>S5+1</f>
        <v>2027</v>
      </c>
      <c r="U5" s="372">
        <f t="shared" ref="U5" si="1">T5+1</f>
        <v>2028</v>
      </c>
      <c r="V5" s="371">
        <f>S5</f>
        <v>2026</v>
      </c>
      <c r="W5" s="372">
        <f>T5</f>
        <v>2027</v>
      </c>
      <c r="X5" s="372">
        <f>U5</f>
        <v>2028</v>
      </c>
      <c r="Y5" s="371">
        <f>S5</f>
        <v>2026</v>
      </c>
      <c r="Z5" s="372">
        <f>T5</f>
        <v>2027</v>
      </c>
      <c r="AA5" s="372">
        <f>U5</f>
        <v>2028</v>
      </c>
    </row>
    <row r="6" spans="2:28">
      <c r="B6" s="53" t="s">
        <v>716</v>
      </c>
      <c r="C6" s="53" t="s">
        <v>621</v>
      </c>
      <c r="D6" s="53" t="s">
        <v>718</v>
      </c>
      <c r="E6" s="53" t="s">
        <v>719</v>
      </c>
      <c r="F6" s="53" t="s">
        <v>720</v>
      </c>
      <c r="G6" s="53" t="s">
        <v>77</v>
      </c>
      <c r="H6" s="53" t="s">
        <v>721</v>
      </c>
      <c r="I6" s="53" t="s">
        <v>38</v>
      </c>
      <c r="J6" s="53" t="s">
        <v>38</v>
      </c>
      <c r="K6" s="53" t="s">
        <v>38</v>
      </c>
      <c r="L6" s="53" t="s">
        <v>64</v>
      </c>
      <c r="M6" s="53" t="s">
        <v>64</v>
      </c>
      <c r="N6" s="53" t="s">
        <v>64</v>
      </c>
      <c r="O6" s="53" t="s">
        <v>695</v>
      </c>
      <c r="P6" s="53" t="s">
        <v>695</v>
      </c>
      <c r="Q6" s="53" t="s">
        <v>695</v>
      </c>
      <c r="S6" s="53" t="s">
        <v>725</v>
      </c>
      <c r="T6" s="53" t="s">
        <v>725</v>
      </c>
      <c r="U6" s="53" t="s">
        <v>725</v>
      </c>
      <c r="V6" s="53" t="s">
        <v>726</v>
      </c>
      <c r="W6" s="53" t="s">
        <v>726</v>
      </c>
      <c r="X6" s="53" t="s">
        <v>726</v>
      </c>
      <c r="Y6" s="53" t="s">
        <v>727</v>
      </c>
      <c r="Z6" s="53" t="s">
        <v>727</v>
      </c>
      <c r="AA6" s="53" t="s">
        <v>727</v>
      </c>
      <c r="AB6" s="384" t="s">
        <v>725</v>
      </c>
    </row>
    <row r="7" spans="2:28" s="19" customFormat="1">
      <c r="B7" s="383"/>
      <c r="C7" s="382"/>
      <c r="D7" s="382"/>
      <c r="E7" s="382"/>
      <c r="F7" s="382"/>
      <c r="G7" s="382"/>
      <c r="H7" s="382"/>
      <c r="I7" s="382"/>
      <c r="J7" s="382"/>
      <c r="K7" s="382"/>
      <c r="L7" s="382"/>
      <c r="M7" s="382"/>
      <c r="N7" s="382"/>
      <c r="O7" s="382"/>
      <c r="P7" s="382"/>
      <c r="Q7" s="382"/>
      <c r="S7" s="382"/>
      <c r="T7" s="382"/>
      <c r="U7" s="382"/>
      <c r="V7" s="382"/>
      <c r="W7" s="382"/>
      <c r="X7" s="382"/>
      <c r="Y7" s="382"/>
      <c r="Z7" s="382"/>
      <c r="AA7" s="382"/>
      <c r="AB7" s="384" t="s">
        <v>726</v>
      </c>
    </row>
    <row r="8" spans="2:28" s="413" customFormat="1">
      <c r="B8" s="408" t="s">
        <v>731</v>
      </c>
      <c r="C8" s="409" t="s">
        <v>732</v>
      </c>
      <c r="D8" s="399">
        <v>5315</v>
      </c>
      <c r="E8" s="410">
        <v>197587</v>
      </c>
      <c r="F8" s="411">
        <v>77749.2</v>
      </c>
      <c r="G8" s="410">
        <v>52885</v>
      </c>
      <c r="H8" s="412">
        <f>E8+F8-G8</f>
        <v>222451.20000000001</v>
      </c>
      <c r="I8" s="412">
        <f>'3 Statement Model'!I13</f>
        <v>849619</v>
      </c>
      <c r="J8" s="412">
        <f>'3 Statement Model'!J13</f>
        <v>1015783.43</v>
      </c>
      <c r="K8" s="412">
        <f>'3 Statement Model'!K13</f>
        <v>1214721.5549000001</v>
      </c>
      <c r="L8" s="412">
        <f>'3 Statement Model'!I25</f>
        <v>119834</v>
      </c>
      <c r="M8" s="412">
        <f>'3 Statement Model'!J25</f>
        <v>152367.51449999993</v>
      </c>
      <c r="N8" s="412">
        <f>'3 Statement Model'!K25</f>
        <v>182208.23323500002</v>
      </c>
      <c r="O8" s="412">
        <f>'3 Statement Model'!I42</f>
        <v>-23936</v>
      </c>
      <c r="P8" s="412">
        <f>'3 Statement Model'!J42</f>
        <v>9439.9535502280632</v>
      </c>
      <c r="Q8" s="412">
        <f>'3 Statement Model'!K42</f>
        <v>33891.114279007968</v>
      </c>
      <c r="S8" s="414">
        <f t="shared" ref="S8:AA8" si="2">$H8/I8</f>
        <v>0.26182465316806713</v>
      </c>
      <c r="T8" s="414">
        <f t="shared" si="2"/>
        <v>0.21899471228822862</v>
      </c>
      <c r="U8" s="414">
        <f t="shared" si="2"/>
        <v>0.18312937570150628</v>
      </c>
      <c r="V8" s="414">
        <f t="shared" si="2"/>
        <v>1.8563279202897343</v>
      </c>
      <c r="W8" s="414">
        <f t="shared" si="2"/>
        <v>1.4599647485881915</v>
      </c>
      <c r="X8" s="414">
        <f t="shared" si="2"/>
        <v>1.2208625046767085</v>
      </c>
      <c r="Y8" s="414">
        <f t="shared" si="2"/>
        <v>-9.293582887700536</v>
      </c>
      <c r="Z8" s="414">
        <f t="shared" si="2"/>
        <v>23.564861714242834</v>
      </c>
      <c r="AA8" s="414">
        <f t="shared" si="2"/>
        <v>6.5637027501862182</v>
      </c>
      <c r="AB8" s="384" t="s">
        <v>727</v>
      </c>
    </row>
    <row r="9" spans="2:28">
      <c r="B9" s="406" t="s">
        <v>740</v>
      </c>
      <c r="C9" s="288" t="s">
        <v>741</v>
      </c>
      <c r="D9" s="431">
        <v>44.87</v>
      </c>
      <c r="E9" s="472">
        <v>21951</v>
      </c>
      <c r="F9" s="472">
        <v>6400</v>
      </c>
      <c r="G9" s="472">
        <v>3791</v>
      </c>
      <c r="H9" s="431">
        <f>E9+F9-G9</f>
        <v>24560</v>
      </c>
      <c r="I9" s="472">
        <f>'Comparable Companies'!J9</f>
        <v>6602.0239999999994</v>
      </c>
      <c r="J9" s="472">
        <f>6600*1.16</f>
        <v>7655.9999999999991</v>
      </c>
      <c r="K9" s="472">
        <f>7564*1.16</f>
        <v>8774.24</v>
      </c>
      <c r="L9" s="472">
        <f>'Comparable Companies'!I11</f>
        <v>1350.5880000000006</v>
      </c>
      <c r="M9" s="472">
        <f>1071*1.16</f>
        <v>1242.3599999999999</v>
      </c>
      <c r="N9" s="472">
        <f>1541*1.16</f>
        <v>1787.56</v>
      </c>
      <c r="O9" s="472">
        <f>'Comparable Companies'!I20</f>
        <v>248.12400000000082</v>
      </c>
      <c r="P9" s="491">
        <f>-405.7*1.16</f>
        <v>-470.61199999999997</v>
      </c>
      <c r="Q9" s="472">
        <f>56.21*1.16</f>
        <v>65.203599999999994</v>
      </c>
      <c r="S9" s="373">
        <f>$H9/I9</f>
        <v>3.7200712993469884</v>
      </c>
      <c r="T9" s="373">
        <f>$H9/J9</f>
        <v>3.2079414838035532</v>
      </c>
      <c r="U9" s="373">
        <f t="shared" ref="U9:U11" si="3">$H9/K9</f>
        <v>2.7991028282791444</v>
      </c>
      <c r="V9" s="373">
        <f t="shared" ref="V9:V11" si="4">$H9/L9</f>
        <v>18.184672157608382</v>
      </c>
      <c r="W9" s="373">
        <f t="shared" ref="W9:W11" si="5">$H9/M9</f>
        <v>19.768827071058311</v>
      </c>
      <c r="X9" s="373">
        <f t="shared" ref="X9:X11" si="6">$H9/N9</f>
        <v>13.7393989572378</v>
      </c>
      <c r="Y9" s="373">
        <f>$H9/O9</f>
        <v>98.982766681175221</v>
      </c>
      <c r="Z9" s="492">
        <f t="shared" ref="Z9:Z11" si="7">$H9/P9</f>
        <v>-52.187364538090833</v>
      </c>
      <c r="AA9" s="373">
        <f t="shared" ref="AA9:AA11" si="8">$H9/Q9</f>
        <v>376.66631903759918</v>
      </c>
    </row>
    <row r="10" spans="2:28">
      <c r="B10" s="359" t="s">
        <v>622</v>
      </c>
      <c r="C10" s="288" t="s">
        <v>742</v>
      </c>
      <c r="D10" s="431">
        <v>59.17</v>
      </c>
      <c r="E10" s="472">
        <v>30671.599999999999</v>
      </c>
      <c r="F10" s="472">
        <v>17240.599999999999</v>
      </c>
      <c r="G10" s="472">
        <v>3756.7</v>
      </c>
      <c r="H10" s="431">
        <f t="shared" ref="H10:H11" si="9">E10+F10-G10</f>
        <v>44155.5</v>
      </c>
      <c r="I10" s="472">
        <f>'Comparable Companies'!J23</f>
        <v>18031.387999999999</v>
      </c>
      <c r="J10" s="472">
        <f>15942*1.16</f>
        <v>18492.719999999998</v>
      </c>
      <c r="K10" s="472">
        <f>17220*1.16</f>
        <v>19975.199999999997</v>
      </c>
      <c r="L10" s="472">
        <f>'Comparable Companies'!I25</f>
        <v>3215.9839999999986</v>
      </c>
      <c r="M10" s="472">
        <f>3545*1.16</f>
        <v>4112.2</v>
      </c>
      <c r="N10" s="472">
        <f>17220*1.16</f>
        <v>19975.199999999997</v>
      </c>
      <c r="O10" s="472">
        <f>'Comparable Companies'!I34</f>
        <v>1869.4559999999985</v>
      </c>
      <c r="P10" s="472">
        <f>1809*1.16</f>
        <v>2098.44</v>
      </c>
      <c r="Q10" s="472">
        <f>2085*1.16</f>
        <v>2418.6</v>
      </c>
      <c r="S10" s="373">
        <f t="shared" ref="S10:S11" si="10">$H10/I10</f>
        <v>2.4488131473849934</v>
      </c>
      <c r="T10" s="373">
        <f t="shared" ref="T10:T11" si="11">$H10/J10</f>
        <v>2.3877233852023934</v>
      </c>
      <c r="U10" s="373">
        <f t="shared" si="3"/>
        <v>2.2105160398894634</v>
      </c>
      <c r="V10" s="373">
        <f t="shared" si="4"/>
        <v>13.730012338369848</v>
      </c>
      <c r="W10" s="373">
        <f t="shared" si="5"/>
        <v>10.73768299207237</v>
      </c>
      <c r="X10" s="373">
        <f t="shared" si="6"/>
        <v>2.2105160398894634</v>
      </c>
      <c r="Y10" s="373">
        <f t="shared" ref="Y10:Y11" si="12">$H10/O10</f>
        <v>23.619437954142828</v>
      </c>
      <c r="Z10" s="373">
        <f t="shared" si="7"/>
        <v>21.042059815863212</v>
      </c>
      <c r="AA10" s="373">
        <f t="shared" si="8"/>
        <v>18.256636070453983</v>
      </c>
    </row>
    <row r="11" spans="2:28">
      <c r="B11" s="359" t="s">
        <v>624</v>
      </c>
      <c r="C11" s="288" t="s">
        <v>625</v>
      </c>
      <c r="D11" s="431">
        <v>7.05</v>
      </c>
      <c r="E11" s="472">
        <v>17400</v>
      </c>
      <c r="F11" s="472">
        <v>8280</v>
      </c>
      <c r="G11" s="472">
        <v>6620</v>
      </c>
      <c r="H11" s="431">
        <f t="shared" si="9"/>
        <v>19060</v>
      </c>
      <c r="I11" s="472">
        <f>'Comparable Companies'!J37</f>
        <v>20522</v>
      </c>
      <c r="J11" s="472">
        <v>22098</v>
      </c>
      <c r="K11" s="472">
        <v>22312</v>
      </c>
      <c r="L11" s="472">
        <v>4916</v>
      </c>
      <c r="M11" s="472">
        <v>4206</v>
      </c>
      <c r="N11" s="472">
        <v>4606</v>
      </c>
      <c r="O11" s="472">
        <v>1184</v>
      </c>
      <c r="P11" s="472">
        <v>753.3</v>
      </c>
      <c r="Q11" s="472">
        <v>1189</v>
      </c>
      <c r="S11" s="373">
        <f t="shared" si="10"/>
        <v>0.92875938017737059</v>
      </c>
      <c r="T11" s="373">
        <f t="shared" si="11"/>
        <v>0.86252149515793286</v>
      </c>
      <c r="U11" s="373">
        <f t="shared" si="3"/>
        <v>0.85424883470778057</v>
      </c>
      <c r="V11" s="373">
        <f t="shared" si="4"/>
        <v>3.8771358828315705</v>
      </c>
      <c r="W11" s="373">
        <f t="shared" si="5"/>
        <v>4.5316214931050878</v>
      </c>
      <c r="X11" s="373">
        <f t="shared" si="6"/>
        <v>4.1380807642205815</v>
      </c>
      <c r="Y11" s="373">
        <f t="shared" si="12"/>
        <v>16.097972972972972</v>
      </c>
      <c r="Z11" s="373">
        <f t="shared" si="7"/>
        <v>25.302004513474049</v>
      </c>
      <c r="AA11" s="373">
        <f t="shared" si="8"/>
        <v>16.030277544154753</v>
      </c>
    </row>
    <row r="12" spans="2:28">
      <c r="B12" s="374" t="s">
        <v>601</v>
      </c>
      <c r="C12" s="24"/>
      <c r="D12" s="24"/>
      <c r="E12" s="24"/>
      <c r="F12" s="375"/>
      <c r="G12" s="375"/>
      <c r="H12" s="24"/>
      <c r="I12" s="24"/>
      <c r="J12" s="24"/>
      <c r="K12" s="24"/>
      <c r="L12" s="24"/>
      <c r="M12" s="24"/>
      <c r="N12" s="24"/>
      <c r="O12" s="24"/>
      <c r="P12" s="24"/>
      <c r="Q12" s="24"/>
      <c r="S12" s="377">
        <f t="shared" ref="S12:AA12" si="13">MAX(S9:S11)</f>
        <v>3.7200712993469884</v>
      </c>
      <c r="T12" s="377">
        <f t="shared" si="13"/>
        <v>3.2079414838035532</v>
      </c>
      <c r="U12" s="377">
        <f t="shared" si="13"/>
        <v>2.7991028282791444</v>
      </c>
      <c r="V12" s="377">
        <f t="shared" si="13"/>
        <v>18.184672157608382</v>
      </c>
      <c r="W12" s="377">
        <f t="shared" si="13"/>
        <v>19.768827071058311</v>
      </c>
      <c r="X12" s="377">
        <f t="shared" si="13"/>
        <v>13.7393989572378</v>
      </c>
      <c r="Y12" s="377">
        <f t="shared" si="13"/>
        <v>98.982766681175221</v>
      </c>
      <c r="Z12" s="377">
        <f t="shared" si="13"/>
        <v>25.302004513474049</v>
      </c>
      <c r="AA12" s="377">
        <f t="shared" si="13"/>
        <v>376.66631903759918</v>
      </c>
    </row>
    <row r="13" spans="2:28">
      <c r="B13" s="374" t="s">
        <v>728</v>
      </c>
      <c r="C13" s="24"/>
      <c r="D13" s="24"/>
      <c r="E13" s="24"/>
      <c r="F13" s="24"/>
      <c r="G13" s="24"/>
      <c r="H13" s="24"/>
      <c r="I13" s="24"/>
      <c r="J13" s="24"/>
      <c r="K13" s="24"/>
      <c r="L13" s="24"/>
      <c r="M13" s="24"/>
      <c r="N13" s="24"/>
      <c r="O13" s="24"/>
      <c r="P13" s="24"/>
      <c r="Q13" s="24"/>
      <c r="S13" s="378">
        <f t="shared" ref="S13:AA13" si="14">QUARTILE(S9:S11,3)</f>
        <v>3.0844422233659907</v>
      </c>
      <c r="T13" s="378">
        <f t="shared" si="14"/>
        <v>2.7978324345029733</v>
      </c>
      <c r="U13" s="378">
        <f t="shared" si="14"/>
        <v>2.5048094340843039</v>
      </c>
      <c r="V13" s="378">
        <f t="shared" si="14"/>
        <v>15.957342247989114</v>
      </c>
      <c r="W13" s="378">
        <f t="shared" si="14"/>
        <v>15.253255031565342</v>
      </c>
      <c r="X13" s="378">
        <f t="shared" si="14"/>
        <v>8.9387398607291892</v>
      </c>
      <c r="Y13" s="378">
        <f t="shared" si="14"/>
        <v>61.30110231765903</v>
      </c>
      <c r="Z13" s="378">
        <f t="shared" si="14"/>
        <v>23.172032164668629</v>
      </c>
      <c r="AA13" s="378">
        <f t="shared" si="14"/>
        <v>197.4614775540266</v>
      </c>
    </row>
    <row r="14" spans="2:28">
      <c r="B14" s="380" t="s">
        <v>548</v>
      </c>
      <c r="C14" s="24"/>
      <c r="D14" s="24"/>
      <c r="E14" s="24"/>
      <c r="F14" s="24"/>
      <c r="G14" s="24"/>
      <c r="H14" s="24"/>
      <c r="I14" s="24"/>
      <c r="J14" s="24"/>
      <c r="K14" s="24"/>
      <c r="L14" s="24"/>
      <c r="M14" s="24"/>
      <c r="N14" s="24"/>
      <c r="O14" s="24"/>
      <c r="P14" s="24"/>
      <c r="Q14" s="24"/>
      <c r="S14" s="381">
        <f>AVERAGE(S9:S11)</f>
        <v>2.3658812756364509</v>
      </c>
      <c r="T14" s="381">
        <f t="shared" ref="T14:AA14" si="15">AVERAGE(T9:T11)</f>
        <v>2.1527287880546262</v>
      </c>
      <c r="U14" s="381">
        <f t="shared" si="15"/>
        <v>1.9546225676254627</v>
      </c>
      <c r="V14" s="381">
        <f t="shared" si="15"/>
        <v>11.930606792936601</v>
      </c>
      <c r="W14" s="381">
        <f t="shared" si="15"/>
        <v>11.679377185411923</v>
      </c>
      <c r="X14" s="381">
        <f t="shared" si="15"/>
        <v>6.6959985871159482</v>
      </c>
      <c r="Y14" s="381">
        <f t="shared" si="15"/>
        <v>46.233392536097007</v>
      </c>
      <c r="Z14" s="494">
        <f t="shared" si="15"/>
        <v>-1.9477667362511906</v>
      </c>
      <c r="AA14" s="381">
        <f t="shared" si="15"/>
        <v>136.98441088406929</v>
      </c>
    </row>
    <row r="15" spans="2:28">
      <c r="B15" s="380" t="s">
        <v>364</v>
      </c>
      <c r="C15" s="24"/>
      <c r="D15" s="24"/>
      <c r="E15" s="24"/>
      <c r="F15" s="24"/>
      <c r="G15" s="24"/>
      <c r="H15" s="24"/>
      <c r="I15" s="24"/>
      <c r="J15" s="24"/>
      <c r="K15" s="24"/>
      <c r="L15" s="24"/>
      <c r="M15" s="24"/>
      <c r="N15" s="24"/>
      <c r="O15" s="24"/>
      <c r="P15" s="24"/>
      <c r="Q15" s="24"/>
      <c r="S15" s="381">
        <f t="shared" ref="S15:AA15" si="16">MEDIAN(S9:S11)</f>
        <v>2.4488131473849934</v>
      </c>
      <c r="T15" s="381">
        <f t="shared" si="16"/>
        <v>2.3877233852023934</v>
      </c>
      <c r="U15" s="381">
        <f t="shared" si="16"/>
        <v>2.2105160398894634</v>
      </c>
      <c r="V15" s="381">
        <f t="shared" si="16"/>
        <v>13.730012338369848</v>
      </c>
      <c r="W15" s="381">
        <f t="shared" si="16"/>
        <v>10.73768299207237</v>
      </c>
      <c r="X15" s="381">
        <f t="shared" si="16"/>
        <v>4.1380807642205815</v>
      </c>
      <c r="Y15" s="381">
        <f>MEDIAN(Y9:Y11)</f>
        <v>23.619437954142828</v>
      </c>
      <c r="Z15" s="381">
        <f t="shared" si="16"/>
        <v>21.042059815863212</v>
      </c>
      <c r="AA15" s="381">
        <f t="shared" si="16"/>
        <v>18.256636070453983</v>
      </c>
    </row>
    <row r="16" spans="2:28">
      <c r="B16" s="374" t="s">
        <v>729</v>
      </c>
      <c r="C16" s="24"/>
      <c r="D16" s="24"/>
      <c r="E16" s="24"/>
      <c r="F16" s="24"/>
      <c r="G16" s="24"/>
      <c r="H16" s="24"/>
      <c r="I16" s="24"/>
      <c r="J16" s="24"/>
      <c r="K16" s="24"/>
      <c r="L16" s="24"/>
      <c r="M16" s="24"/>
      <c r="N16" s="24"/>
      <c r="O16" s="24"/>
      <c r="P16" s="24"/>
      <c r="Q16" s="24"/>
      <c r="S16" s="378">
        <f t="shared" ref="S16:AA16" si="17">QUARTILE(S9:S11,1)</f>
        <v>1.6887862637811821</v>
      </c>
      <c r="T16" s="378">
        <f t="shared" si="17"/>
        <v>1.6251224401801632</v>
      </c>
      <c r="U16" s="378">
        <f t="shared" si="17"/>
        <v>1.5323824372986219</v>
      </c>
      <c r="V16" s="378">
        <f t="shared" si="17"/>
        <v>8.8035741106007102</v>
      </c>
      <c r="W16" s="378">
        <f t="shared" si="17"/>
        <v>7.6346522425887287</v>
      </c>
      <c r="X16" s="378">
        <f t="shared" si="17"/>
        <v>3.1742984020550224</v>
      </c>
      <c r="Y16" s="378">
        <f t="shared" si="17"/>
        <v>19.8587054635579</v>
      </c>
      <c r="Z16" s="493">
        <f t="shared" si="17"/>
        <v>-15.572652361113811</v>
      </c>
      <c r="AA16" s="378">
        <f t="shared" si="17"/>
        <v>17.143456807304368</v>
      </c>
    </row>
    <row r="17" spans="2:27">
      <c r="B17" s="374" t="s">
        <v>600</v>
      </c>
      <c r="C17" s="24"/>
      <c r="D17" s="24"/>
      <c r="E17" s="24"/>
      <c r="F17" s="24"/>
      <c r="G17" s="24"/>
      <c r="H17" s="24"/>
      <c r="I17" s="24"/>
      <c r="J17" s="24"/>
      <c r="K17" s="24"/>
      <c r="L17" s="24"/>
      <c r="M17" s="24"/>
      <c r="N17" s="24"/>
      <c r="O17" s="24"/>
      <c r="P17" s="24"/>
      <c r="Q17" s="24"/>
      <c r="S17" s="377">
        <f t="shared" ref="S17:AA17" si="18">MIN(S9:S11)</f>
        <v>0.92875938017737059</v>
      </c>
      <c r="T17" s="377">
        <f t="shared" si="18"/>
        <v>0.86252149515793286</v>
      </c>
      <c r="U17" s="377">
        <f t="shared" si="18"/>
        <v>0.85424883470778057</v>
      </c>
      <c r="V17" s="377">
        <f t="shared" si="18"/>
        <v>3.8771358828315705</v>
      </c>
      <c r="W17" s="377">
        <f t="shared" si="18"/>
        <v>4.5316214931050878</v>
      </c>
      <c r="X17" s="377">
        <f t="shared" si="18"/>
        <v>2.2105160398894634</v>
      </c>
      <c r="Y17" s="377">
        <f t="shared" si="18"/>
        <v>16.097972972972972</v>
      </c>
      <c r="Z17" s="379">
        <f t="shared" si="18"/>
        <v>-52.187364538090833</v>
      </c>
      <c r="AA17" s="377">
        <f t="shared" si="18"/>
        <v>16.030277544154753</v>
      </c>
    </row>
    <row r="19" spans="2:27">
      <c r="B19" s="473" t="s">
        <v>716</v>
      </c>
      <c r="C19" s="54"/>
    </row>
    <row r="20" spans="2:27">
      <c r="B20" t="s">
        <v>38</v>
      </c>
      <c r="C20" s="177">
        <f>I8</f>
        <v>849619</v>
      </c>
    </row>
    <row r="21" spans="2:27">
      <c r="B21" t="s">
        <v>64</v>
      </c>
      <c r="C21" s="177">
        <f>L8</f>
        <v>119834</v>
      </c>
    </row>
    <row r="22" spans="2:27">
      <c r="B22" t="s">
        <v>733</v>
      </c>
      <c r="C22" s="177">
        <f>O8</f>
        <v>-23936</v>
      </c>
    </row>
    <row r="23" spans="2:27">
      <c r="B23" s="24" t="s">
        <v>734</v>
      </c>
      <c r="C23" s="474" t="s">
        <v>725</v>
      </c>
    </row>
    <row r="24" spans="2:27">
      <c r="B24" t="str">
        <f>C23</f>
        <v>EV/Sales</v>
      </c>
      <c r="C24" s="475">
        <f>IF(B24=AB6,S15,IF(B24=AB7,V15,Y15))</f>
        <v>2.4488131473849934</v>
      </c>
    </row>
    <row r="25" spans="2:27">
      <c r="B25" t="str">
        <f>IF(C23=AB8,"Equity Value","EnterpriceValue")</f>
        <v>EnterpriceValue</v>
      </c>
      <c r="C25" s="476">
        <f>IF(C23=AB6,C24*C20,IF(C23=AB7,C24*C21,C24*C22))</f>
        <v>2080558.1774680908</v>
      </c>
    </row>
    <row r="26" spans="2:27">
      <c r="B26" t="str">
        <f>'DCF Valuation'!B41</f>
        <v>Less: Debt</v>
      </c>
      <c r="C26" s="476">
        <f>IF($C$23=$AB$8,0,'DCF Valuation'!C41)</f>
        <v>777492</v>
      </c>
    </row>
    <row r="27" spans="2:27">
      <c r="B27" t="str">
        <f>'DCF Valuation'!B42</f>
        <v>Add: Cash</v>
      </c>
      <c r="C27" s="476">
        <f>IF($C$23=$AB$8,0,'DCF Valuation'!C42)</f>
        <v>239993</v>
      </c>
    </row>
    <row r="28" spans="2:27">
      <c r="B28" t="str">
        <f>'DCF Valuation'!B43</f>
        <v>Add: Non Operating Assets</v>
      </c>
      <c r="C28" s="476">
        <f>IF($C$23=$AB$8,0,'DCF Valuation'!C43)</f>
        <v>139094.34458832003</v>
      </c>
    </row>
    <row r="29" spans="2:27">
      <c r="B29" s="16" t="str">
        <f>'DCF Valuation'!B44</f>
        <v>Equity Value</v>
      </c>
      <c r="C29" s="175">
        <f>C25-C26+C27+C28</f>
        <v>1682153.5220564108</v>
      </c>
    </row>
    <row r="30" spans="2:27">
      <c r="B30" t="str">
        <f>'DCF Valuation'!B45</f>
        <v>Less: Value of Options</v>
      </c>
      <c r="C30" s="476">
        <f ca="1">IF($C$23=$AB$8,0,'DCF Valuation'!C45)</f>
        <v>-142.05277495981608</v>
      </c>
    </row>
    <row r="31" spans="2:27">
      <c r="B31" s="16" t="str">
        <f>'DCF Valuation'!B46</f>
        <v>Equity Value for Shareholders</v>
      </c>
      <c r="C31" s="175">
        <f ca="1">C29+C30</f>
        <v>1682011.4692814511</v>
      </c>
    </row>
  </sheetData>
  <mergeCells count="3">
    <mergeCell ref="C4:H4"/>
    <mergeCell ref="I4:Q4"/>
    <mergeCell ref="S4:AA4"/>
  </mergeCells>
  <dataValidations count="1">
    <dataValidation type="list" allowBlank="1" showInputMessage="1" showErrorMessage="1" sqref="C23" xr:uid="{4A57AD61-0481-4323-8F0F-187A0CB24193}">
      <formula1>$AB$6:$AB$32</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CA805-E3B6-4CC2-8D69-3CCC58E1F7DD}">
  <sheetPr>
    <tabColor rgb="FF0000FF"/>
  </sheetPr>
  <dimension ref="B2:J10"/>
  <sheetViews>
    <sheetView showGridLines="0" zoomScale="90" zoomScaleNormal="90" workbookViewId="0">
      <selection activeCell="I4" sqref="I4"/>
    </sheetView>
  </sheetViews>
  <sheetFormatPr defaultRowHeight="14.4"/>
  <cols>
    <col min="1" max="1" width="1.88671875" customWidth="1"/>
    <col min="2" max="2" width="35.109375" bestFit="1" customWidth="1"/>
    <col min="3" max="3" width="16.33203125" bestFit="1" customWidth="1"/>
    <col min="4" max="4" width="25.44140625" customWidth="1"/>
    <col min="5" max="5" width="16.6640625" customWidth="1"/>
    <col min="6" max="6" width="17.44140625" customWidth="1"/>
    <col min="7" max="7" width="14.109375" customWidth="1"/>
    <col min="8" max="8" width="18.77734375" bestFit="1" customWidth="1"/>
    <col min="9" max="9" width="20.88671875" bestFit="1" customWidth="1"/>
    <col min="10" max="10" width="16.33203125" bestFit="1" customWidth="1"/>
  </cols>
  <sheetData>
    <row r="2" spans="2:10" ht="15.6">
      <c r="B2" s="7" t="s">
        <v>841</v>
      </c>
    </row>
    <row r="4" spans="2:10" ht="27.6" customHeight="1">
      <c r="B4" s="481" t="s">
        <v>842</v>
      </c>
      <c r="C4" s="481" t="s">
        <v>645</v>
      </c>
      <c r="D4" s="482" t="s">
        <v>843</v>
      </c>
      <c r="E4" s="482" t="s">
        <v>844</v>
      </c>
      <c r="F4" s="482" t="s">
        <v>845</v>
      </c>
      <c r="G4" s="482" t="s">
        <v>846</v>
      </c>
      <c r="H4" s="481" t="s">
        <v>847</v>
      </c>
      <c r="I4" s="481" t="s">
        <v>848</v>
      </c>
      <c r="J4" s="481" t="s">
        <v>849</v>
      </c>
    </row>
    <row r="6" spans="2:10">
      <c r="B6" t="s">
        <v>850</v>
      </c>
      <c r="C6" s="141">
        <f>'DCF Valuation'!C38</f>
        <v>2745571.5503387675</v>
      </c>
      <c r="D6" s="141">
        <f ca="1">'DCF Valuation'!C46</f>
        <v>2347024.842152128</v>
      </c>
      <c r="E6" s="300">
        <v>386.6</v>
      </c>
      <c r="F6" s="141">
        <f ca="1">D6/E6</f>
        <v>6070.9385466945887</v>
      </c>
      <c r="G6" s="411">
        <v>5087</v>
      </c>
      <c r="H6" s="488">
        <f ca="1">F6-G6</f>
        <v>983.93854669458869</v>
      </c>
      <c r="I6" s="485">
        <f ca="1">H6/G6</f>
        <v>0.19342216369069956</v>
      </c>
      <c r="J6" s="483" t="s">
        <v>855</v>
      </c>
    </row>
    <row r="7" spans="2:10">
      <c r="B7" t="s">
        <v>851</v>
      </c>
      <c r="C7" s="141">
        <f>'DCF Valuation'!C55</f>
        <v>2922126.0603357721</v>
      </c>
      <c r="D7" s="141">
        <f ca="1">'DCF Valuation'!C63</f>
        <v>2523579.3521491326</v>
      </c>
      <c r="E7" s="300">
        <v>386.6</v>
      </c>
      <c r="F7" s="141">
        <f t="shared" ref="F7:F9" ca="1" si="0">D7/E7</f>
        <v>6527.6237768989458</v>
      </c>
      <c r="G7" s="411">
        <v>5087</v>
      </c>
      <c r="H7" s="488">
        <f t="shared" ref="H7:H10" ca="1" si="1">F7-G7</f>
        <v>1440.6237768989458</v>
      </c>
      <c r="I7" s="485">
        <f t="shared" ref="I7:I10" ca="1" si="2">H7/G7</f>
        <v>0.28319712539786629</v>
      </c>
      <c r="J7" s="483" t="s">
        <v>855</v>
      </c>
    </row>
    <row r="8" spans="2:10">
      <c r="B8" t="s">
        <v>852</v>
      </c>
      <c r="C8" s="141">
        <v>2080558.1774680908</v>
      </c>
      <c r="D8" s="141">
        <v>1682011.4692814511</v>
      </c>
      <c r="E8" s="300">
        <v>386.6</v>
      </c>
      <c r="F8" s="141">
        <f t="shared" si="0"/>
        <v>4350.7797963824396</v>
      </c>
      <c r="G8" s="411">
        <v>5087</v>
      </c>
      <c r="H8" s="487">
        <f>F8-G8</f>
        <v>-736.2202036175604</v>
      </c>
      <c r="I8" s="486">
        <f t="shared" si="2"/>
        <v>-0.14472581160164349</v>
      </c>
      <c r="J8" s="484" t="s">
        <v>856</v>
      </c>
    </row>
    <row r="9" spans="2:10">
      <c r="B9" t="s">
        <v>853</v>
      </c>
      <c r="C9" s="141">
        <v>1645322.2985562123</v>
      </c>
      <c r="D9" s="489">
        <v>1246775.5903695726</v>
      </c>
      <c r="E9" s="300">
        <v>386.6</v>
      </c>
      <c r="F9" s="141">
        <f t="shared" si="0"/>
        <v>3224.9756605524381</v>
      </c>
      <c r="G9" s="411">
        <v>5087</v>
      </c>
      <c r="H9" s="487">
        <f t="shared" si="1"/>
        <v>-1862.0243394475619</v>
      </c>
      <c r="I9" s="486">
        <f t="shared" si="2"/>
        <v>-0.36603584420042501</v>
      </c>
      <c r="J9" s="484" t="s">
        <v>856</v>
      </c>
    </row>
    <row r="10" spans="2:10">
      <c r="B10" t="s">
        <v>854</v>
      </c>
      <c r="C10" s="490" t="s">
        <v>207</v>
      </c>
      <c r="D10" s="151">
        <v>565354.86687036278</v>
      </c>
      <c r="E10" s="300">
        <v>386.6</v>
      </c>
      <c r="F10" s="141">
        <f>D10/E10</f>
        <v>1462.3767896284603</v>
      </c>
      <c r="G10" s="411">
        <v>5087</v>
      </c>
      <c r="H10" s="487">
        <f t="shared" si="1"/>
        <v>-3624.6232103715397</v>
      </c>
      <c r="I10" s="486">
        <f t="shared" si="2"/>
        <v>-0.71252667787920965</v>
      </c>
      <c r="J10" s="484" t="s">
        <v>856</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DD99A-CEAE-47E8-A386-7DF54BCED05C}">
  <dimension ref="B2:T35"/>
  <sheetViews>
    <sheetView showGridLines="0" workbookViewId="0">
      <selection activeCell="M7" sqref="M7"/>
    </sheetView>
  </sheetViews>
  <sheetFormatPr defaultRowHeight="14.4"/>
  <cols>
    <col min="1" max="1" width="1.88671875" customWidth="1"/>
    <col min="2" max="2" width="27.33203125" customWidth="1"/>
    <col min="5" max="5" width="9.5546875" customWidth="1"/>
    <col min="11" max="11" width="3.33203125" customWidth="1"/>
    <col min="12" max="12" width="27.5546875" customWidth="1"/>
    <col min="14" max="14" width="9.44140625" bestFit="1" customWidth="1"/>
    <col min="15" max="15" width="9.77734375" bestFit="1" customWidth="1"/>
  </cols>
  <sheetData>
    <row r="2" spans="2:20" ht="14.4" customHeight="1">
      <c r="B2" s="356" t="s">
        <v>701</v>
      </c>
      <c r="C2" s="54"/>
      <c r="D2" s="357">
        <v>2020</v>
      </c>
      <c r="E2" s="357">
        <f>D2+1</f>
        <v>2021</v>
      </c>
      <c r="F2" s="357">
        <f>E2+1</f>
        <v>2022</v>
      </c>
      <c r="G2" s="357">
        <f t="shared" ref="G2:I2" si="0">F2+1</f>
        <v>2023</v>
      </c>
      <c r="H2" s="357">
        <f t="shared" si="0"/>
        <v>2024</v>
      </c>
      <c r="I2" s="357">
        <f t="shared" si="0"/>
        <v>2025</v>
      </c>
      <c r="J2" s="357">
        <f>I2+1</f>
        <v>2026</v>
      </c>
    </row>
    <row r="3" spans="2:20">
      <c r="B3" s="406" t="s">
        <v>740</v>
      </c>
      <c r="D3" s="367" t="s">
        <v>530</v>
      </c>
      <c r="E3" s="360">
        <f>('Comparable Companies'!E9-'Comparable Companies'!D9)/'Comparable Companies'!D9</f>
        <v>-0.73237243327418255</v>
      </c>
      <c r="F3" s="360">
        <f>('Comparable Companies'!F9-'Comparable Companies'!E9)/'Comparable Companies'!E9</f>
        <v>1.2508795669824089</v>
      </c>
      <c r="G3" s="360">
        <f>('Comparable Companies'!G9-'Comparable Companies'!F9)/'Comparable Companies'!F9</f>
        <v>1.3420103402669232</v>
      </c>
      <c r="H3" s="360">
        <f>('Comparable Companies'!H9-'Comparable Companies'!G9)/'Comparable Companies'!G9</f>
        <v>0.3022306645788948</v>
      </c>
      <c r="I3" s="360">
        <f>('Comparable Companies'!I9-'Comparable Companies'!H9)/'Comparable Companies'!H9</f>
        <v>3.8339476848475273E-2</v>
      </c>
      <c r="J3" s="360">
        <f>('Comparable Companies'!J9-'Comparable Companies'!I9)/'Comparable Companies'!I9</f>
        <v>8.0454096742349338E-2</v>
      </c>
    </row>
    <row r="4" spans="2:20">
      <c r="B4" s="359" t="s">
        <v>622</v>
      </c>
      <c r="D4" s="367" t="s">
        <v>530</v>
      </c>
      <c r="E4" s="360">
        <f>'Comparable Companies'!E23/'Comparable Companies'!D23-1</f>
        <v>-0.80743513678956536</v>
      </c>
      <c r="F4" s="360">
        <f>'Comparable Companies'!F23/'Comparable Companies'!E23-1</f>
        <v>1.9348942413497978</v>
      </c>
      <c r="G4" s="360">
        <f>'Comparable Companies'!G23/'Comparable Companies'!F23-1</f>
        <v>1.244412505988461</v>
      </c>
      <c r="H4" s="360">
        <f>'Comparable Companies'!H23/'Comparable Companies'!G23-1</f>
        <v>0.24766129631004508</v>
      </c>
      <c r="I4" s="360">
        <f>'Comparable Companies'!I23/'Comparable Companies'!H23-1</f>
        <v>3.7541468929915833E-2</v>
      </c>
      <c r="J4" s="363">
        <f>'Comparable Companies'!J23/'Comparable Companies'!I23-1</f>
        <v>0.11440656701437435</v>
      </c>
    </row>
    <row r="5" spans="2:20">
      <c r="B5" s="359" t="s">
        <v>624</v>
      </c>
      <c r="D5" s="367" t="s">
        <v>530</v>
      </c>
      <c r="E5" s="360">
        <f>'Comparable Companies'!E37/'Comparable Companies'!D37-1</f>
        <v>-0.76114647688080173</v>
      </c>
      <c r="F5" s="360">
        <f>'Comparable Companies'!F37/'Comparable Companies'!E37-1</f>
        <v>0.99554495662884257</v>
      </c>
      <c r="G5" s="360">
        <f>'Comparable Companies'!G37/'Comparable Companies'!F37-1</f>
        <v>1.3342438409413244</v>
      </c>
      <c r="H5" s="360">
        <f>'Comparable Companies'!H37/'Comparable Companies'!G37-1</f>
        <v>6.9643540292999129E-2</v>
      </c>
      <c r="I5" s="360">
        <f>'Comparable Companies'!I37/'Comparable Companies'!H37-1</f>
        <v>2.7723574242479954E-2</v>
      </c>
      <c r="J5" s="363">
        <f>'Comparable Companies'!J37/'Comparable Companies'!I37-1</f>
        <v>5.0266635277740779E-2</v>
      </c>
    </row>
    <row r="6" spans="2:20">
      <c r="B6" s="361" t="s">
        <v>365</v>
      </c>
      <c r="C6" s="6"/>
      <c r="D6" s="364"/>
      <c r="E6" s="364">
        <f t="shared" ref="E6:J6" si="1">AVERAGE(E3:E5)</f>
        <v>-0.76698468231484984</v>
      </c>
      <c r="F6" s="364">
        <f t="shared" si="1"/>
        <v>1.3937729216536832</v>
      </c>
      <c r="G6" s="364">
        <f t="shared" si="1"/>
        <v>1.3068888957322362</v>
      </c>
      <c r="H6" s="364">
        <f t="shared" si="1"/>
        <v>0.20651183372731299</v>
      </c>
      <c r="I6" s="364">
        <f t="shared" si="1"/>
        <v>3.4534840006957022E-2</v>
      </c>
      <c r="J6" s="364">
        <f t="shared" si="1"/>
        <v>8.1709099678154817E-2</v>
      </c>
    </row>
    <row r="7" spans="2:20">
      <c r="B7" s="362" t="s">
        <v>364</v>
      </c>
      <c r="C7" s="29"/>
      <c r="D7" s="365"/>
      <c r="E7" s="366">
        <f t="shared" ref="E7:J7" si="2">MEDIAN(E3:E5)</f>
        <v>-0.76114647688080173</v>
      </c>
      <c r="F7" s="366">
        <f t="shared" si="2"/>
        <v>1.2508795669824089</v>
      </c>
      <c r="G7" s="366">
        <f t="shared" si="2"/>
        <v>1.3342438409413244</v>
      </c>
      <c r="H7" s="366">
        <f t="shared" si="2"/>
        <v>0.24766129631004508</v>
      </c>
      <c r="I7" s="366">
        <f t="shared" si="2"/>
        <v>3.7541468929915833E-2</v>
      </c>
      <c r="J7" s="366">
        <f t="shared" si="2"/>
        <v>8.0454096742349338E-2</v>
      </c>
    </row>
    <row r="9" spans="2:20">
      <c r="B9" s="356" t="s">
        <v>71</v>
      </c>
      <c r="C9" s="54"/>
      <c r="D9" s="357">
        <v>2020</v>
      </c>
      <c r="E9" s="357">
        <f>D9+1</f>
        <v>2021</v>
      </c>
      <c r="F9" s="357">
        <f>E9+1</f>
        <v>2022</v>
      </c>
      <c r="G9" s="357">
        <f t="shared" ref="G9" si="3">F9+1</f>
        <v>2023</v>
      </c>
      <c r="H9" s="357">
        <f t="shared" ref="H9" si="4">G9+1</f>
        <v>2024</v>
      </c>
      <c r="I9" s="357">
        <f t="shared" ref="I9" si="5">H9+1</f>
        <v>2025</v>
      </c>
      <c r="J9" s="357">
        <f>I9+1</f>
        <v>2026</v>
      </c>
      <c r="L9" s="385" t="s">
        <v>702</v>
      </c>
      <c r="M9" s="386">
        <v>2020</v>
      </c>
      <c r="N9" s="386">
        <f>M9+1</f>
        <v>2021</v>
      </c>
      <c r="O9" s="386">
        <f>N9+1</f>
        <v>2022</v>
      </c>
      <c r="P9" s="386">
        <f t="shared" ref="P9" si="6">O9+1</f>
        <v>2023</v>
      </c>
      <c r="Q9" s="386">
        <f t="shared" ref="Q9" si="7">P9+1</f>
        <v>2024</v>
      </c>
      <c r="R9" s="386">
        <f t="shared" ref="R9" si="8">Q9+1</f>
        <v>2025</v>
      </c>
      <c r="S9" s="386">
        <f>R9+1</f>
        <v>2026</v>
      </c>
      <c r="T9" s="387"/>
    </row>
    <row r="10" spans="2:20">
      <c r="B10" s="406" t="s">
        <v>740</v>
      </c>
      <c r="D10" s="367" t="s">
        <v>530</v>
      </c>
      <c r="E10" s="360">
        <f>('Comparable Companies'!D11/'Comparable Companies'!D9)</f>
        <v>0.26063810524028547</v>
      </c>
      <c r="F10" s="360">
        <f>('Comparable Companies'!E11/'Comparable Companies'!E9)</f>
        <v>-0.24736129905277393</v>
      </c>
      <c r="G10" s="360">
        <f>('Comparable Companies'!F11/'Comparable Companies'!F9)</f>
        <v>-1.1422387880245381E-2</v>
      </c>
      <c r="H10" s="360">
        <f>('Comparable Companies'!G11/'Comparable Companies'!G9)</f>
        <v>3.4473907128372214E-2</v>
      </c>
      <c r="I10" s="360">
        <f>('Comparable Companies'!H11/'Comparable Companies'!H9)</f>
        <v>0.23520135617275434</v>
      </c>
      <c r="J10" s="360">
        <f>('Comparable Companies'!I11/'Comparable Companies'!I9)</f>
        <v>0.22103045029994695</v>
      </c>
      <c r="L10" s="407" t="s">
        <v>740</v>
      </c>
      <c r="M10" s="389" t="s">
        <v>530</v>
      </c>
      <c r="N10" s="390">
        <f>'Comparable Companies'!E11/'Comparable Companies'!D11-1</f>
        <v>-1.2539947200222312</v>
      </c>
      <c r="O10" s="390">
        <f>'Comparable Companies'!F11/'Comparable Companies'!E11-1</f>
        <v>-0.89606126914660733</v>
      </c>
      <c r="P10" s="390">
        <f>'Comparable Companies'!G11/'Comparable Companies'!F11-1</f>
        <v>-8.0684210526314963</v>
      </c>
      <c r="Q10" s="390">
        <f>'Comparable Companies'!H11/'Comparable Companies'!G11-1</f>
        <v>7.8845867460908678</v>
      </c>
      <c r="R10" s="390">
        <f>'Comparable Companies'!I11/'Comparable Companies'!H11-1</f>
        <v>-2.4220583305396892E-2</v>
      </c>
      <c r="S10" s="389" t="s">
        <v>530</v>
      </c>
      <c r="T10" s="387"/>
    </row>
    <row r="11" spans="2:20">
      <c r="B11" s="359" t="s">
        <v>622</v>
      </c>
      <c r="D11" s="367" t="s">
        <v>530</v>
      </c>
      <c r="E11" s="360">
        <f>'Comparable Companies'!D25/'Comparable Companies'!D23</f>
        <v>0.22085275698074117</v>
      </c>
      <c r="F11" s="360">
        <f>'Comparable Companies'!E25/'Comparable Companies'!E23</f>
        <v>-0.16407873823205776</v>
      </c>
      <c r="G11" s="360">
        <f>'Comparable Companies'!F25/'Comparable Companies'!F23</f>
        <v>7.9110166843716689E-2</v>
      </c>
      <c r="H11" s="360">
        <f>'Comparable Companies'!G25/'Comparable Companies'!G23</f>
        <v>0.21955972974979593</v>
      </c>
      <c r="I11" s="360">
        <f>'Comparable Companies'!H25/'Comparable Companies'!H23</f>
        <v>0.23209211681221067</v>
      </c>
      <c r="J11" s="360">
        <f>'Comparable Companies'!I25/'Comparable Companies'!I23</f>
        <v>0.19875972326773481</v>
      </c>
      <c r="L11" s="388" t="s">
        <v>622</v>
      </c>
      <c r="M11" s="389" t="s">
        <v>530</v>
      </c>
      <c r="N11" s="390">
        <f>'Comparable Companies'!E25/'Comparable Companies'!D25-1</f>
        <v>-1.1430627365279036</v>
      </c>
      <c r="O11" s="390">
        <f>'Comparable Companies'!F25/'Comparable Companies'!E25-1</f>
        <v>-2.415052160953798</v>
      </c>
      <c r="P11" s="390">
        <f>'Comparable Companies'!G25/'Comparable Companies'!F25-1</f>
        <v>5.2290679304897445</v>
      </c>
      <c r="Q11" s="390">
        <f>'Comparable Companies'!H25/'Comparable Companies'!G25-1</f>
        <v>0.31887733536224361</v>
      </c>
      <c r="R11" s="390">
        <f>'Comparable Companies'!I25/'Comparable Companies'!H25-1</f>
        <v>-0.111467213640151</v>
      </c>
      <c r="S11" s="390">
        <f>'Comparable Companies'!J25/'Comparable Companies'!I25-1</f>
        <v>0.35175299379598912</v>
      </c>
      <c r="T11" s="387"/>
    </row>
    <row r="12" spans="2:20">
      <c r="B12" s="359" t="s">
        <v>624</v>
      </c>
      <c r="D12" s="367" t="s">
        <v>530</v>
      </c>
      <c r="E12" s="360">
        <f>'Comparable Companies'!D39/'Comparable Companies'!D37</f>
        <v>0.14088721136211413</v>
      </c>
      <c r="F12" s="360">
        <f>'Comparable Companies'!E39/'Comparable Companies'!E37</f>
        <v>-9.7172357766188766E-2</v>
      </c>
      <c r="G12" s="360">
        <f>'Comparable Companies'!F39/'Comparable Companies'!F37</f>
        <v>0.1825261333193256</v>
      </c>
      <c r="H12" s="360">
        <f>'Comparable Companies'!G39/'Comparable Companies'!G37</f>
        <v>0.26850372437383252</v>
      </c>
      <c r="I12" s="360">
        <f>'Comparable Companies'!H39/'Comparable Companies'!H37</f>
        <v>0.25842200213541477</v>
      </c>
      <c r="J12" s="360">
        <f>'Comparable Companies'!I39/'Comparable Companies'!I37</f>
        <v>0.23852854174556543</v>
      </c>
      <c r="L12" s="388" t="s">
        <v>624</v>
      </c>
      <c r="M12" s="389" t="s">
        <v>530</v>
      </c>
      <c r="N12" s="390">
        <f>'Comparable Companies'!E39/'Comparable Companies'!D39-1</f>
        <v>-1.1647414252710147</v>
      </c>
      <c r="O12" s="390">
        <f>'Comparable Companies'!F39/'Comparable Companies'!E39-1</f>
        <v>-4.7483818770226573</v>
      </c>
      <c r="P12" s="390">
        <f>'Comparable Companies'!G39/'Comparable Companies'!F39-1</f>
        <v>2.4337722138283304</v>
      </c>
      <c r="Q12" s="390">
        <f>'Comparable Companies'!H39/'Comparable Companies'!G39-1</f>
        <v>2.9480786154298055E-2</v>
      </c>
      <c r="R12" s="390">
        <f>'Comparable Companies'!I39/'Comparable Companies'!H39-1</f>
        <v>-5.1391122056459348E-2</v>
      </c>
      <c r="S12" s="390">
        <f>'Comparable Companies'!J39/'Comparable Companies'!I39-1</f>
        <v>0.21610024030209418</v>
      </c>
      <c r="T12" s="387"/>
    </row>
    <row r="13" spans="2:20">
      <c r="B13" s="361" t="s">
        <v>365</v>
      </c>
      <c r="C13" s="6"/>
      <c r="D13" s="364"/>
      <c r="E13" s="364">
        <f t="shared" ref="E13:J13" si="9">AVERAGE(E10:E12)</f>
        <v>0.20745935786104694</v>
      </c>
      <c r="F13" s="364">
        <f t="shared" si="9"/>
        <v>-0.16953746501700681</v>
      </c>
      <c r="G13" s="364">
        <f t="shared" si="9"/>
        <v>8.340463742759896E-2</v>
      </c>
      <c r="H13" s="364">
        <f t="shared" si="9"/>
        <v>0.17417912041733355</v>
      </c>
      <c r="I13" s="364">
        <f t="shared" si="9"/>
        <v>0.24190515837345994</v>
      </c>
      <c r="J13" s="364">
        <f t="shared" si="9"/>
        <v>0.21943957177108242</v>
      </c>
      <c r="L13" s="391" t="s">
        <v>365</v>
      </c>
      <c r="M13" s="392"/>
      <c r="N13" s="393">
        <f t="shared" ref="N13:S13" si="10">AVERAGE(N10:N12)</f>
        <v>-1.1872662939403831</v>
      </c>
      <c r="O13" s="393">
        <f t="shared" si="10"/>
        <v>-2.6864984357076875</v>
      </c>
      <c r="P13" s="393">
        <f t="shared" si="10"/>
        <v>-0.1351936361044738</v>
      </c>
      <c r="Q13" s="393">
        <f t="shared" si="10"/>
        <v>2.7443149558691364</v>
      </c>
      <c r="R13" s="393">
        <f t="shared" si="10"/>
        <v>-6.2359639667335744E-2</v>
      </c>
      <c r="S13" s="393">
        <f t="shared" si="10"/>
        <v>0.28392661704904165</v>
      </c>
      <c r="T13" s="387"/>
    </row>
    <row r="14" spans="2:20">
      <c r="B14" s="362" t="s">
        <v>364</v>
      </c>
      <c r="C14" s="29"/>
      <c r="D14" s="365"/>
      <c r="E14" s="366">
        <f t="shared" ref="E14:J14" si="11">MEDIAN(E10:E12)</f>
        <v>0.22085275698074117</v>
      </c>
      <c r="F14" s="366">
        <f t="shared" si="11"/>
        <v>-0.16407873823205776</v>
      </c>
      <c r="G14" s="366">
        <f t="shared" si="11"/>
        <v>7.9110166843716689E-2</v>
      </c>
      <c r="H14" s="366">
        <f t="shared" si="11"/>
        <v>0.21955972974979593</v>
      </c>
      <c r="I14" s="366">
        <f t="shared" si="11"/>
        <v>0.23520135617275434</v>
      </c>
      <c r="J14" s="366">
        <f t="shared" si="11"/>
        <v>0.22103045029994695</v>
      </c>
      <c r="L14" s="394" t="s">
        <v>364</v>
      </c>
      <c r="M14" s="395"/>
      <c r="N14" s="396">
        <f t="shared" ref="N14:S14" si="12">MEDIAN(N10:N12)</f>
        <v>-1.1647414252710147</v>
      </c>
      <c r="O14" s="396">
        <f t="shared" si="12"/>
        <v>-2.415052160953798</v>
      </c>
      <c r="P14" s="396">
        <f t="shared" si="12"/>
        <v>2.4337722138283304</v>
      </c>
      <c r="Q14" s="396">
        <f t="shared" si="12"/>
        <v>0.31887733536224361</v>
      </c>
      <c r="R14" s="396">
        <f t="shared" si="12"/>
        <v>-5.1391122056459348E-2</v>
      </c>
      <c r="S14" s="396">
        <f t="shared" si="12"/>
        <v>0.28392661704904165</v>
      </c>
      <c r="T14" s="387"/>
    </row>
    <row r="15" spans="2:20">
      <c r="L15" s="387"/>
      <c r="M15" s="387"/>
      <c r="N15" s="387"/>
      <c r="O15" s="387"/>
      <c r="P15" s="387"/>
      <c r="Q15" s="387"/>
      <c r="R15" s="387"/>
      <c r="S15" s="387"/>
      <c r="T15" s="387"/>
    </row>
    <row r="16" spans="2:20">
      <c r="B16" s="356" t="s">
        <v>72</v>
      </c>
      <c r="C16" s="54"/>
      <c r="D16" s="357">
        <v>2020</v>
      </c>
      <c r="E16" s="357">
        <f>D16+1</f>
        <v>2021</v>
      </c>
      <c r="F16" s="357">
        <f>E16+1</f>
        <v>2022</v>
      </c>
      <c r="G16" s="357">
        <f t="shared" ref="G16" si="13">F16+1</f>
        <v>2023</v>
      </c>
      <c r="H16" s="357">
        <f t="shared" ref="H16" si="14">G16+1</f>
        <v>2024</v>
      </c>
      <c r="I16" s="357">
        <f t="shared" ref="I16" si="15">H16+1</f>
        <v>2025</v>
      </c>
      <c r="J16" s="357">
        <f>I16+1</f>
        <v>2026</v>
      </c>
      <c r="L16" s="385" t="s">
        <v>703</v>
      </c>
      <c r="M16" s="386">
        <v>2020</v>
      </c>
      <c r="N16" s="386">
        <f>M16+1</f>
        <v>2021</v>
      </c>
      <c r="O16" s="386">
        <f>N16+1</f>
        <v>2022</v>
      </c>
      <c r="P16" s="386">
        <f t="shared" ref="P16" si="16">O16+1</f>
        <v>2023</v>
      </c>
      <c r="Q16" s="386">
        <f t="shared" ref="Q16" si="17">P16+1</f>
        <v>2024</v>
      </c>
      <c r="R16" s="386">
        <f t="shared" ref="R16" si="18">Q16+1</f>
        <v>2025</v>
      </c>
      <c r="S16" s="386">
        <f>R16+1</f>
        <v>2026</v>
      </c>
      <c r="T16" s="387"/>
    </row>
    <row r="17" spans="2:20">
      <c r="B17" s="406" t="s">
        <v>740</v>
      </c>
      <c r="D17" s="367" t="s">
        <v>530</v>
      </c>
      <c r="E17" s="363">
        <f>'Comparable Companies'!E14/'Comparable Companies'!E9</f>
        <v>-0.71461434370771304</v>
      </c>
      <c r="F17" s="363">
        <f>'Comparable Companies'!F14/'Comparable Companies'!F9</f>
        <v>-0.27972826740411216</v>
      </c>
      <c r="G17" s="363">
        <f>'Comparable Companies'!G14/'Comparable Companies'!G9</f>
        <v>-0.1198244217983932</v>
      </c>
      <c r="H17" s="363">
        <f>'Comparable Companies'!H14/'Comparable Companies'!H9</f>
        <v>8.6318030395616113E-2</v>
      </c>
      <c r="I17" s="363">
        <f>'Comparable Companies'!I14/'Comparable Companies'!I9</f>
        <v>3.179816235097592E-2</v>
      </c>
      <c r="J17" s="363">
        <f>'Comparable Companies'!J14/'Comparable Companies'!J9</f>
        <v>2.454580595284105E-2</v>
      </c>
      <c r="L17" s="407" t="s">
        <v>740</v>
      </c>
      <c r="M17" s="389" t="s">
        <v>530</v>
      </c>
      <c r="N17" s="390">
        <f>'Comparable Companies'!E14/'Comparable Companies'!D14-1</f>
        <v>-2.5610404966006484</v>
      </c>
      <c r="O17" s="390">
        <f>'Comparable Companies'!F14/'Comparable Companies'!E14-1</f>
        <v>-0.11891687180458199</v>
      </c>
      <c r="P17" s="390">
        <f>'Comparable Companies'!G14/'Comparable Companies'!F14-1</f>
        <v>3.2237266279824262E-3</v>
      </c>
      <c r="Q17" s="390">
        <f>'Comparable Companies'!H14/'Comparable Companies'!G14-1</f>
        <v>-1.9380891173950296</v>
      </c>
      <c r="R17" s="390">
        <f>'Comparable Companies'!I14/'Comparable Companies'!H14-1</f>
        <v>-0.61749257821420256</v>
      </c>
      <c r="S17" s="389" t="s">
        <v>530</v>
      </c>
      <c r="T17" s="387"/>
    </row>
    <row r="18" spans="2:20">
      <c r="B18" s="359" t="s">
        <v>622</v>
      </c>
      <c r="D18" s="367" t="s">
        <v>530</v>
      </c>
      <c r="E18" s="363">
        <f>'Comparable Companies'!E28/'Comparable Companies'!E23</f>
        <v>-0.51314341606553371</v>
      </c>
      <c r="F18" s="363">
        <f>'Comparable Companies'!F28/'Comparable Companies'!F23</f>
        <v>-7.0736736861838526E-2</v>
      </c>
      <c r="G18" s="363">
        <f>'Comparable Companies'!G28/'Comparable Companies'!G23</f>
        <v>0.13388150567970908</v>
      </c>
      <c r="H18" s="363">
        <f>'Comparable Companies'!H28/'Comparable Companies'!H23</f>
        <v>0.15328255403978025</v>
      </c>
      <c r="I18" s="363">
        <f>'Comparable Companies'!I28/'Comparable Companies'!I23</f>
        <v>0.11169659820052327</v>
      </c>
      <c r="J18" s="363">
        <f>'Comparable Companies'!J28/'Comparable Companies'!J23</f>
        <v>0.15273765946359749</v>
      </c>
      <c r="L18" s="388" t="s">
        <v>622</v>
      </c>
      <c r="M18" s="389" t="s">
        <v>530</v>
      </c>
      <c r="N18" s="390">
        <f>'Comparable Companies'!E28/'Comparable Companies'!D28-1</f>
        <v>-1.7445449707291112</v>
      </c>
      <c r="O18" s="390">
        <f>'Comparable Companies'!F28/'Comparable Companies'!E28-1</f>
        <v>-0.59542530378841962</v>
      </c>
      <c r="P18" s="390">
        <f>'Comparable Companies'!G28/'Comparable Companies'!F28-1</f>
        <v>-5.2479387514723168</v>
      </c>
      <c r="Q18" s="390">
        <f>'Comparable Companies'!H28/'Comparable Companies'!G28-1</f>
        <v>0.4284624982670151</v>
      </c>
      <c r="R18" s="390">
        <f>'Comparable Companies'!I28/'Comparable Companies'!H28-1</f>
        <v>-0.24394623186295883</v>
      </c>
      <c r="S18" s="390">
        <f>'Comparable Companies'!J28/'Comparable Companies'!I28-1</f>
        <v>0.52387676508344061</v>
      </c>
      <c r="T18" s="387"/>
    </row>
    <row r="19" spans="2:20">
      <c r="B19" s="359" t="s">
        <v>624</v>
      </c>
      <c r="D19" s="367" t="s">
        <v>530</v>
      </c>
      <c r="E19" s="363">
        <f>'Comparable Companies'!E42/'Comparable Companies'!E37</f>
        <v>-0.65842920411960471</v>
      </c>
      <c r="F19" s="363">
        <f>'Comparable Companies'!F42/'Comparable Companies'!F37</f>
        <v>-8.0067762777748505E-2</v>
      </c>
      <c r="G19" s="363">
        <f>'Comparable Companies'!G42/'Comparable Companies'!G37</f>
        <v>0.15145599387897465</v>
      </c>
      <c r="H19" s="363">
        <f>'Comparable Companies'!H42/'Comparable Companies'!H37</f>
        <v>0.14345674207240428</v>
      </c>
      <c r="I19" s="363">
        <f>'Comparable Companies'!I42/'Comparable Companies'!I37</f>
        <v>8.7467630170216665E-2</v>
      </c>
      <c r="J19" s="363">
        <f>'Comparable Companies'!J42/'Comparable Companies'!J37</f>
        <v>0.11574407952441283</v>
      </c>
      <c r="L19" s="388" t="s">
        <v>624</v>
      </c>
      <c r="M19" s="389" t="s">
        <v>530</v>
      </c>
      <c r="N19" s="390" t="s">
        <v>704</v>
      </c>
      <c r="O19" s="390">
        <f>'Comparable Companies'!F42/'Comparable Companies'!E42-1</f>
        <v>-0.75733333333333352</v>
      </c>
      <c r="P19" s="390" t="s">
        <v>704</v>
      </c>
      <c r="Q19" s="390">
        <f>'Comparable Companies'!H42/'Comparable Companies'!G42-1</f>
        <v>1.31495858251931E-2</v>
      </c>
      <c r="R19" s="390">
        <f>'Comparable Companies'!I42/'Comparable Companies'!H42-1</f>
        <v>-0.37338221814848804</v>
      </c>
      <c r="S19" s="390">
        <f>'Comparable Companies'!J42/'Comparable Companies'!I42-1</f>
        <v>0.38979579895851679</v>
      </c>
      <c r="T19" s="387"/>
    </row>
    <row r="20" spans="2:20">
      <c r="B20" s="361" t="s">
        <v>365</v>
      </c>
      <c r="C20" s="6"/>
      <c r="D20" s="6"/>
      <c r="E20" s="364">
        <f t="shared" ref="E20:J20" si="19">AVERAGE(E17:E19)</f>
        <v>-0.62872898796428378</v>
      </c>
      <c r="F20" s="364">
        <f t="shared" si="19"/>
        <v>-0.14351092234789972</v>
      </c>
      <c r="G20" s="364">
        <f t="shared" si="19"/>
        <v>5.5171025920096844E-2</v>
      </c>
      <c r="H20" s="364">
        <f t="shared" si="19"/>
        <v>0.12768577550260021</v>
      </c>
      <c r="I20" s="364">
        <f t="shared" si="19"/>
        <v>7.6987463573905277E-2</v>
      </c>
      <c r="J20" s="364">
        <f t="shared" si="19"/>
        <v>9.7675848313617128E-2</v>
      </c>
      <c r="L20" s="391" t="s">
        <v>365</v>
      </c>
      <c r="M20" s="392"/>
      <c r="N20" s="393">
        <f t="shared" ref="N20:S20" si="20">AVERAGE(N17:N19)</f>
        <v>-2.1527927336648798</v>
      </c>
      <c r="O20" s="393">
        <f t="shared" si="20"/>
        <v>-0.49055850297544507</v>
      </c>
      <c r="P20" s="393">
        <f t="shared" si="20"/>
        <v>-2.622357512422167</v>
      </c>
      <c r="Q20" s="393">
        <f t="shared" si="20"/>
        <v>-0.49882567776760717</v>
      </c>
      <c r="R20" s="393">
        <f t="shared" si="20"/>
        <v>-0.41160700940854983</v>
      </c>
      <c r="S20" s="393">
        <f t="shared" si="20"/>
        <v>0.4568362820209787</v>
      </c>
      <c r="T20" s="387"/>
    </row>
    <row r="21" spans="2:20">
      <c r="B21" s="362" t="s">
        <v>364</v>
      </c>
      <c r="C21" s="29"/>
      <c r="D21" s="29"/>
      <c r="E21" s="366">
        <f t="shared" ref="E21:J21" si="21">MEDIAN(E17:E19)</f>
        <v>-0.65842920411960471</v>
      </c>
      <c r="F21" s="366">
        <f t="shared" si="21"/>
        <v>-8.0067762777748505E-2</v>
      </c>
      <c r="G21" s="366">
        <f t="shared" si="21"/>
        <v>0.13388150567970908</v>
      </c>
      <c r="H21" s="366">
        <f t="shared" si="21"/>
        <v>0.14345674207240428</v>
      </c>
      <c r="I21" s="366">
        <f t="shared" si="21"/>
        <v>8.7467630170216665E-2</v>
      </c>
      <c r="J21" s="366">
        <f t="shared" si="21"/>
        <v>0.11574407952441283</v>
      </c>
      <c r="L21" s="394" t="s">
        <v>364</v>
      </c>
      <c r="M21" s="395"/>
      <c r="N21" s="396">
        <f t="shared" ref="N21:S21" si="22">MEDIAN(N17:N19)</f>
        <v>-2.1527927336648798</v>
      </c>
      <c r="O21" s="396">
        <f t="shared" si="22"/>
        <v>-0.59542530378841962</v>
      </c>
      <c r="P21" s="396">
        <f t="shared" si="22"/>
        <v>-2.622357512422167</v>
      </c>
      <c r="Q21" s="396">
        <f t="shared" si="22"/>
        <v>1.31495858251931E-2</v>
      </c>
      <c r="R21" s="396">
        <f t="shared" si="22"/>
        <v>-0.37338221814848804</v>
      </c>
      <c r="S21" s="396">
        <f t="shared" si="22"/>
        <v>0.4568362820209787</v>
      </c>
      <c r="T21" s="387"/>
    </row>
    <row r="22" spans="2:20">
      <c r="L22" s="387"/>
      <c r="M22" s="387"/>
      <c r="N22" s="387"/>
      <c r="O22" s="387"/>
      <c r="P22" s="387"/>
      <c r="Q22" s="387"/>
      <c r="R22" s="387"/>
      <c r="S22" s="387"/>
      <c r="T22" s="387"/>
    </row>
    <row r="23" spans="2:20">
      <c r="B23" s="356" t="s">
        <v>705</v>
      </c>
      <c r="C23" s="54"/>
      <c r="D23" s="357">
        <v>2020</v>
      </c>
      <c r="E23" s="357">
        <f>D23+1</f>
        <v>2021</v>
      </c>
      <c r="F23" s="357">
        <f>E23+1</f>
        <v>2022</v>
      </c>
      <c r="G23" s="357">
        <f t="shared" ref="G23" si="23">F23+1</f>
        <v>2023</v>
      </c>
      <c r="H23" s="357">
        <f t="shared" ref="H23" si="24">G23+1</f>
        <v>2024</v>
      </c>
      <c r="I23" s="357">
        <f t="shared" ref="I23" si="25">H23+1</f>
        <v>2025</v>
      </c>
      <c r="J23" s="357">
        <f>I23+1</f>
        <v>2026</v>
      </c>
      <c r="L23" s="385" t="s">
        <v>706</v>
      </c>
      <c r="M23" s="386">
        <v>2020</v>
      </c>
      <c r="N23" s="386">
        <f>M23+1</f>
        <v>2021</v>
      </c>
      <c r="O23" s="386">
        <f>N23+1</f>
        <v>2022</v>
      </c>
      <c r="P23" s="386">
        <f t="shared" ref="P23" si="26">O23+1</f>
        <v>2023</v>
      </c>
      <c r="Q23" s="386">
        <f t="shared" ref="Q23" si="27">P23+1</f>
        <v>2024</v>
      </c>
      <c r="R23" s="386">
        <f t="shared" ref="R23" si="28">Q23+1</f>
        <v>2025</v>
      </c>
      <c r="S23" s="386">
        <f>R23+1</f>
        <v>2026</v>
      </c>
      <c r="T23" s="387"/>
    </row>
    <row r="24" spans="2:20">
      <c r="B24" s="406" t="s">
        <v>740</v>
      </c>
      <c r="D24" s="367" t="s">
        <v>530</v>
      </c>
      <c r="E24" s="363">
        <f>'Comparable Companies'!E17/'Comparable Companies'!E9</f>
        <v>-0.7665764546684708</v>
      </c>
      <c r="F24" s="363">
        <f>'Comparable Companies'!F17/'Comparable Companies'!F9</f>
        <v>-0.38565588553564994</v>
      </c>
      <c r="G24" s="363">
        <f>'Comparable Companies'!G17/'Comparable Companies'!G9</f>
        <v>-0.14495469363657373</v>
      </c>
      <c r="H24" s="363">
        <f>'Comparable Companies'!H17/'Comparable Companies'!H9</f>
        <v>6.7236995131182142E-2</v>
      </c>
      <c r="I24" s="363">
        <f>'Comparable Companies'!I17/'Comparable Companies'!I9</f>
        <v>3.7398435720253508E-3</v>
      </c>
      <c r="J24" s="363">
        <f>'Comparable Companies'!J17/'Comparable Companies'!J9</f>
        <v>4.7439997188740085E-3</v>
      </c>
      <c r="L24" s="407" t="s">
        <v>740</v>
      </c>
      <c r="M24" s="389" t="s">
        <v>530</v>
      </c>
      <c r="N24" s="390">
        <f>'Comparable Companies'!E17/'Comparable Companies'!D17-1</f>
        <v>-2.9262155729343737</v>
      </c>
      <c r="O24" s="390">
        <f>'Comparable Companies'!F17/'Comparable Companies'!E17-1</f>
        <v>0.13239187996469592</v>
      </c>
      <c r="P24" s="390">
        <f>'Comparable Companies'!G17/'Comparable Companies'!F17-1</f>
        <v>-0.11971940763834721</v>
      </c>
      <c r="Q24" s="390">
        <f>'Comparable Companies'!H17/'Comparable Companies'!G17-1</f>
        <v>-1.6040375420577297</v>
      </c>
      <c r="R24" s="390">
        <f>'Comparable Companies'!I17/'Comparable Companies'!H17-1</f>
        <v>-0.94224567575490847</v>
      </c>
      <c r="S24" s="390" t="s">
        <v>530</v>
      </c>
      <c r="T24" s="387"/>
    </row>
    <row r="25" spans="2:20">
      <c r="B25" s="359" t="s">
        <v>622</v>
      </c>
      <c r="D25" s="367" t="s">
        <v>530</v>
      </c>
      <c r="E25" s="363">
        <f>'Comparable Companies'!E31/'Comparable Companies'!E23</f>
        <v>-0.67777234380731144</v>
      </c>
      <c r="F25" s="363">
        <f>'Comparable Companies'!F31/'Comparable Companies'!F23</f>
        <v>-8.9524880751525884E-2</v>
      </c>
      <c r="G25" s="363">
        <f>'Comparable Companies'!G31/'Comparable Companies'!G23</f>
        <v>0.13387222510951083</v>
      </c>
      <c r="H25" s="363">
        <f>'Comparable Companies'!H31/'Comparable Companies'!H23</f>
        <v>0.1582885791219743</v>
      </c>
      <c r="I25" s="363">
        <f>'Comparable Companies'!I31/'Comparable Companies'!I23</f>
        <v>0.12792773416496389</v>
      </c>
      <c r="J25" s="363">
        <f>'Comparable Companies'!J31/'Comparable Companies'!J23</f>
        <v>0.15589637359031921</v>
      </c>
      <c r="L25" s="388" t="s">
        <v>622</v>
      </c>
      <c r="M25" s="389" t="s">
        <v>530</v>
      </c>
      <c r="N25" s="390">
        <f>'Comparable Companies'!E31/'Comparable Companies'!D31-1</f>
        <v>-2.6540355064896315</v>
      </c>
      <c r="O25" s="390">
        <f>'Comparable Companies'!F31/'Comparable Companies'!E31-1</f>
        <v>-0.6123387751420577</v>
      </c>
      <c r="P25" s="390">
        <f>'Comparable Companies'!G31/'Comparable Companies'!F31-1</f>
        <v>-4.3562121917170762</v>
      </c>
      <c r="Q25" s="390">
        <f>'Comparable Companies'!H31/'Comparable Companies'!G31-1</f>
        <v>0.47521663778162626</v>
      </c>
      <c r="R25" s="390">
        <f>'Comparable Companies'!I31/'Comparable Companies'!H31-1</f>
        <v>-0.16146616541353342</v>
      </c>
      <c r="S25" s="390">
        <f>'Comparable Companies'!J31/'Comparable Companies'!I31-1</f>
        <v>0.35804752297691111</v>
      </c>
      <c r="T25" s="387"/>
    </row>
    <row r="26" spans="2:20">
      <c r="B26" s="359" t="s">
        <v>624</v>
      </c>
      <c r="D26" s="367" t="s">
        <v>530</v>
      </c>
      <c r="E26" s="363">
        <f>'Comparable Companies'!E45/'Comparable Companies'!E37</f>
        <v>-1.299090647029534</v>
      </c>
      <c r="F26" s="363">
        <f>'Comparable Companies'!F45/'Comparable Companies'!F37</f>
        <v>-0.14314230183327195</v>
      </c>
      <c r="G26" s="363">
        <f>'Comparable Companies'!G45/'Comparable Companies'!G37</f>
        <v>0.14834484776200005</v>
      </c>
      <c r="H26" s="363">
        <f>'Comparable Companies'!H45/'Comparable Companies'!H37</f>
        <v>0.1597405944447659</v>
      </c>
      <c r="I26" s="363">
        <f>'Comparable Companies'!I45/'Comparable Companies'!I37</f>
        <v>0.15173133808943792</v>
      </c>
      <c r="J26" s="363">
        <f>'Comparable Companies'!J45/'Comparable Companies'!J37</f>
        <v>7.8817854010330382E-2</v>
      </c>
      <c r="L26" s="388" t="s">
        <v>624</v>
      </c>
      <c r="M26" s="389" t="s">
        <v>530</v>
      </c>
      <c r="N26" s="390" t="s">
        <v>704</v>
      </c>
      <c r="O26" s="390">
        <f>'Comparable Companies'!F45/'Comparable Companies'!E45-1</f>
        <v>-0.78011780844024858</v>
      </c>
      <c r="P26" s="390">
        <f>'Comparable Companies'!G45/'Comparable Companies'!F45-1</f>
        <v>-3.4190825688073394</v>
      </c>
      <c r="Q26" s="390">
        <f>'Comparable Companies'!H45/'Comparable Companies'!G45-1</f>
        <v>0.15181280339805925</v>
      </c>
      <c r="R26" s="390">
        <f>'Comparable Companies'!I45/'Comparable Companies'!H45-1</f>
        <v>-2.3805604030160854E-2</v>
      </c>
      <c r="S26" s="390">
        <f>'Comparable Companies'!J45/'Comparable Companies'!I45-1</f>
        <v>-0.45443200215866142</v>
      </c>
      <c r="T26" s="387"/>
    </row>
    <row r="27" spans="2:20">
      <c r="B27" s="361" t="s">
        <v>365</v>
      </c>
      <c r="C27" s="6"/>
      <c r="D27" s="6"/>
      <c r="E27" s="364">
        <f t="shared" ref="E27:J27" si="29">AVERAGE(E24:E26)</f>
        <v>-0.91447981516843868</v>
      </c>
      <c r="F27" s="364">
        <f t="shared" si="29"/>
        <v>-0.20610768937348259</v>
      </c>
      <c r="G27" s="364">
        <f t="shared" si="29"/>
        <v>4.5754126411645717E-2</v>
      </c>
      <c r="H27" s="364">
        <f t="shared" si="29"/>
        <v>0.12842205623264077</v>
      </c>
      <c r="I27" s="364">
        <f t="shared" si="29"/>
        <v>9.4466305275475726E-2</v>
      </c>
      <c r="J27" s="364">
        <f t="shared" si="29"/>
        <v>7.9819409106507866E-2</v>
      </c>
      <c r="L27" s="391" t="s">
        <v>365</v>
      </c>
      <c r="M27" s="392"/>
      <c r="N27" s="393">
        <f t="shared" ref="N27:S27" si="30">AVERAGE(N24:N26)</f>
        <v>-2.7901255397120028</v>
      </c>
      <c r="O27" s="393">
        <f t="shared" si="30"/>
        <v>-0.42002156787253675</v>
      </c>
      <c r="P27" s="393">
        <f t="shared" si="30"/>
        <v>-2.6316713893875874</v>
      </c>
      <c r="Q27" s="393">
        <f t="shared" si="30"/>
        <v>-0.32566936695934806</v>
      </c>
      <c r="R27" s="393">
        <f t="shared" si="30"/>
        <v>-0.37583914839953425</v>
      </c>
      <c r="S27" s="393">
        <f t="shared" si="30"/>
        <v>-4.8192239590875152E-2</v>
      </c>
      <c r="T27" s="387"/>
    </row>
    <row r="28" spans="2:20">
      <c r="B28" s="362" t="s">
        <v>364</v>
      </c>
      <c r="C28" s="29"/>
      <c r="D28" s="29"/>
      <c r="E28" s="366">
        <f t="shared" ref="E28:J28" si="31">MEDIAN(E24:E26)</f>
        <v>-0.7665764546684708</v>
      </c>
      <c r="F28" s="366">
        <f t="shared" si="31"/>
        <v>-0.14314230183327195</v>
      </c>
      <c r="G28" s="366">
        <f t="shared" si="31"/>
        <v>0.13387222510951083</v>
      </c>
      <c r="H28" s="366">
        <f t="shared" si="31"/>
        <v>0.1582885791219743</v>
      </c>
      <c r="I28" s="366">
        <f t="shared" si="31"/>
        <v>0.12792773416496389</v>
      </c>
      <c r="J28" s="366">
        <f t="shared" si="31"/>
        <v>7.8817854010330382E-2</v>
      </c>
      <c r="L28" s="394" t="s">
        <v>364</v>
      </c>
      <c r="M28" s="395"/>
      <c r="N28" s="396">
        <f t="shared" ref="N28:S28" si="32">MEDIAN(N24:N26)</f>
        <v>-2.7901255397120028</v>
      </c>
      <c r="O28" s="396">
        <f t="shared" si="32"/>
        <v>-0.6123387751420577</v>
      </c>
      <c r="P28" s="396">
        <f t="shared" si="32"/>
        <v>-3.4190825688073394</v>
      </c>
      <c r="Q28" s="396">
        <f t="shared" si="32"/>
        <v>0.15181280339805925</v>
      </c>
      <c r="R28" s="396">
        <f t="shared" si="32"/>
        <v>-0.16146616541353342</v>
      </c>
      <c r="S28" s="396">
        <f t="shared" si="32"/>
        <v>-4.8192239590875152E-2</v>
      </c>
      <c r="T28" s="387"/>
    </row>
    <row r="29" spans="2:20">
      <c r="L29" s="387"/>
      <c r="M29" s="387"/>
      <c r="N29" s="387"/>
      <c r="O29" s="387"/>
      <c r="P29" s="387"/>
      <c r="Q29" s="387"/>
      <c r="R29" s="387"/>
      <c r="S29" s="387"/>
      <c r="T29" s="387"/>
    </row>
    <row r="30" spans="2:20">
      <c r="B30" s="356" t="s">
        <v>74</v>
      </c>
      <c r="C30" s="54"/>
      <c r="D30" s="357">
        <v>2020</v>
      </c>
      <c r="E30" s="357">
        <f>D30+1</f>
        <v>2021</v>
      </c>
      <c r="F30" s="357">
        <f>E30+1</f>
        <v>2022</v>
      </c>
      <c r="G30" s="357">
        <f t="shared" ref="G30" si="33">F30+1</f>
        <v>2023</v>
      </c>
      <c r="H30" s="357">
        <f t="shared" ref="H30" si="34">G30+1</f>
        <v>2024</v>
      </c>
      <c r="I30" s="357">
        <f t="shared" ref="I30" si="35">H30+1</f>
        <v>2025</v>
      </c>
      <c r="J30" s="357">
        <f>I30+1</f>
        <v>2026</v>
      </c>
      <c r="L30" s="385" t="s">
        <v>707</v>
      </c>
      <c r="M30" s="386">
        <v>2020</v>
      </c>
      <c r="N30" s="386">
        <f>M30+1</f>
        <v>2021</v>
      </c>
      <c r="O30" s="386">
        <f>N30+1</f>
        <v>2022</v>
      </c>
      <c r="P30" s="386">
        <f t="shared" ref="P30" si="36">O30+1</f>
        <v>2023</v>
      </c>
      <c r="Q30" s="386">
        <f t="shared" ref="Q30" si="37">P30+1</f>
        <v>2024</v>
      </c>
      <c r="R30" s="386">
        <f t="shared" ref="R30" si="38">Q30+1</f>
        <v>2025</v>
      </c>
      <c r="S30" s="386">
        <f>R30+1</f>
        <v>2026</v>
      </c>
      <c r="T30" s="387"/>
    </row>
    <row r="31" spans="2:20">
      <c r="B31" s="406" t="s">
        <v>740</v>
      </c>
      <c r="D31" s="367" t="s">
        <v>530</v>
      </c>
      <c r="E31" s="363">
        <f>'Comparable Companies'!E20/'Comparable Companies'!E9</f>
        <v>-0.77943166441136669</v>
      </c>
      <c r="F31" s="363">
        <f>'Comparable Companies'!F20/'Comparable Companies'!F9</f>
        <v>-0.38619694601418786</v>
      </c>
      <c r="G31" s="363">
        <f>'Comparable Companies'!G20/'Comparable Companies'!G9</f>
        <v>-0.13738224195908316</v>
      </c>
      <c r="H31" s="363">
        <f>'Comparable Companies'!H20/'Comparable Companies'!H9</f>
        <v>7.1987542134000937E-2</v>
      </c>
      <c r="I31" s="363">
        <f>'Comparable Companies'!I20/'Comparable Companies'!I9</f>
        <v>4.0606727921634271E-2</v>
      </c>
      <c r="J31" s="363">
        <f>'Comparable Companies'!J20/'Comparable Companies'!J9</f>
        <v>2.2841480127904043E-4</v>
      </c>
      <c r="L31" s="407" t="s">
        <v>740</v>
      </c>
      <c r="M31" s="389" t="s">
        <v>530</v>
      </c>
      <c r="N31" s="390">
        <f>'Comparable Companies'!E20/'Comparable Companies'!D20-1</f>
        <v>-3.0498220640569369</v>
      </c>
      <c r="O31" s="390">
        <f>'Comparable Companies'!F20/'Comparable Companies'!E20-1</f>
        <v>0.11527777777777803</v>
      </c>
      <c r="P31" s="390">
        <f>'Comparable Companies'!G20/'Comparable Companies'!F20-1</f>
        <v>-0.16687422166874188</v>
      </c>
      <c r="Q31" s="390">
        <f>'Comparable Companies'!H20/'Comparable Companies'!G20-1</f>
        <v>-1.6823617339312404</v>
      </c>
      <c r="R31" s="390">
        <f>'Comparable Companies'!I20/'Comparable Companies'!H20-1</f>
        <v>-0.41429353778751199</v>
      </c>
      <c r="S31" s="390" t="s">
        <v>530</v>
      </c>
      <c r="T31" s="387"/>
    </row>
    <row r="32" spans="2:20">
      <c r="B32" s="359" t="s">
        <v>622</v>
      </c>
      <c r="D32" s="367" t="s">
        <v>530</v>
      </c>
      <c r="E32" s="363">
        <f>'Comparable Companies'!E34/'Comparable Companies'!E23</f>
        <v>-0.62055263479642986</v>
      </c>
      <c r="F32" s="363">
        <f>'Comparable Companies'!F34/'Comparable Companies'!F23</f>
        <v>-5.0157262180008044E-2</v>
      </c>
      <c r="G32" s="363">
        <f>'Comparable Companies'!G34/'Comparable Companies'!G23</f>
        <v>0.121928131264385</v>
      </c>
      <c r="H32" s="363">
        <f>'Comparable Companies'!H34/'Comparable Companies'!H23</f>
        <v>0.14260105029827863</v>
      </c>
      <c r="I32" s="363">
        <f>'Comparable Companies'!I34/'Comparable Companies'!I23</f>
        <v>0.11553930530164526</v>
      </c>
      <c r="J32" s="363">
        <f>'Comparable Companies'!J34/'Comparable Companies'!J23</f>
        <v>0.13983904067728997</v>
      </c>
      <c r="L32" s="388" t="s">
        <v>622</v>
      </c>
      <c r="M32" s="389" t="s">
        <v>530</v>
      </c>
      <c r="N32" s="390">
        <f>'Comparable Companies'!E34/'Comparable Companies'!D34-1</f>
        <v>-2.5648219515954986</v>
      </c>
      <c r="O32" s="390">
        <f>'Comparable Companies'!F34/'Comparable Companies'!E34-1</f>
        <v>-0.7627819919219776</v>
      </c>
      <c r="P32" s="390">
        <f>'Comparable Companies'!G34/'Comparable Companies'!F34-1</f>
        <v>-6.455980066445175</v>
      </c>
      <c r="Q32" s="390">
        <f>'Comparable Companies'!H34/'Comparable Companies'!G34-1</f>
        <v>0.45920231389861166</v>
      </c>
      <c r="R32" s="390">
        <f>'Comparable Companies'!I34/'Comparable Companies'!H34-1</f>
        <v>-0.15935527619842438</v>
      </c>
      <c r="S32" s="390">
        <f>'Comparable Companies'!J34/'Comparable Companies'!I34-1</f>
        <v>0.34878381732439823</v>
      </c>
      <c r="T32" s="387"/>
    </row>
    <row r="33" spans="2:20">
      <c r="B33" s="359" t="s">
        <v>624</v>
      </c>
      <c r="D33" s="367" t="s">
        <v>530</v>
      </c>
      <c r="E33" s="363">
        <f>'Comparable Companies'!E48/'Comparable Companies'!E37</f>
        <v>-1.1225136927068315</v>
      </c>
      <c r="F33" s="363">
        <f>'Comparable Companies'!F48/'Comparable Companies'!F37</f>
        <v>-0.12450753795240838</v>
      </c>
      <c r="G33" s="363">
        <f>'Comparable Companies'!G48/'Comparable Companies'!G37</f>
        <v>0.12170601075680168</v>
      </c>
      <c r="H33" s="363">
        <f>'Comparable Companies'!H48/'Comparable Companies'!H37</f>
        <v>0.14175261798692457</v>
      </c>
      <c r="I33" s="363">
        <f>'Comparable Companies'!I48/'Comparable Companies'!I37</f>
        <v>0.14392163686424628</v>
      </c>
      <c r="J33" s="363">
        <f>'Comparable Companies'!J48/'Comparable Companies'!J37</f>
        <v>5.9594581424812408E-2</v>
      </c>
      <c r="L33" s="388" t="s">
        <v>624</v>
      </c>
      <c r="M33" s="389" t="s">
        <v>530</v>
      </c>
      <c r="N33" s="390" t="s">
        <v>704</v>
      </c>
      <c r="O33" s="390">
        <f>'Comparable Companies'!F48/'Comparable Companies'!E48-1</f>
        <v>-0.77865714152308918</v>
      </c>
      <c r="P33" s="390">
        <f>'Comparable Companies'!G48/'Comparable Companies'!F48-1</f>
        <v>-3.2817213374116654</v>
      </c>
      <c r="Q33" s="390">
        <f>'Comparable Companies'!H48/'Comparable Companies'!G48-1</f>
        <v>0.24582813294503891</v>
      </c>
      <c r="R33" s="390">
        <f>'Comparable Companies'!I48/'Comparable Companies'!H48-1</f>
        <v>4.3449222663351383E-2</v>
      </c>
      <c r="S33" s="390">
        <f>'Comparable Companies'!J48/'Comparable Companies'!I48-1</f>
        <v>-0.56510916720005677</v>
      </c>
      <c r="T33" s="387"/>
    </row>
    <row r="34" spans="2:20">
      <c r="B34" s="361" t="s">
        <v>365</v>
      </c>
      <c r="C34" s="6"/>
      <c r="D34" s="6"/>
      <c r="E34" s="364">
        <f t="shared" ref="E34:J34" si="39">AVERAGE(E31:E33)</f>
        <v>-0.84083266397154277</v>
      </c>
      <c r="F34" s="364">
        <f t="shared" si="39"/>
        <v>-0.18695391538220144</v>
      </c>
      <c r="G34" s="364">
        <f t="shared" si="39"/>
        <v>3.5417300020701169E-2</v>
      </c>
      <c r="H34" s="364">
        <f t="shared" si="39"/>
        <v>0.11878040347306805</v>
      </c>
      <c r="I34" s="364">
        <f t="shared" si="39"/>
        <v>0.10002255669584192</v>
      </c>
      <c r="J34" s="364">
        <f t="shared" si="39"/>
        <v>6.6554012301127147E-2</v>
      </c>
      <c r="L34" s="391" t="s">
        <v>365</v>
      </c>
      <c r="M34" s="392"/>
      <c r="N34" s="393">
        <f t="shared" ref="N34:S34" si="40">AVERAGE(N31:N33)</f>
        <v>-2.807322007826218</v>
      </c>
      <c r="O34" s="393">
        <f t="shared" si="40"/>
        <v>-0.47538711855576293</v>
      </c>
      <c r="P34" s="393">
        <f t="shared" si="40"/>
        <v>-3.3015252085085276</v>
      </c>
      <c r="Q34" s="393">
        <f t="shared" si="40"/>
        <v>-0.32577709569586327</v>
      </c>
      <c r="R34" s="393">
        <f t="shared" si="40"/>
        <v>-0.17673319710752833</v>
      </c>
      <c r="S34" s="393">
        <f t="shared" si="40"/>
        <v>-0.10816267493782927</v>
      </c>
      <c r="T34" s="387"/>
    </row>
    <row r="35" spans="2:20">
      <c r="B35" s="362" t="s">
        <v>364</v>
      </c>
      <c r="C35" s="29"/>
      <c r="D35" s="29"/>
      <c r="E35" s="366">
        <f t="shared" ref="E35:J35" si="41">MEDIAN(E31:E33)</f>
        <v>-0.77943166441136669</v>
      </c>
      <c r="F35" s="366">
        <f t="shared" si="41"/>
        <v>-0.12450753795240838</v>
      </c>
      <c r="G35" s="366">
        <f t="shared" si="41"/>
        <v>0.12170601075680168</v>
      </c>
      <c r="H35" s="366">
        <f t="shared" si="41"/>
        <v>0.14175261798692457</v>
      </c>
      <c r="I35" s="366">
        <f t="shared" si="41"/>
        <v>0.11553930530164526</v>
      </c>
      <c r="J35" s="366">
        <f t="shared" si="41"/>
        <v>5.9594581424812408E-2</v>
      </c>
      <c r="L35" s="394" t="s">
        <v>364</v>
      </c>
      <c r="M35" s="395"/>
      <c r="N35" s="396">
        <f t="shared" ref="N35:S35" si="42">MEDIAN(N31:N33)</f>
        <v>-2.807322007826218</v>
      </c>
      <c r="O35" s="396">
        <f t="shared" si="42"/>
        <v>-0.7627819919219776</v>
      </c>
      <c r="P35" s="396">
        <f t="shared" si="42"/>
        <v>-3.2817213374116654</v>
      </c>
      <c r="Q35" s="396">
        <f t="shared" si="42"/>
        <v>0.24582813294503891</v>
      </c>
      <c r="R35" s="396">
        <f t="shared" si="42"/>
        <v>-0.15935527619842438</v>
      </c>
      <c r="S35" s="396">
        <f t="shared" si="42"/>
        <v>-0.10816267493782927</v>
      </c>
      <c r="T35" s="38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CBA84-BEE4-4AFD-89C8-10C4C2A99F91}">
  <dimension ref="B2:Q48"/>
  <sheetViews>
    <sheetView showGridLines="0" workbookViewId="0">
      <selection activeCell="L17" sqref="L17"/>
    </sheetView>
  </sheetViews>
  <sheetFormatPr defaultRowHeight="14.4"/>
  <cols>
    <col min="1" max="1" width="1.88671875" customWidth="1"/>
    <col min="2" max="2" width="41.77734375" customWidth="1"/>
    <col min="3" max="3" width="9.21875" bestFit="1" customWidth="1"/>
    <col min="4" max="5" width="11.109375" bestFit="1" customWidth="1"/>
    <col min="6" max="9" width="10.77734375" bestFit="1" customWidth="1"/>
    <col min="10" max="10" width="11.109375" bestFit="1" customWidth="1"/>
    <col min="11" max="11" width="10.77734375" bestFit="1" customWidth="1"/>
    <col min="12" max="12" width="10.44140625" bestFit="1" customWidth="1"/>
    <col min="13" max="13" width="10.21875" bestFit="1" customWidth="1"/>
  </cols>
  <sheetData>
    <row r="2" spans="2:17">
      <c r="B2" s="8" t="s">
        <v>694</v>
      </c>
      <c r="Q2" t="s">
        <v>22</v>
      </c>
    </row>
    <row r="3" spans="2:17" ht="14.4" customHeight="1">
      <c r="B3" s="405" t="s">
        <v>740</v>
      </c>
      <c r="Q3" t="s">
        <v>64</v>
      </c>
    </row>
    <row r="4" spans="2:17" ht="14.4" customHeight="1">
      <c r="B4" s="355" t="s">
        <v>622</v>
      </c>
    </row>
    <row r="5" spans="2:17" ht="14.4" customHeight="1">
      <c r="B5" s="355" t="s">
        <v>624</v>
      </c>
    </row>
    <row r="6" spans="2:17" ht="14.4" customHeight="1">
      <c r="B6" s="355"/>
    </row>
    <row r="7" spans="2:17" ht="14.4" customHeight="1">
      <c r="B7" s="4" t="s">
        <v>700</v>
      </c>
    </row>
    <row r="8" spans="2:17" ht="14.4" customHeight="1">
      <c r="B8" s="356" t="s">
        <v>740</v>
      </c>
      <c r="C8" s="54"/>
      <c r="D8" s="357">
        <v>2020</v>
      </c>
      <c r="E8" s="357">
        <f>D8+1</f>
        <v>2021</v>
      </c>
      <c r="F8" s="357">
        <f>E8+1</f>
        <v>2022</v>
      </c>
      <c r="G8" s="357">
        <f t="shared" ref="G8:J8" si="0">F8+1</f>
        <v>2023</v>
      </c>
      <c r="H8" s="357">
        <f t="shared" si="0"/>
        <v>2024</v>
      </c>
      <c r="I8" s="357">
        <f t="shared" si="0"/>
        <v>2025</v>
      </c>
      <c r="J8" s="357">
        <f t="shared" si="0"/>
        <v>2026</v>
      </c>
    </row>
    <row r="9" spans="2:17">
      <c r="B9" s="16" t="s">
        <v>22</v>
      </c>
      <c r="C9" s="16"/>
      <c r="D9" s="16">
        <v>3203.1080000000002</v>
      </c>
      <c r="E9" s="16">
        <v>857.2399999999999</v>
      </c>
      <c r="F9" s="16">
        <v>1929.5439999999999</v>
      </c>
      <c r="G9" s="16">
        <v>4519.0119999999997</v>
      </c>
      <c r="H9" s="16">
        <v>5884.7960000000003</v>
      </c>
      <c r="I9" s="16">
        <f>(5267.6)*1.16</f>
        <v>6110.4160000000002</v>
      </c>
      <c r="J9" s="16">
        <v>6602.0239999999994</v>
      </c>
    </row>
    <row r="10" spans="2:17">
      <c r="B10" t="s">
        <v>696</v>
      </c>
      <c r="D10" s="158">
        <v>-2368.2559999999999</v>
      </c>
      <c r="E10" s="158">
        <v>-1069.2879999999998</v>
      </c>
      <c r="F10" s="158">
        <v>-1951.5840000000001</v>
      </c>
      <c r="G10" s="158">
        <v>-4363.2240000000002</v>
      </c>
      <c r="H10" s="158">
        <v>-4500.6840000000002</v>
      </c>
      <c r="I10" s="158">
        <v>-4759.8279999999995</v>
      </c>
      <c r="J10" s="158">
        <v>-5072.7960000000003</v>
      </c>
    </row>
    <row r="11" spans="2:17">
      <c r="B11" s="30" t="s">
        <v>64</v>
      </c>
      <c r="C11" s="30"/>
      <c r="D11" s="219">
        <f>D9+D10</f>
        <v>834.85200000000032</v>
      </c>
      <c r="E11" s="219">
        <f t="shared" ref="E11:I11" si="1">E9+E10</f>
        <v>-212.04799999999989</v>
      </c>
      <c r="F11" s="219">
        <f t="shared" si="1"/>
        <v>-22.040000000000191</v>
      </c>
      <c r="G11" s="219">
        <f t="shared" si="1"/>
        <v>155.78799999999956</v>
      </c>
      <c r="H11" s="219">
        <f t="shared" si="1"/>
        <v>1384.1120000000001</v>
      </c>
      <c r="I11" s="219">
        <f t="shared" si="1"/>
        <v>1350.5880000000006</v>
      </c>
      <c r="J11" s="219">
        <f>J9+J10</f>
        <v>1529.2279999999992</v>
      </c>
    </row>
    <row r="12" spans="2:17">
      <c r="D12" s="158"/>
      <c r="E12" s="158"/>
      <c r="F12" s="158"/>
      <c r="G12" s="158"/>
      <c r="H12" s="158"/>
      <c r="I12" s="158"/>
    </row>
    <row r="13" spans="2:17">
      <c r="B13" t="s">
        <v>399</v>
      </c>
      <c r="D13" s="158">
        <v>-442.42399999999992</v>
      </c>
      <c r="E13" s="158">
        <v>-400.548</v>
      </c>
      <c r="F13" s="158">
        <v>-517.70799999999997</v>
      </c>
      <c r="G13" s="158">
        <v>-697.27599999999995</v>
      </c>
      <c r="H13" s="158">
        <v>-876.14799999999991</v>
      </c>
      <c r="I13" s="158">
        <f>(996.8*-1)*1.16</f>
        <v>-1156.2879999999998</v>
      </c>
      <c r="J13" s="158">
        <v>-1367.1759999999997</v>
      </c>
    </row>
    <row r="14" spans="2:17">
      <c r="B14" s="30" t="s">
        <v>66</v>
      </c>
      <c r="C14" s="30"/>
      <c r="D14" s="219">
        <f>D11+D13</f>
        <v>392.4280000000004</v>
      </c>
      <c r="E14" s="219">
        <f t="shared" ref="E14:I14" si="2">E11+E13</f>
        <v>-612.59599999999989</v>
      </c>
      <c r="F14" s="219">
        <f t="shared" si="2"/>
        <v>-539.74800000000016</v>
      </c>
      <c r="G14" s="219">
        <f t="shared" si="2"/>
        <v>-541.4880000000004</v>
      </c>
      <c r="H14" s="219">
        <f t="shared" si="2"/>
        <v>507.96400000000017</v>
      </c>
      <c r="I14" s="219">
        <f t="shared" si="2"/>
        <v>194.30000000000086</v>
      </c>
      <c r="J14" s="219">
        <f>J11+J13</f>
        <v>162.05199999999945</v>
      </c>
    </row>
    <row r="15" spans="2:17">
      <c r="D15" s="158"/>
      <c r="E15" s="158"/>
      <c r="F15" s="158"/>
      <c r="G15" s="158"/>
      <c r="H15" s="158"/>
      <c r="I15" s="158"/>
      <c r="J15" s="111"/>
      <c r="K15" s="158"/>
    </row>
    <row r="16" spans="2:17">
      <c r="B16" t="s">
        <v>697</v>
      </c>
      <c r="D16" s="158">
        <v>-51.271999999999998</v>
      </c>
      <c r="E16" s="158">
        <v>-44.543999999999997</v>
      </c>
      <c r="F16" s="158">
        <v>-204.39199999999997</v>
      </c>
      <c r="G16" s="158">
        <v>-113.56399999999999</v>
      </c>
      <c r="H16" s="158">
        <v>-112.28799999999998</v>
      </c>
      <c r="I16" s="158">
        <v>-171.44800000000001</v>
      </c>
      <c r="J16" s="158">
        <v>-130.732</v>
      </c>
      <c r="K16" s="111"/>
    </row>
    <row r="17" spans="2:13">
      <c r="B17" s="30" t="s">
        <v>698</v>
      </c>
      <c r="C17" s="30"/>
      <c r="D17" s="219">
        <f>D14+D16</f>
        <v>341.1560000000004</v>
      </c>
      <c r="E17" s="219">
        <f t="shared" ref="E17:I17" si="3">E14+E16</f>
        <v>-657.13999999999987</v>
      </c>
      <c r="F17" s="219">
        <f t="shared" si="3"/>
        <v>-744.1400000000001</v>
      </c>
      <c r="G17" s="219">
        <f t="shared" si="3"/>
        <v>-655.05200000000036</v>
      </c>
      <c r="H17" s="219">
        <f t="shared" si="3"/>
        <v>395.67600000000016</v>
      </c>
      <c r="I17" s="219">
        <f t="shared" si="3"/>
        <v>22.852000000000857</v>
      </c>
      <c r="J17" s="219">
        <f>J14+J16</f>
        <v>31.319999999999453</v>
      </c>
    </row>
    <row r="18" spans="2:13">
      <c r="D18" s="158"/>
      <c r="E18" s="158"/>
      <c r="F18" s="158"/>
      <c r="G18" s="158"/>
      <c r="H18" s="158"/>
      <c r="I18" s="158"/>
    </row>
    <row r="19" spans="2:13">
      <c r="B19" t="s">
        <v>699</v>
      </c>
      <c r="D19" s="158">
        <v>-15.195999999999998</v>
      </c>
      <c r="E19" s="158">
        <v>-11.02</v>
      </c>
      <c r="F19" s="158">
        <v>-1.044</v>
      </c>
      <c r="G19" s="158">
        <v>34.22</v>
      </c>
      <c r="H19" s="158">
        <v>27.956</v>
      </c>
      <c r="I19" s="158">
        <v>225.27199999999996</v>
      </c>
      <c r="J19" s="158">
        <v>-29.811999999999998</v>
      </c>
    </row>
    <row r="20" spans="2:13" ht="15" thickBot="1">
      <c r="B20" s="31" t="s">
        <v>29</v>
      </c>
      <c r="C20" s="31"/>
      <c r="D20" s="318">
        <f>D17+D19</f>
        <v>325.96000000000038</v>
      </c>
      <c r="E20" s="318">
        <f t="shared" ref="E20:I20" si="4">E17+E19</f>
        <v>-668.15999999999985</v>
      </c>
      <c r="F20" s="318">
        <f t="shared" si="4"/>
        <v>-745.18400000000008</v>
      </c>
      <c r="G20" s="318">
        <f t="shared" si="4"/>
        <v>-620.83200000000033</v>
      </c>
      <c r="H20" s="318">
        <f t="shared" si="4"/>
        <v>423.63200000000018</v>
      </c>
      <c r="I20" s="318">
        <f t="shared" si="4"/>
        <v>248.12400000000082</v>
      </c>
      <c r="J20" s="318">
        <f>J17+J19</f>
        <v>1.5079999999994556</v>
      </c>
    </row>
    <row r="21" spans="2:13">
      <c r="B21" s="16"/>
      <c r="C21" s="16"/>
      <c r="D21" s="163"/>
      <c r="E21" s="163"/>
      <c r="F21" s="163"/>
      <c r="G21" s="163"/>
      <c r="H21" s="163"/>
      <c r="I21" s="163"/>
    </row>
    <row r="22" spans="2:13">
      <c r="B22" s="356" t="s">
        <v>622</v>
      </c>
      <c r="C22" s="54"/>
      <c r="D22" s="357">
        <v>2020</v>
      </c>
      <c r="E22" s="357">
        <f>D22+1</f>
        <v>2021</v>
      </c>
      <c r="F22" s="357">
        <f>E22+1</f>
        <v>2022</v>
      </c>
      <c r="G22" s="357">
        <f t="shared" ref="G22:J22" si="5">F22+1</f>
        <v>2023</v>
      </c>
      <c r="H22" s="357">
        <f t="shared" si="5"/>
        <v>2024</v>
      </c>
      <c r="I22" s="357">
        <f t="shared" si="5"/>
        <v>2025</v>
      </c>
      <c r="J22" s="357">
        <f t="shared" si="5"/>
        <v>2026</v>
      </c>
    </row>
    <row r="23" spans="2:13">
      <c r="B23" s="16" t="s">
        <v>22</v>
      </c>
      <c r="C23" s="16"/>
      <c r="D23" s="16">
        <f>(8494.8)*1.16</f>
        <v>9853.9679999999989</v>
      </c>
      <c r="E23" s="16">
        <v>1897.5279999999998</v>
      </c>
      <c r="F23" s="16">
        <v>5569.043999999999</v>
      </c>
      <c r="G23" s="16">
        <v>12499.232</v>
      </c>
      <c r="H23" s="16">
        <v>15594.807999999997</v>
      </c>
      <c r="I23" s="16">
        <v>16180.259999999998</v>
      </c>
      <c r="J23" s="16">
        <v>18031.387999999999</v>
      </c>
    </row>
    <row r="24" spans="2:13">
      <c r="B24" t="s">
        <v>696</v>
      </c>
      <c r="D24" s="158">
        <f>(6618.7*-1)*1.16</f>
        <v>-7677.6919999999991</v>
      </c>
      <c r="E24" s="158">
        <f>(1904.2*-1)*1.16</f>
        <v>-2208.8719999999998</v>
      </c>
      <c r="F24" s="158">
        <f>(4421.1*-1)*1.16</f>
        <v>-5128.4759999999997</v>
      </c>
      <c r="G24" s="158">
        <f>(8409.4*-1)*1.16</f>
        <v>-9754.9039999999986</v>
      </c>
      <c r="H24" s="158">
        <f>(10323.6*-1)*1.16</f>
        <v>-11975.376</v>
      </c>
      <c r="I24" s="158">
        <f>(11176.1*-1)*1.16</f>
        <v>-12964.276</v>
      </c>
      <c r="J24" s="158">
        <f>(11796.7*-1)*1.16</f>
        <v>-13684.172</v>
      </c>
      <c r="K24" s="387">
        <v>1.1599999999999999</v>
      </c>
    </row>
    <row r="25" spans="2:13">
      <c r="B25" s="30" t="s">
        <v>64</v>
      </c>
      <c r="C25" s="30"/>
      <c r="D25" s="219">
        <f>D23+D24</f>
        <v>2176.2759999999998</v>
      </c>
      <c r="E25" s="219">
        <f t="shared" ref="E25" si="6">E23+E24</f>
        <v>-311.34400000000005</v>
      </c>
      <c r="F25" s="219">
        <f t="shared" ref="F25" si="7">F23+F24</f>
        <v>440.5679999999993</v>
      </c>
      <c r="G25" s="219">
        <f t="shared" ref="G25" si="8">G23+G24</f>
        <v>2744.3280000000013</v>
      </c>
      <c r="H25" s="219">
        <f t="shared" ref="H25" si="9">H23+H24</f>
        <v>3619.4319999999971</v>
      </c>
      <c r="I25" s="219">
        <f t="shared" ref="I25:J25" si="10">I23+I24</f>
        <v>3215.9839999999986</v>
      </c>
      <c r="J25" s="219">
        <f t="shared" si="10"/>
        <v>4347.2159999999985</v>
      </c>
    </row>
    <row r="26" spans="2:13">
      <c r="D26" s="158"/>
      <c r="E26" s="158"/>
      <c r="F26" s="158"/>
      <c r="G26" s="158"/>
      <c r="H26" s="158"/>
      <c r="I26" s="158"/>
      <c r="J26" s="158"/>
    </row>
    <row r="27" spans="2:13">
      <c r="B27" t="s">
        <v>399</v>
      </c>
      <c r="D27" s="158">
        <f>(748.7*-1)*1.16</f>
        <v>-868.49199999999996</v>
      </c>
      <c r="E27" s="158">
        <f>(571*-1)*1.16</f>
        <v>-662.3599999999999</v>
      </c>
      <c r="F27" s="158">
        <f>(719.4*-1)*1.16</f>
        <v>-834.50399999999991</v>
      </c>
      <c r="G27" s="158">
        <f>(923.2*-1)*1.16</f>
        <v>-1070.912</v>
      </c>
      <c r="H27" s="158">
        <f>(1059.5*-1)*1.16</f>
        <v>-1229.02</v>
      </c>
      <c r="I27" s="158">
        <f>(1214.4*-1)*1.16</f>
        <v>-1408.704</v>
      </c>
      <c r="J27" s="158">
        <f>(1373.4*-1)*1.16</f>
        <v>-1593.144</v>
      </c>
      <c r="K27" s="111"/>
      <c r="L27" s="111"/>
    </row>
    <row r="28" spans="2:13">
      <c r="B28" s="30" t="s">
        <v>66</v>
      </c>
      <c r="C28" s="30"/>
      <c r="D28" s="219">
        <f>D25+D27</f>
        <v>1307.7839999999999</v>
      </c>
      <c r="E28" s="219">
        <f t="shared" ref="E28" si="11">E25+E27</f>
        <v>-973.70399999999995</v>
      </c>
      <c r="F28" s="219">
        <f t="shared" ref="F28" si="12">F25+F27</f>
        <v>-393.9360000000006</v>
      </c>
      <c r="G28" s="219">
        <f t="shared" ref="G28" si="13">G25+G27</f>
        <v>1673.4160000000013</v>
      </c>
      <c r="H28" s="219">
        <f t="shared" ref="H28" si="14">H25+H27</f>
        <v>2390.4119999999971</v>
      </c>
      <c r="I28" s="219">
        <f t="shared" ref="I28:J28" si="15">I25+I27</f>
        <v>1807.2799999999986</v>
      </c>
      <c r="J28" s="219">
        <f t="shared" si="15"/>
        <v>2754.0719999999983</v>
      </c>
      <c r="K28" s="111"/>
      <c r="L28" s="111"/>
      <c r="M28" s="111"/>
    </row>
    <row r="29" spans="2:13">
      <c r="D29" s="158"/>
      <c r="E29" s="158"/>
      <c r="F29" s="158"/>
      <c r="G29" s="158"/>
      <c r="H29" s="158"/>
      <c r="I29" s="158"/>
      <c r="J29" s="158"/>
    </row>
    <row r="30" spans="2:13">
      <c r="B30" t="s">
        <v>697</v>
      </c>
      <c r="D30" s="158">
        <f>(457.1*-1)*1.16</f>
        <v>-530.23599999999999</v>
      </c>
      <c r="E30" s="158">
        <f>(269.3*-1)*1.16</f>
        <v>-312.38799999999998</v>
      </c>
      <c r="F30" s="158">
        <f>(90.2*-1)*1.16</f>
        <v>-104.63199999999999</v>
      </c>
      <c r="G30" s="158">
        <f>(0.1*-1)*1.16</f>
        <v>-0.11599999999999999</v>
      </c>
      <c r="H30" s="158">
        <v>78.067999999999998</v>
      </c>
      <c r="I30" s="158">
        <v>262.62399999999997</v>
      </c>
      <c r="J30" s="158">
        <v>56.955999999999996</v>
      </c>
    </row>
    <row r="31" spans="2:13">
      <c r="B31" s="30" t="s">
        <v>698</v>
      </c>
      <c r="C31" s="30"/>
      <c r="D31" s="219">
        <f>D28+D30</f>
        <v>777.54799999999989</v>
      </c>
      <c r="E31" s="219">
        <f t="shared" ref="E31" si="16">E28+E30</f>
        <v>-1286.0919999999999</v>
      </c>
      <c r="F31" s="219">
        <f t="shared" ref="F31" si="17">F28+F30</f>
        <v>-498.56800000000061</v>
      </c>
      <c r="G31" s="219">
        <f t="shared" ref="G31" si="18">G28+G30</f>
        <v>1673.3000000000013</v>
      </c>
      <c r="H31" s="219">
        <f t="shared" ref="H31" si="19">H28+H30</f>
        <v>2468.4799999999973</v>
      </c>
      <c r="I31" s="219">
        <f t="shared" ref="I31:J31" si="20">I28+I30</f>
        <v>2069.9039999999986</v>
      </c>
      <c r="J31" s="219">
        <f t="shared" si="20"/>
        <v>2811.0279999999984</v>
      </c>
    </row>
    <row r="32" spans="2:13">
      <c r="D32" s="158"/>
      <c r="E32" s="158"/>
      <c r="F32" s="158"/>
      <c r="G32" s="158"/>
      <c r="H32" s="158"/>
      <c r="I32" s="158"/>
      <c r="J32" s="158"/>
    </row>
    <row r="33" spans="2:12">
      <c r="B33" t="s">
        <v>699</v>
      </c>
      <c r="D33" s="158">
        <f>(21.6*-1)*1.16</f>
        <v>-25.056000000000001</v>
      </c>
      <c r="E33" s="158">
        <f>(93.6)*1.16</f>
        <v>108.57599999999998</v>
      </c>
      <c r="F33" s="158">
        <f>(189)*1.16</f>
        <v>219.23999999999998</v>
      </c>
      <c r="G33" s="158">
        <f>(128.7*-1)*1.16</f>
        <v>-149.29199999999997</v>
      </c>
      <c r="H33" s="158">
        <f>(210.9*-1)*1.16</f>
        <v>-244.64399999999998</v>
      </c>
      <c r="I33" s="158">
        <f>(172.8*-1)*1.16</f>
        <v>-200.44800000000001</v>
      </c>
      <c r="J33" s="158">
        <f>(249.6*-1)*1.16</f>
        <v>-289.536</v>
      </c>
    </row>
    <row r="34" spans="2:12" ht="15" thickBot="1">
      <c r="B34" s="31" t="s">
        <v>29</v>
      </c>
      <c r="C34" s="31"/>
      <c r="D34" s="318">
        <f>D31+D33</f>
        <v>752.49199999999985</v>
      </c>
      <c r="E34" s="318">
        <f t="shared" ref="E34" si="21">E31+E33</f>
        <v>-1177.5159999999998</v>
      </c>
      <c r="F34" s="318">
        <f t="shared" ref="F34" si="22">F31+F33</f>
        <v>-279.32800000000066</v>
      </c>
      <c r="G34" s="318">
        <f t="shared" ref="G34" si="23">G31+G33</f>
        <v>1524.0080000000014</v>
      </c>
      <c r="H34" s="318">
        <f t="shared" ref="H34" si="24">H31+H33</f>
        <v>2223.8359999999975</v>
      </c>
      <c r="I34" s="318">
        <f t="shared" ref="I34:J34" si="25">I31+I33</f>
        <v>1869.4559999999985</v>
      </c>
      <c r="J34" s="318">
        <f t="shared" si="25"/>
        <v>2521.4919999999984</v>
      </c>
    </row>
    <row r="36" spans="2:12">
      <c r="B36" s="356" t="s">
        <v>624</v>
      </c>
      <c r="C36" s="54"/>
      <c r="D36" s="357">
        <v>2020</v>
      </c>
      <c r="E36" s="357">
        <f>D36+1</f>
        <v>2021</v>
      </c>
      <c r="F36" s="357">
        <f>E36+1</f>
        <v>2022</v>
      </c>
      <c r="G36" s="357">
        <f t="shared" ref="G36" si="26">F36+1</f>
        <v>2023</v>
      </c>
      <c r="H36" s="357">
        <f t="shared" ref="H36" si="27">G36+1</f>
        <v>2024</v>
      </c>
      <c r="I36" s="357">
        <f t="shared" ref="I36:J36" si="28">H36+1</f>
        <v>2025</v>
      </c>
      <c r="J36" s="357">
        <f t="shared" si="28"/>
        <v>2026</v>
      </c>
    </row>
    <row r="37" spans="2:12">
      <c r="B37" s="16" t="s">
        <v>22</v>
      </c>
      <c r="C37" s="16"/>
      <c r="D37" s="163">
        <v>15975.9</v>
      </c>
      <c r="E37" s="163">
        <v>3815.9</v>
      </c>
      <c r="F37" s="163">
        <v>7614.8</v>
      </c>
      <c r="G37" s="163">
        <v>17774.8</v>
      </c>
      <c r="H37" s="163">
        <v>19012.7</v>
      </c>
      <c r="I37" s="163">
        <v>19539.8</v>
      </c>
      <c r="J37" s="163">
        <v>20522</v>
      </c>
    </row>
    <row r="38" spans="2:12">
      <c r="B38" t="s">
        <v>696</v>
      </c>
      <c r="D38" s="158">
        <f>13725.1*-1</f>
        <v>-13725.1</v>
      </c>
      <c r="E38" s="158">
        <f>4186.7*-1</f>
        <v>-4186.7</v>
      </c>
      <c r="F38" s="158">
        <f>6224.9*-1</f>
        <v>-6224.9</v>
      </c>
      <c r="G38" s="158">
        <f>13002.2*-1</f>
        <v>-13002.2</v>
      </c>
      <c r="H38" s="158">
        <f>14099.4*-1</f>
        <v>-14099.4</v>
      </c>
      <c r="I38" s="158">
        <f>14879*-1</f>
        <v>-14879</v>
      </c>
      <c r="J38" s="158">
        <f>14854*-1</f>
        <v>-14854</v>
      </c>
    </row>
    <row r="39" spans="2:12">
      <c r="B39" s="30" t="s">
        <v>64</v>
      </c>
      <c r="C39" s="30"/>
      <c r="D39" s="219">
        <f>D37+D38</f>
        <v>2250.7999999999993</v>
      </c>
      <c r="E39" s="219">
        <f t="shared" ref="E39:I39" si="29">E37+E38</f>
        <v>-370.79999999999973</v>
      </c>
      <c r="F39" s="219">
        <f t="shared" si="29"/>
        <v>1389.9000000000005</v>
      </c>
      <c r="G39" s="219">
        <f t="shared" si="29"/>
        <v>4772.5999999999985</v>
      </c>
      <c r="H39" s="219">
        <f t="shared" si="29"/>
        <v>4913.3000000000011</v>
      </c>
      <c r="I39" s="219">
        <f t="shared" si="29"/>
        <v>4660.7999999999993</v>
      </c>
      <c r="J39" s="219">
        <f t="shared" ref="J39" si="30">J37+J38</f>
        <v>5668</v>
      </c>
    </row>
    <row r="40" spans="2:12">
      <c r="C40" s="111"/>
      <c r="D40" s="158"/>
      <c r="E40" s="158"/>
      <c r="F40" s="158"/>
      <c r="G40" s="158"/>
      <c r="H40" s="158"/>
      <c r="I40" s="158"/>
      <c r="J40" s="158"/>
    </row>
    <row r="41" spans="2:12">
      <c r="B41" t="s">
        <v>399</v>
      </c>
      <c r="D41" s="158">
        <f>2191.7*-1</f>
        <v>-2191.6999999999998</v>
      </c>
      <c r="E41" s="158">
        <f>2141.7*-1</f>
        <v>-2141.6999999999998</v>
      </c>
      <c r="F41" s="158">
        <f>1999.6*-1</f>
        <v>-1999.6</v>
      </c>
      <c r="G41" s="158">
        <f>2080.5*-1</f>
        <v>-2080.5</v>
      </c>
      <c r="H41" s="158">
        <f>2185.8*-1</f>
        <v>-2185.8000000000002</v>
      </c>
      <c r="I41" s="158">
        <f>2951.7*-1</f>
        <v>-2951.7</v>
      </c>
      <c r="J41" s="158">
        <f>3292.7*-1</f>
        <v>-3292.7</v>
      </c>
    </row>
    <row r="42" spans="2:12">
      <c r="B42" s="30" t="s">
        <v>66</v>
      </c>
      <c r="C42" s="30"/>
      <c r="D42" s="219">
        <f>D39+D41</f>
        <v>59.099999999999454</v>
      </c>
      <c r="E42" s="219">
        <f t="shared" ref="E42:I42" si="31">E39+E41</f>
        <v>-2512.4999999999995</v>
      </c>
      <c r="F42" s="219">
        <f t="shared" si="31"/>
        <v>-609.69999999999936</v>
      </c>
      <c r="G42" s="219">
        <f t="shared" si="31"/>
        <v>2692.0999999999985</v>
      </c>
      <c r="H42" s="219">
        <f t="shared" si="31"/>
        <v>2727.5000000000009</v>
      </c>
      <c r="I42" s="219">
        <f t="shared" si="31"/>
        <v>1709.0999999999995</v>
      </c>
      <c r="J42" s="219">
        <f t="shared" ref="J42" si="32">J39+J41</f>
        <v>2375.3000000000002</v>
      </c>
    </row>
    <row r="43" spans="2:12">
      <c r="D43" s="158"/>
      <c r="E43" s="158"/>
      <c r="F43" s="158"/>
      <c r="G43" s="158"/>
      <c r="H43" s="158"/>
      <c r="I43" s="158"/>
      <c r="J43" s="158"/>
      <c r="K43" s="111"/>
      <c r="L43" s="111"/>
    </row>
    <row r="44" spans="2:12">
      <c r="B44" t="s">
        <v>697</v>
      </c>
      <c r="D44" s="158">
        <f>279.3*-1</f>
        <v>-279.3</v>
      </c>
      <c r="E44" s="158">
        <f>2444.7*-1</f>
        <v>-2444.6999999999998</v>
      </c>
      <c r="F44" s="158">
        <f>480.3*-1</f>
        <v>-480.3</v>
      </c>
      <c r="G44" s="158">
        <f>55.3*-1</f>
        <v>-55.3</v>
      </c>
      <c r="H44" s="158">
        <v>309.60000000000002</v>
      </c>
      <c r="I44" s="158">
        <f>1255.7</f>
        <v>1255.7</v>
      </c>
      <c r="J44" s="158">
        <f>757.8*-1</f>
        <v>-757.8</v>
      </c>
      <c r="K44" s="111"/>
      <c r="L44" s="111"/>
    </row>
    <row r="45" spans="2:12">
      <c r="B45" s="30" t="s">
        <v>698</v>
      </c>
      <c r="C45" s="30"/>
      <c r="D45" s="219">
        <f>D42+D44</f>
        <v>-220.20000000000056</v>
      </c>
      <c r="E45" s="219">
        <f t="shared" ref="E45:I45" si="33">E42+E44</f>
        <v>-4957.1999999999989</v>
      </c>
      <c r="F45" s="219">
        <f t="shared" si="33"/>
        <v>-1089.9999999999993</v>
      </c>
      <c r="G45" s="219">
        <f t="shared" si="33"/>
        <v>2636.7999999999984</v>
      </c>
      <c r="H45" s="219">
        <f t="shared" si="33"/>
        <v>3037.1000000000008</v>
      </c>
      <c r="I45" s="219">
        <f t="shared" si="33"/>
        <v>2964.7999999999993</v>
      </c>
      <c r="J45" s="219">
        <f t="shared" ref="J45" si="34">J42+J44</f>
        <v>1617.5000000000002</v>
      </c>
    </row>
    <row r="46" spans="2:12">
      <c r="D46" s="158"/>
      <c r="E46" s="158"/>
      <c r="F46" s="158"/>
      <c r="G46" s="158"/>
      <c r="H46" s="158"/>
      <c r="I46" s="158"/>
      <c r="J46" s="158"/>
    </row>
    <row r="47" spans="2:12">
      <c r="B47" t="s">
        <v>699</v>
      </c>
      <c r="D47" s="158">
        <v>50.8</v>
      </c>
      <c r="E47" s="158">
        <v>673.8</v>
      </c>
      <c r="F47" s="158">
        <v>141.9</v>
      </c>
      <c r="G47" s="158">
        <f>473.5*-1</f>
        <v>-473.5</v>
      </c>
      <c r="H47" s="158">
        <f>342*-1</f>
        <v>-342</v>
      </c>
      <c r="I47" s="158">
        <f>152.6*-1</f>
        <v>-152.6</v>
      </c>
      <c r="J47" s="158">
        <f>394.5*-1</f>
        <v>-394.5</v>
      </c>
      <c r="K47" s="111"/>
    </row>
    <row r="48" spans="2:12" ht="15" thickBot="1">
      <c r="B48" s="31" t="s">
        <v>29</v>
      </c>
      <c r="C48" s="31"/>
      <c r="D48" s="318">
        <f>D45+D47</f>
        <v>-169.40000000000055</v>
      </c>
      <c r="E48" s="318">
        <f t="shared" ref="E48:I48" si="35">E45+E47</f>
        <v>-4283.3999999999987</v>
      </c>
      <c r="F48" s="318">
        <f t="shared" si="35"/>
        <v>-948.09999999999934</v>
      </c>
      <c r="G48" s="318">
        <f t="shared" si="35"/>
        <v>2163.2999999999984</v>
      </c>
      <c r="H48" s="318">
        <f t="shared" si="35"/>
        <v>2695.1000000000008</v>
      </c>
      <c r="I48" s="318">
        <f t="shared" si="35"/>
        <v>2812.1999999999994</v>
      </c>
      <c r="J48" s="318">
        <f t="shared" ref="J48" si="36">J45+J47</f>
        <v>1223.0000000000002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A97E5-497A-41AA-839B-96752D756F73}">
  <dimension ref="B2:D8"/>
  <sheetViews>
    <sheetView showGridLines="0" workbookViewId="0">
      <selection activeCell="B12" sqref="B12"/>
    </sheetView>
  </sheetViews>
  <sheetFormatPr defaultRowHeight="14.4"/>
  <cols>
    <col min="1" max="1" width="1.88671875" customWidth="1"/>
    <col min="2" max="2" width="34.77734375" bestFit="1" customWidth="1"/>
    <col min="3" max="3" width="12.21875" style="3" customWidth="1"/>
    <col min="4" max="4" width="123.6640625" style="300" customWidth="1"/>
  </cols>
  <sheetData>
    <row r="2" spans="2:4" ht="15.6">
      <c r="B2" s="7" t="s">
        <v>739</v>
      </c>
    </row>
    <row r="4" spans="2:4" ht="12" customHeight="1">
      <c r="B4" s="289" t="s">
        <v>736</v>
      </c>
      <c r="C4" s="289" t="s">
        <v>621</v>
      </c>
      <c r="D4" s="289" t="s">
        <v>737</v>
      </c>
    </row>
    <row r="5" spans="2:4" ht="73.8" customHeight="1">
      <c r="B5" s="402" t="s">
        <v>740</v>
      </c>
      <c r="C5" s="403" t="s">
        <v>741</v>
      </c>
      <c r="D5" s="404" t="s">
        <v>838</v>
      </c>
    </row>
    <row r="6" spans="2:4" ht="74.400000000000006" customHeight="1">
      <c r="B6" s="402" t="s">
        <v>622</v>
      </c>
      <c r="C6" s="403" t="s">
        <v>623</v>
      </c>
      <c r="D6" s="404" t="s">
        <v>839</v>
      </c>
    </row>
    <row r="7" spans="2:4" ht="84.6" customHeight="1">
      <c r="B7" s="402" t="s">
        <v>624</v>
      </c>
      <c r="C7" s="403" t="s">
        <v>738</v>
      </c>
      <c r="D7" s="404" t="s">
        <v>840</v>
      </c>
    </row>
    <row r="8" spans="2:4" ht="12"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79C47-0E24-4183-BAD5-DA47A957C63B}">
  <sheetPr>
    <tabColor rgb="FFFF0000"/>
  </sheetPr>
  <dimension ref="B2:P68"/>
  <sheetViews>
    <sheetView showGridLines="0" topLeftCell="C1" zoomScaleNormal="100" workbookViewId="0">
      <pane ySplit="10" topLeftCell="A13" activePane="bottomLeft" state="frozen"/>
      <selection pane="bottomLeft" activeCell="J26" sqref="J26:O26"/>
    </sheetView>
  </sheetViews>
  <sheetFormatPr defaultRowHeight="14.4"/>
  <cols>
    <col min="1" max="1" width="1.88671875" customWidth="1"/>
    <col min="2" max="2" width="60.77734375" customWidth="1"/>
    <col min="3" max="3" width="15" customWidth="1"/>
    <col min="4" max="14" width="12.77734375" customWidth="1"/>
    <col min="15" max="15" width="13.21875" customWidth="1"/>
    <col min="16" max="16" width="11.6640625" bestFit="1" customWidth="1"/>
  </cols>
  <sheetData>
    <row r="2" spans="2:15" ht="21">
      <c r="B2" s="282" t="str">
        <f>'Control Sheet'!B2</f>
        <v xml:space="preserve">InterGlobe Aviation </v>
      </c>
    </row>
    <row r="3" spans="2:15" ht="21">
      <c r="B3" s="76" t="s">
        <v>59</v>
      </c>
    </row>
    <row r="4" spans="2:15">
      <c r="B4" s="4" t="s">
        <v>5</v>
      </c>
    </row>
    <row r="6" spans="2:15" ht="21">
      <c r="B6" s="1" t="s">
        <v>320</v>
      </c>
    </row>
    <row r="7" spans="2:15" ht="18">
      <c r="B7" s="2" t="s">
        <v>59</v>
      </c>
    </row>
    <row r="8" spans="2:15">
      <c r="B8" s="4" t="s">
        <v>5</v>
      </c>
    </row>
    <row r="10" spans="2:15">
      <c r="B10" s="77" t="s">
        <v>160</v>
      </c>
      <c r="C10" s="77"/>
      <c r="D10" s="78">
        <v>2015</v>
      </c>
      <c r="E10" s="78">
        <f>D10+1</f>
        <v>2016</v>
      </c>
      <c r="F10" s="78">
        <f t="shared" ref="F10:N10" si="0">E10+1</f>
        <v>2017</v>
      </c>
      <c r="G10" s="78">
        <f t="shared" si="0"/>
        <v>2018</v>
      </c>
      <c r="H10" s="78">
        <f t="shared" si="0"/>
        <v>2019</v>
      </c>
      <c r="I10" s="78">
        <f t="shared" si="0"/>
        <v>2020</v>
      </c>
      <c r="J10" s="78">
        <f t="shared" si="0"/>
        <v>2021</v>
      </c>
      <c r="K10" s="78">
        <f t="shared" si="0"/>
        <v>2022</v>
      </c>
      <c r="L10" s="78">
        <f t="shared" si="0"/>
        <v>2023</v>
      </c>
      <c r="M10" s="78">
        <f t="shared" si="0"/>
        <v>2024</v>
      </c>
      <c r="N10" s="78">
        <f t="shared" si="0"/>
        <v>2025</v>
      </c>
      <c r="O10" s="78">
        <f t="shared" ref="O10" si="1">N10+1</f>
        <v>2026</v>
      </c>
    </row>
    <row r="11" spans="2:15">
      <c r="B11" s="16"/>
    </row>
    <row r="12" spans="2:15">
      <c r="B12" t="s">
        <v>161</v>
      </c>
      <c r="D12" s="79">
        <v>139253.35999999999</v>
      </c>
      <c r="E12" s="79">
        <v>161399.09</v>
      </c>
      <c r="F12" s="79">
        <v>185805</v>
      </c>
      <c r="G12" s="80">
        <v>230208.87</v>
      </c>
      <c r="H12" s="80">
        <v>284967.71999999997</v>
      </c>
      <c r="I12" s="79">
        <v>357560.01</v>
      </c>
      <c r="J12" s="79">
        <v>146406.31</v>
      </c>
      <c r="K12" s="79">
        <v>259309.27</v>
      </c>
      <c r="L12" s="79">
        <v>544464.53</v>
      </c>
      <c r="M12" s="79">
        <v>689043</v>
      </c>
      <c r="N12" s="79">
        <v>808029</v>
      </c>
      <c r="O12" s="79">
        <v>849619</v>
      </c>
    </row>
    <row r="13" spans="2:15" ht="15" thickBot="1">
      <c r="B13" s="31" t="s">
        <v>163</v>
      </c>
      <c r="C13" s="31"/>
      <c r="D13" s="81">
        <f>D12</f>
        <v>139253.35999999999</v>
      </c>
      <c r="E13" s="81">
        <f t="shared" ref="E13:O13" si="2">E12</f>
        <v>161399.09</v>
      </c>
      <c r="F13" s="81">
        <f t="shared" si="2"/>
        <v>185805</v>
      </c>
      <c r="G13" s="81">
        <f t="shared" si="2"/>
        <v>230208.87</v>
      </c>
      <c r="H13" s="81">
        <f t="shared" si="2"/>
        <v>284967.71999999997</v>
      </c>
      <c r="I13" s="81">
        <f t="shared" si="2"/>
        <v>357560.01</v>
      </c>
      <c r="J13" s="81">
        <f t="shared" si="2"/>
        <v>146406.31</v>
      </c>
      <c r="K13" s="81">
        <f t="shared" si="2"/>
        <v>259309.27</v>
      </c>
      <c r="L13" s="81">
        <f t="shared" si="2"/>
        <v>544464.53</v>
      </c>
      <c r="M13" s="81">
        <f t="shared" si="2"/>
        <v>689043</v>
      </c>
      <c r="N13" s="81">
        <f t="shared" si="2"/>
        <v>808029</v>
      </c>
      <c r="O13" s="81">
        <f t="shared" si="2"/>
        <v>849619</v>
      </c>
    </row>
    <row r="14" spans="2:15">
      <c r="D14" s="79"/>
      <c r="E14" s="79"/>
      <c r="F14" s="79"/>
      <c r="G14" s="79"/>
      <c r="H14" s="79"/>
      <c r="I14" s="79"/>
      <c r="J14" s="79"/>
      <c r="K14" s="79"/>
      <c r="L14" s="79"/>
      <c r="M14" s="79"/>
      <c r="N14" s="79" t="s">
        <v>164</v>
      </c>
    </row>
    <row r="15" spans="2:15">
      <c r="B15" s="24" t="s">
        <v>69</v>
      </c>
      <c r="C15" s="24"/>
      <c r="D15" s="126" t="str">
        <f t="shared" ref="D15:M15" si="3">IFERROR(D12/C12-1,"NM")</f>
        <v>NM</v>
      </c>
      <c r="E15" s="127">
        <f t="shared" si="3"/>
        <v>0.15903192569285229</v>
      </c>
      <c r="F15" s="127">
        <f t="shared" si="3"/>
        <v>0.15121466917812243</v>
      </c>
      <c r="G15" s="127">
        <f t="shared" si="3"/>
        <v>0.23898102849761838</v>
      </c>
      <c r="H15" s="127">
        <f t="shared" si="3"/>
        <v>0.23786594321930332</v>
      </c>
      <c r="I15" s="127">
        <f t="shared" si="3"/>
        <v>0.25473864197671237</v>
      </c>
      <c r="J15" s="127">
        <f t="shared" si="3"/>
        <v>-0.59054059205334508</v>
      </c>
      <c r="K15" s="127">
        <f t="shared" si="3"/>
        <v>0.77116184404893473</v>
      </c>
      <c r="L15" s="127">
        <f t="shared" si="3"/>
        <v>1.0996724490412553</v>
      </c>
      <c r="M15" s="127">
        <f t="shared" si="3"/>
        <v>0.26554249548634501</v>
      </c>
      <c r="N15" s="127">
        <f>IFERROR(N12/M12-1,"NM")</f>
        <v>0.17268298204901589</v>
      </c>
      <c r="O15" s="127">
        <f>IFERROR(O12/N12-1,"NM")</f>
        <v>5.1470924929674533E-2</v>
      </c>
    </row>
    <row r="16" spans="2:15">
      <c r="D16" s="79"/>
      <c r="E16" s="79"/>
      <c r="F16" s="79"/>
      <c r="G16" s="79"/>
      <c r="H16" s="79"/>
      <c r="I16" s="79"/>
      <c r="J16" s="79"/>
      <c r="K16" s="79"/>
      <c r="L16" s="79"/>
      <c r="M16" s="79"/>
      <c r="N16" s="79"/>
    </row>
    <row r="17" spans="2:16">
      <c r="B17" s="16" t="s">
        <v>165</v>
      </c>
      <c r="D17" s="79"/>
      <c r="E17" s="79"/>
      <c r="F17" s="79"/>
      <c r="G17" s="80"/>
      <c r="H17" s="80"/>
      <c r="I17" s="79"/>
      <c r="J17" s="79"/>
      <c r="K17" s="79"/>
      <c r="L17" s="79"/>
      <c r="M17" s="79"/>
      <c r="N17" s="79"/>
    </row>
    <row r="18" spans="2:16">
      <c r="B18" t="s">
        <v>166</v>
      </c>
      <c r="D18" s="80">
        <v>57484.86</v>
      </c>
      <c r="E18" s="80">
        <v>47793.24</v>
      </c>
      <c r="F18" s="80">
        <v>63415.13</v>
      </c>
      <c r="G18" s="79">
        <v>77601.36</v>
      </c>
      <c r="H18" s="79">
        <v>119427.93</v>
      </c>
      <c r="I18" s="79">
        <v>124537.94</v>
      </c>
      <c r="J18" s="79">
        <v>38312.769999999997</v>
      </c>
      <c r="K18" s="79">
        <v>96952.36</v>
      </c>
      <c r="L18" s="79">
        <v>236460.17</v>
      </c>
      <c r="M18" s="79">
        <v>239046</v>
      </c>
      <c r="N18" s="79">
        <v>261973</v>
      </c>
      <c r="O18" s="79">
        <v>253892</v>
      </c>
      <c r="P18" t="s">
        <v>164</v>
      </c>
    </row>
    <row r="19" spans="2:16">
      <c r="B19" t="s">
        <v>167</v>
      </c>
      <c r="D19" s="79">
        <v>19522.38</v>
      </c>
      <c r="E19" s="79">
        <v>26121.52</v>
      </c>
      <c r="F19" s="79">
        <v>31253.73</v>
      </c>
      <c r="G19" s="80">
        <v>36101.99</v>
      </c>
      <c r="H19" s="80">
        <v>49994.49</v>
      </c>
      <c r="I19" s="79">
        <v>4966.57</v>
      </c>
      <c r="J19" s="79">
        <v>2804.57</v>
      </c>
      <c r="K19" s="79">
        <v>3116.84</v>
      </c>
      <c r="L19" s="79">
        <v>3258.4</v>
      </c>
      <c r="M19" s="79">
        <v>10752</v>
      </c>
      <c r="N19" s="79">
        <v>30103</v>
      </c>
      <c r="O19" s="79">
        <v>20847</v>
      </c>
    </row>
    <row r="20" spans="2:16">
      <c r="B20" t="s">
        <v>168</v>
      </c>
      <c r="D20" s="79">
        <v>0</v>
      </c>
      <c r="E20" s="79">
        <v>0</v>
      </c>
      <c r="F20" s="79">
        <v>0</v>
      </c>
      <c r="G20" s="79">
        <v>0</v>
      </c>
      <c r="H20" s="79">
        <v>0</v>
      </c>
      <c r="I20" s="79">
        <v>58672.37</v>
      </c>
      <c r="J20" s="79">
        <v>41912.6</v>
      </c>
      <c r="K20" s="79">
        <v>60897.84</v>
      </c>
      <c r="L20" s="79">
        <v>80449.600000000006</v>
      </c>
      <c r="M20" s="79">
        <v>99316</v>
      </c>
      <c r="N20" s="79">
        <v>112185</v>
      </c>
      <c r="O20" s="79">
        <v>129121</v>
      </c>
    </row>
    <row r="21" spans="2:16">
      <c r="B21" t="s">
        <v>169</v>
      </c>
      <c r="D21" s="79"/>
      <c r="E21" s="79"/>
      <c r="F21" s="79"/>
      <c r="G21" s="80"/>
      <c r="H21" s="80"/>
      <c r="I21" s="79">
        <v>29116.84</v>
      </c>
      <c r="J21" s="79">
        <v>16128.84</v>
      </c>
      <c r="K21" s="79">
        <v>22868.37</v>
      </c>
      <c r="L21" s="79">
        <v>36468</v>
      </c>
      <c r="M21" s="79">
        <v>46239</v>
      </c>
      <c r="N21" s="79">
        <v>57531</v>
      </c>
      <c r="O21" s="79">
        <v>65482</v>
      </c>
    </row>
    <row r="22" spans="2:16">
      <c r="B22" t="s">
        <v>170</v>
      </c>
      <c r="D22" s="79">
        <v>817.1</v>
      </c>
      <c r="E22" s="79">
        <v>1147.82</v>
      </c>
      <c r="F22" s="80">
        <v>1238.32</v>
      </c>
      <c r="G22" s="79">
        <v>1238.76</v>
      </c>
      <c r="H22" s="79">
        <v>1397.95</v>
      </c>
      <c r="I22" s="79">
        <v>1809.08</v>
      </c>
      <c r="J22" s="79">
        <v>543.21</v>
      </c>
      <c r="K22" s="79">
        <v>1181.42</v>
      </c>
      <c r="L22" s="79">
        <v>2872.44</v>
      </c>
      <c r="M22" s="79">
        <v>3369</v>
      </c>
      <c r="N22" s="79">
        <v>3834</v>
      </c>
      <c r="O22" s="79">
        <v>4963</v>
      </c>
    </row>
    <row r="23" spans="2:16">
      <c r="B23" t="s">
        <v>171</v>
      </c>
      <c r="D23" s="79">
        <v>0</v>
      </c>
      <c r="E23" s="79">
        <v>0</v>
      </c>
      <c r="F23" s="79">
        <v>0</v>
      </c>
      <c r="G23" s="80">
        <v>516.16999999999996</v>
      </c>
      <c r="H23" s="80">
        <v>4674.87</v>
      </c>
      <c r="I23" s="79">
        <v>15461.89</v>
      </c>
      <c r="J23" s="79">
        <v>-5230.26</v>
      </c>
      <c r="K23" s="79">
        <v>9408.3799999999992</v>
      </c>
      <c r="L23" s="79">
        <v>29597.73</v>
      </c>
      <c r="M23" s="79">
        <v>7174</v>
      </c>
      <c r="N23" s="79">
        <v>16179</v>
      </c>
      <c r="O23" s="79">
        <v>89757</v>
      </c>
    </row>
    <row r="24" spans="2:16">
      <c r="B24" t="s">
        <v>172</v>
      </c>
      <c r="D24" s="80">
        <v>-31.72</v>
      </c>
      <c r="E24" s="80">
        <v>-11.32</v>
      </c>
      <c r="F24" s="79">
        <v>-2.94</v>
      </c>
      <c r="G24" s="80">
        <v>12.65</v>
      </c>
      <c r="H24" s="80">
        <v>-6.55</v>
      </c>
      <c r="I24" s="79">
        <v>-30.53</v>
      </c>
      <c r="J24" s="79">
        <v>11.61</v>
      </c>
      <c r="K24" s="79">
        <v>-16.77</v>
      </c>
      <c r="L24" s="79">
        <v>-12.44</v>
      </c>
      <c r="M24" s="79">
        <v>54</v>
      </c>
      <c r="N24" s="79">
        <v>-2</v>
      </c>
      <c r="O24" s="79">
        <v>-14</v>
      </c>
    </row>
    <row r="25" spans="2:16">
      <c r="B25" s="6" t="s">
        <v>173</v>
      </c>
      <c r="C25" s="6"/>
      <c r="D25" s="129">
        <f>SUM(D18:D24)</f>
        <v>77792.62000000001</v>
      </c>
      <c r="E25" s="129">
        <f t="shared" ref="E25:O25" si="4">SUM(E18:E24)</f>
        <v>75051.259999999995</v>
      </c>
      <c r="F25" s="129">
        <f t="shared" si="4"/>
        <v>95904.24</v>
      </c>
      <c r="G25" s="129">
        <f t="shared" si="4"/>
        <v>115470.93</v>
      </c>
      <c r="H25" s="129">
        <f t="shared" si="4"/>
        <v>175488.69</v>
      </c>
      <c r="I25" s="129">
        <f t="shared" si="4"/>
        <v>234534.16</v>
      </c>
      <c r="J25" s="129">
        <f t="shared" si="4"/>
        <v>94483.340000000011</v>
      </c>
      <c r="K25" s="129">
        <f t="shared" si="4"/>
        <v>194408.44</v>
      </c>
      <c r="L25" s="129">
        <f t="shared" si="4"/>
        <v>389093.9</v>
      </c>
      <c r="M25" s="129">
        <f t="shared" si="4"/>
        <v>405950</v>
      </c>
      <c r="N25" s="129">
        <f t="shared" si="4"/>
        <v>481803</v>
      </c>
      <c r="O25" s="129">
        <f t="shared" si="4"/>
        <v>564048</v>
      </c>
    </row>
    <row r="26" spans="2:16">
      <c r="D26" s="125"/>
      <c r="E26" s="125"/>
      <c r="F26" s="125"/>
      <c r="G26" s="125"/>
      <c r="H26" s="125"/>
      <c r="I26" s="125"/>
      <c r="J26" s="317">
        <f>J25/J12</f>
        <v>0.64535019016598405</v>
      </c>
      <c r="K26" s="317">
        <f t="shared" ref="K26:O26" si="5">K25/K12</f>
        <v>0.74971650647121102</v>
      </c>
      <c r="L26" s="317">
        <f t="shared" si="5"/>
        <v>0.71463590107513519</v>
      </c>
      <c r="M26" s="317">
        <f t="shared" si="5"/>
        <v>0.58915045940529109</v>
      </c>
      <c r="N26" s="317">
        <f t="shared" si="5"/>
        <v>0.59626944082452482</v>
      </c>
      <c r="O26" s="317">
        <f t="shared" si="5"/>
        <v>0.66388345835015461</v>
      </c>
    </row>
    <row r="27" spans="2:16">
      <c r="B27" s="32" t="s">
        <v>303</v>
      </c>
      <c r="C27" s="32"/>
      <c r="D27" s="128">
        <f t="shared" ref="D27:N27" si="6">D25/D12</f>
        <v>0.55864088306379123</v>
      </c>
      <c r="E27" s="128">
        <f t="shared" si="6"/>
        <v>0.46500423267566127</v>
      </c>
      <c r="F27" s="128">
        <f t="shared" si="6"/>
        <v>0.51615532413013643</v>
      </c>
      <c r="G27" s="128">
        <f t="shared" si="6"/>
        <v>0.50159201076830795</v>
      </c>
      <c r="H27" s="128">
        <f t="shared" si="6"/>
        <v>0.61581953913938048</v>
      </c>
      <c r="I27" s="128">
        <f t="shared" si="6"/>
        <v>0.65592950397333305</v>
      </c>
      <c r="J27" s="128">
        <f t="shared" si="6"/>
        <v>0.64535019016598405</v>
      </c>
      <c r="K27" s="128">
        <f t="shared" si="6"/>
        <v>0.74971650647121102</v>
      </c>
      <c r="L27" s="128">
        <f t="shared" si="6"/>
        <v>0.71463590107513519</v>
      </c>
      <c r="M27" s="128">
        <f t="shared" si="6"/>
        <v>0.58915045940529109</v>
      </c>
      <c r="N27" s="128">
        <f t="shared" si="6"/>
        <v>0.59626944082452482</v>
      </c>
      <c r="O27" s="128">
        <f>O25/O12</f>
        <v>0.66388345835015461</v>
      </c>
    </row>
    <row r="28" spans="2:16">
      <c r="B28" s="24" t="s">
        <v>304</v>
      </c>
      <c r="C28" s="24"/>
      <c r="D28" s="131">
        <f t="shared" ref="D28:N28" si="7">D22/D12</f>
        <v>5.867721970945621E-3</v>
      </c>
      <c r="E28" s="131">
        <f t="shared" si="7"/>
        <v>7.1116881761848841E-3</v>
      </c>
      <c r="F28" s="131">
        <f t="shared" si="7"/>
        <v>6.6646215118000051E-3</v>
      </c>
      <c r="G28" s="131">
        <f t="shared" si="7"/>
        <v>5.3810263696616031E-3</v>
      </c>
      <c r="H28" s="131">
        <f t="shared" si="7"/>
        <v>4.9056433479553411E-3</v>
      </c>
      <c r="I28" s="131">
        <f t="shared" si="7"/>
        <v>5.0595143455779631E-3</v>
      </c>
      <c r="J28" s="131">
        <f t="shared" si="7"/>
        <v>3.7102909020792891E-3</v>
      </c>
      <c r="K28" s="131">
        <f t="shared" si="7"/>
        <v>4.5560268632124108E-3</v>
      </c>
      <c r="L28" s="131">
        <f t="shared" si="7"/>
        <v>5.2757155732440454E-3</v>
      </c>
      <c r="M28" s="131">
        <f t="shared" si="7"/>
        <v>4.8893900670930555E-3</v>
      </c>
      <c r="N28" s="131">
        <f t="shared" si="7"/>
        <v>4.7448792060680988E-3</v>
      </c>
      <c r="O28" s="131">
        <f t="shared" ref="O28" si="8">O22/O12</f>
        <v>5.8414418698263578E-3</v>
      </c>
    </row>
    <row r="29" spans="2:16">
      <c r="B29" s="24" t="s">
        <v>305</v>
      </c>
      <c r="C29" s="24"/>
      <c r="D29" s="131">
        <f t="shared" ref="D29:N29" si="9">D24/D12</f>
        <v>-2.2778624515774703E-4</v>
      </c>
      <c r="E29" s="131">
        <f t="shared" si="9"/>
        <v>-7.0136702753404616E-5</v>
      </c>
      <c r="F29" s="131">
        <f t="shared" si="9"/>
        <v>-1.5823040284168885E-5</v>
      </c>
      <c r="G29" s="131">
        <f t="shared" si="9"/>
        <v>5.4950098143481617E-5</v>
      </c>
      <c r="H29" s="131">
        <f t="shared" si="9"/>
        <v>-2.2985059500774334E-5</v>
      </c>
      <c r="I29" s="131">
        <f t="shared" si="9"/>
        <v>-8.5384268783301573E-5</v>
      </c>
      <c r="J29" s="131">
        <f t="shared" si="9"/>
        <v>7.9299860777858552E-5</v>
      </c>
      <c r="K29" s="131">
        <f t="shared" si="9"/>
        <v>-6.4671810614406496E-5</v>
      </c>
      <c r="L29" s="131">
        <f t="shared" si="9"/>
        <v>-2.2848136682108566E-5</v>
      </c>
      <c r="M29" s="131">
        <f t="shared" si="9"/>
        <v>7.8369564744145147E-5</v>
      </c>
      <c r="N29" s="131">
        <f t="shared" si="9"/>
        <v>-2.4751586886114236E-6</v>
      </c>
      <c r="O29" s="131">
        <f t="shared" ref="O29" si="10">O24/O12</f>
        <v>-1.6477974244926254E-5</v>
      </c>
    </row>
    <row r="30" spans="2:16">
      <c r="D30" s="125"/>
      <c r="E30" s="125"/>
      <c r="F30" s="125"/>
      <c r="G30" s="125"/>
      <c r="H30" s="125"/>
      <c r="I30" s="125"/>
      <c r="J30" s="125"/>
      <c r="K30" s="125"/>
      <c r="L30" s="125"/>
      <c r="M30" s="125"/>
      <c r="N30" s="125"/>
    </row>
    <row r="31" spans="2:16">
      <c r="B31" s="30" t="s">
        <v>61</v>
      </c>
      <c r="C31" s="30"/>
      <c r="D31" s="130">
        <f t="shared" ref="D31:O31" si="11">D13-D25</f>
        <v>61460.739999999976</v>
      </c>
      <c r="E31" s="130">
        <f t="shared" si="11"/>
        <v>86347.83</v>
      </c>
      <c r="F31" s="130">
        <f t="shared" si="11"/>
        <v>89900.76</v>
      </c>
      <c r="G31" s="130">
        <f t="shared" si="11"/>
        <v>114737.94</v>
      </c>
      <c r="H31" s="130">
        <f t="shared" si="11"/>
        <v>109479.02999999997</v>
      </c>
      <c r="I31" s="130">
        <f t="shared" si="11"/>
        <v>123025.85</v>
      </c>
      <c r="J31" s="130">
        <f t="shared" si="11"/>
        <v>51922.969999999987</v>
      </c>
      <c r="K31" s="130">
        <f t="shared" si="11"/>
        <v>64900.829999999987</v>
      </c>
      <c r="L31" s="130">
        <f t="shared" si="11"/>
        <v>155370.63</v>
      </c>
      <c r="M31" s="130">
        <f t="shared" si="11"/>
        <v>283093</v>
      </c>
      <c r="N31" s="130">
        <f t="shared" si="11"/>
        <v>326226</v>
      </c>
      <c r="O31" s="130">
        <f t="shared" si="11"/>
        <v>285571</v>
      </c>
    </row>
    <row r="32" spans="2:16">
      <c r="B32" s="16"/>
      <c r="C32" s="16"/>
      <c r="D32" s="82"/>
      <c r="E32" s="82"/>
      <c r="F32" s="82"/>
      <c r="G32" s="82"/>
      <c r="H32" s="82"/>
      <c r="I32" s="82"/>
      <c r="J32" s="82"/>
      <c r="K32" s="82"/>
      <c r="L32" s="82"/>
      <c r="M32" s="82"/>
      <c r="N32" s="82"/>
    </row>
    <row r="33" spans="2:15">
      <c r="B33" s="24" t="s">
        <v>306</v>
      </c>
      <c r="C33" s="24"/>
      <c r="D33" s="131">
        <f t="shared" ref="D33:O33" si="12">D31/D12</f>
        <v>0.44135911693620883</v>
      </c>
      <c r="E33" s="131">
        <f t="shared" si="12"/>
        <v>0.53499576732433873</v>
      </c>
      <c r="F33" s="131">
        <f t="shared" si="12"/>
        <v>0.48384467586986352</v>
      </c>
      <c r="G33" s="131">
        <f t="shared" si="12"/>
        <v>0.49840798923169211</v>
      </c>
      <c r="H33" s="131">
        <f t="shared" si="12"/>
        <v>0.38418046086061952</v>
      </c>
      <c r="I33" s="131">
        <f t="shared" si="12"/>
        <v>0.34407049602666695</v>
      </c>
      <c r="J33" s="131">
        <f>J31/J12</f>
        <v>0.35464980983401595</v>
      </c>
      <c r="K33" s="131">
        <f t="shared" si="12"/>
        <v>0.25028349352878898</v>
      </c>
      <c r="L33" s="131">
        <f t="shared" si="12"/>
        <v>0.28536409892486475</v>
      </c>
      <c r="M33" s="131">
        <f t="shared" si="12"/>
        <v>0.41084954059470891</v>
      </c>
      <c r="N33" s="131">
        <f t="shared" si="12"/>
        <v>0.40373055917547512</v>
      </c>
      <c r="O33" s="131">
        <f t="shared" si="12"/>
        <v>0.33611654164984539</v>
      </c>
    </row>
    <row r="34" spans="2:15">
      <c r="D34" s="80"/>
      <c r="E34" s="80"/>
      <c r="F34" s="79"/>
      <c r="G34" s="80"/>
      <c r="H34" s="80"/>
      <c r="I34" s="79"/>
      <c r="J34" s="79"/>
      <c r="K34" s="79"/>
      <c r="L34" s="79"/>
      <c r="M34" s="79"/>
      <c r="N34" s="79"/>
    </row>
    <row r="35" spans="2:15">
      <c r="B35" s="16" t="s">
        <v>174</v>
      </c>
      <c r="D35" s="80"/>
      <c r="E35" s="80"/>
      <c r="F35" s="79"/>
      <c r="G35" s="80"/>
      <c r="H35" s="80"/>
      <c r="I35" s="79"/>
      <c r="J35" s="79"/>
      <c r="K35" s="79"/>
      <c r="L35" s="79"/>
      <c r="M35" s="79"/>
      <c r="N35" s="79"/>
    </row>
    <row r="36" spans="2:15">
      <c r="B36" t="s">
        <v>175</v>
      </c>
      <c r="D36" s="79">
        <v>11886.91</v>
      </c>
      <c r="E36" s="79">
        <v>17899.23</v>
      </c>
      <c r="F36" s="80">
        <v>20481.900000000001</v>
      </c>
      <c r="G36" s="79">
        <v>24550.22</v>
      </c>
      <c r="H36" s="79">
        <v>32105.57</v>
      </c>
      <c r="I36" s="79">
        <v>47099.59</v>
      </c>
      <c r="J36" s="79">
        <v>32954.92</v>
      </c>
      <c r="K36" s="79">
        <v>34864.43</v>
      </c>
      <c r="L36" s="79">
        <v>47947.519999999997</v>
      </c>
      <c r="M36" s="79">
        <v>64618</v>
      </c>
      <c r="N36" s="79">
        <v>74725</v>
      </c>
      <c r="O36" s="79">
        <v>82722</v>
      </c>
    </row>
    <row r="37" spans="2:15">
      <c r="B37" t="s">
        <v>176</v>
      </c>
      <c r="D37" s="80">
        <v>30876.97</v>
      </c>
      <c r="E37" s="80">
        <v>38393.71</v>
      </c>
      <c r="F37" s="79">
        <v>47986.239999999998</v>
      </c>
      <c r="G37" s="79">
        <v>60623.09</v>
      </c>
      <c r="H37" s="79">
        <v>79407.789999999994</v>
      </c>
      <c r="I37" s="79">
        <v>35340.04</v>
      </c>
      <c r="J37" s="79">
        <v>19104.099999999999</v>
      </c>
      <c r="K37" s="79">
        <v>24563.07</v>
      </c>
      <c r="L37" s="79">
        <v>42469.61</v>
      </c>
      <c r="M37" s="79">
        <v>55300</v>
      </c>
      <c r="N37" s="79">
        <v>70918</v>
      </c>
      <c r="O37" s="79">
        <v>83015</v>
      </c>
    </row>
    <row r="38" spans="2:15">
      <c r="D38" s="80"/>
      <c r="E38" s="80"/>
      <c r="F38" s="79"/>
      <c r="G38" s="79"/>
      <c r="H38" s="79"/>
      <c r="I38" s="79"/>
      <c r="J38" s="79"/>
      <c r="K38" s="79"/>
      <c r="L38" s="79"/>
      <c r="M38" s="79"/>
      <c r="N38" s="79"/>
    </row>
    <row r="39" spans="2:15">
      <c r="B39" s="24" t="s">
        <v>308</v>
      </c>
      <c r="C39" s="24"/>
      <c r="D39" s="137">
        <f t="shared" ref="D39:N39" si="13">D36/D12</f>
        <v>8.5361746388022533E-2</v>
      </c>
      <c r="E39" s="137">
        <f t="shared" si="13"/>
        <v>0.1109004394014861</v>
      </c>
      <c r="F39" s="137">
        <f t="shared" si="13"/>
        <v>0.11023330911439413</v>
      </c>
      <c r="G39" s="137">
        <f t="shared" si="13"/>
        <v>0.10664324098372058</v>
      </c>
      <c r="H39" s="137">
        <f t="shared" si="13"/>
        <v>0.11266388347424053</v>
      </c>
      <c r="I39" s="137">
        <f t="shared" si="13"/>
        <v>0.13172499351926967</v>
      </c>
      <c r="J39" s="137">
        <f t="shared" si="13"/>
        <v>0.22509221084801603</v>
      </c>
      <c r="K39" s="137">
        <f t="shared" si="13"/>
        <v>0.13445115170776578</v>
      </c>
      <c r="L39" s="137">
        <f t="shared" si="13"/>
        <v>8.8063624640525237E-2</v>
      </c>
      <c r="M39" s="137">
        <f t="shared" si="13"/>
        <v>9.3779343234021678E-2</v>
      </c>
      <c r="N39" s="137">
        <f t="shared" si="13"/>
        <v>9.247811650324432E-2</v>
      </c>
      <c r="O39" s="137">
        <f t="shared" ref="O39" si="14">O36/O12</f>
        <v>9.736364182062783E-2</v>
      </c>
    </row>
    <row r="40" spans="2:15">
      <c r="B40" s="24" t="s">
        <v>309</v>
      </c>
      <c r="C40" s="24"/>
      <c r="D40" s="137">
        <f t="shared" ref="D40:N40" si="15">D37/D12</f>
        <v>0.22173231583065575</v>
      </c>
      <c r="E40" s="137">
        <f t="shared" si="15"/>
        <v>0.23788058532424192</v>
      </c>
      <c r="F40" s="137">
        <f t="shared" si="15"/>
        <v>0.25826129544414844</v>
      </c>
      <c r="G40" s="137">
        <f t="shared" si="15"/>
        <v>0.26333950555423863</v>
      </c>
      <c r="H40" s="137">
        <f t="shared" si="15"/>
        <v>0.27865538595038064</v>
      </c>
      <c r="I40" s="137">
        <f t="shared" si="15"/>
        <v>9.8836668004344222E-2</v>
      </c>
      <c r="J40" s="137">
        <f t="shared" si="15"/>
        <v>0.13048686221242786</v>
      </c>
      <c r="K40" s="137">
        <f t="shared" si="15"/>
        <v>9.4724997683268322E-2</v>
      </c>
      <c r="L40" s="137">
        <f t="shared" si="15"/>
        <v>7.8002528465903914E-2</v>
      </c>
      <c r="M40" s="137">
        <f t="shared" si="15"/>
        <v>8.0256239450948633E-2</v>
      </c>
      <c r="N40" s="137">
        <f t="shared" si="15"/>
        <v>8.7766651939472473E-2</v>
      </c>
      <c r="O40" s="137">
        <f t="shared" ref="O40" si="16">O37/O12</f>
        <v>9.7708502281610932E-2</v>
      </c>
    </row>
    <row r="41" spans="2:15">
      <c r="D41" s="80"/>
      <c r="E41" s="80"/>
      <c r="F41" s="79"/>
      <c r="G41" s="79"/>
      <c r="H41" s="79"/>
      <c r="I41" s="79"/>
      <c r="J41" s="79"/>
      <c r="K41" s="79"/>
      <c r="L41" s="79"/>
      <c r="M41" s="79"/>
      <c r="N41" s="79"/>
    </row>
    <row r="42" spans="2:15">
      <c r="B42" s="29" t="s">
        <v>63</v>
      </c>
      <c r="C42" s="29"/>
      <c r="D42" s="83">
        <f>SUM(D36:D37)</f>
        <v>42763.880000000005</v>
      </c>
      <c r="E42" s="83">
        <f t="shared" ref="E42:O42" si="17">SUM(E36:E37)</f>
        <v>56292.94</v>
      </c>
      <c r="F42" s="83">
        <f t="shared" si="17"/>
        <v>68468.14</v>
      </c>
      <c r="G42" s="83">
        <f t="shared" si="17"/>
        <v>85173.31</v>
      </c>
      <c r="H42" s="83">
        <f t="shared" si="17"/>
        <v>111513.35999999999</v>
      </c>
      <c r="I42" s="83">
        <f t="shared" si="17"/>
        <v>82439.63</v>
      </c>
      <c r="J42" s="83">
        <f t="shared" si="17"/>
        <v>52059.02</v>
      </c>
      <c r="K42" s="83">
        <f t="shared" si="17"/>
        <v>59427.5</v>
      </c>
      <c r="L42" s="83">
        <f t="shared" si="17"/>
        <v>90417.13</v>
      </c>
      <c r="M42" s="83">
        <f t="shared" si="17"/>
        <v>119918</v>
      </c>
      <c r="N42" s="83">
        <f t="shared" si="17"/>
        <v>145643</v>
      </c>
      <c r="O42" s="83">
        <f t="shared" si="17"/>
        <v>165737</v>
      </c>
    </row>
    <row r="43" spans="2:15">
      <c r="B43" s="16" t="s">
        <v>64</v>
      </c>
      <c r="C43" s="16"/>
      <c r="D43" s="82">
        <f>D31-D42</f>
        <v>18696.859999999971</v>
      </c>
      <c r="E43" s="82">
        <f t="shared" ref="E43:O43" si="18">E31-E42</f>
        <v>30054.89</v>
      </c>
      <c r="F43" s="82">
        <f t="shared" si="18"/>
        <v>21432.619999999995</v>
      </c>
      <c r="G43" s="82">
        <f t="shared" si="18"/>
        <v>29564.630000000005</v>
      </c>
      <c r="H43" s="82">
        <f t="shared" si="18"/>
        <v>-2034.3300000000163</v>
      </c>
      <c r="I43" s="82">
        <f t="shared" si="18"/>
        <v>40586.22</v>
      </c>
      <c r="J43" s="82">
        <f t="shared" si="18"/>
        <v>-136.05000000001019</v>
      </c>
      <c r="K43" s="82">
        <f t="shared" si="18"/>
        <v>5473.3299999999872</v>
      </c>
      <c r="L43" s="82">
        <f t="shared" si="18"/>
        <v>64953.5</v>
      </c>
      <c r="M43" s="82">
        <f t="shared" si="18"/>
        <v>163175</v>
      </c>
      <c r="N43" s="82">
        <f t="shared" si="18"/>
        <v>180583</v>
      </c>
      <c r="O43" s="82">
        <f t="shared" si="18"/>
        <v>119834</v>
      </c>
    </row>
    <row r="44" spans="2:15">
      <c r="B44" s="16"/>
      <c r="C44" s="16"/>
      <c r="D44" s="82"/>
      <c r="E44" s="82"/>
      <c r="F44" s="82"/>
      <c r="G44" s="82"/>
      <c r="H44" s="82"/>
      <c r="I44" s="82"/>
      <c r="J44" s="82"/>
      <c r="K44" s="82"/>
      <c r="L44" s="82"/>
      <c r="M44" s="82"/>
      <c r="N44" s="82"/>
    </row>
    <row r="45" spans="2:15">
      <c r="B45" s="16" t="s">
        <v>318</v>
      </c>
      <c r="C45" s="16"/>
      <c r="D45" s="145">
        <f>D43/D12</f>
        <v>0.1342650547175305</v>
      </c>
      <c r="E45" s="145">
        <f t="shared" ref="E45:O45" si="19">E43/E12</f>
        <v>0.18621474259861068</v>
      </c>
      <c r="F45" s="145">
        <f t="shared" si="19"/>
        <v>0.11535007131132098</v>
      </c>
      <c r="G45" s="145">
        <f t="shared" si="19"/>
        <v>0.1284252426937329</v>
      </c>
      <c r="H45" s="145">
        <f t="shared" si="19"/>
        <v>-7.1388085640016223E-3</v>
      </c>
      <c r="I45" s="145">
        <f t="shared" si="19"/>
        <v>0.11350883450305307</v>
      </c>
      <c r="J45" s="145">
        <f t="shared" si="19"/>
        <v>-9.2926322642794686E-4</v>
      </c>
      <c r="K45" s="145">
        <f t="shared" si="19"/>
        <v>2.1107344137754842E-2</v>
      </c>
      <c r="L45" s="145">
        <f t="shared" si="19"/>
        <v>0.11929794581843559</v>
      </c>
      <c r="M45" s="145">
        <f t="shared" si="19"/>
        <v>0.23681395790973858</v>
      </c>
      <c r="N45" s="145">
        <f t="shared" si="19"/>
        <v>0.22348579073275834</v>
      </c>
      <c r="O45" s="145">
        <f t="shared" si="19"/>
        <v>0.14104439754760664</v>
      </c>
    </row>
    <row r="46" spans="2:15">
      <c r="D46" s="80"/>
      <c r="E46" s="80"/>
      <c r="F46" s="79"/>
      <c r="G46" s="79"/>
      <c r="H46" s="79"/>
      <c r="I46" s="79"/>
      <c r="J46" s="79"/>
      <c r="K46" s="79"/>
      <c r="L46" s="79"/>
      <c r="M46" s="79"/>
      <c r="N46" s="79"/>
    </row>
    <row r="47" spans="2:15">
      <c r="B47" s="16" t="s">
        <v>177</v>
      </c>
      <c r="D47" s="84"/>
      <c r="E47" s="84"/>
      <c r="F47" s="84"/>
      <c r="G47" s="84"/>
      <c r="H47" s="84"/>
      <c r="I47" s="84"/>
      <c r="J47" s="84"/>
      <c r="K47" s="84"/>
      <c r="L47" s="84"/>
      <c r="M47" s="84"/>
      <c r="N47" s="84"/>
    </row>
    <row r="48" spans="2:15">
      <c r="B48" t="s">
        <v>178</v>
      </c>
      <c r="D48" s="79">
        <v>3022.14</v>
      </c>
      <c r="E48" s="79">
        <v>5030.79</v>
      </c>
      <c r="F48" s="80">
        <v>4572.53</v>
      </c>
      <c r="G48" s="79">
        <v>4368.7700000000004</v>
      </c>
      <c r="H48" s="79">
        <v>7595.8</v>
      </c>
      <c r="I48" s="79">
        <v>39739.29</v>
      </c>
      <c r="J48" s="79">
        <v>46994.46</v>
      </c>
      <c r="K48" s="79">
        <v>50686</v>
      </c>
      <c r="L48" s="79">
        <v>51029.69</v>
      </c>
      <c r="M48" s="79">
        <v>64257</v>
      </c>
      <c r="N48" s="79">
        <v>86802</v>
      </c>
      <c r="O48" s="79">
        <v>108082</v>
      </c>
    </row>
    <row r="49" spans="2:16">
      <c r="B49" s="30" t="s">
        <v>66</v>
      </c>
      <c r="C49" s="30"/>
      <c r="D49" s="85">
        <f t="shared" ref="D49:O49" si="20">D43-D48</f>
        <v>15674.719999999972</v>
      </c>
      <c r="E49" s="85">
        <f t="shared" si="20"/>
        <v>25024.1</v>
      </c>
      <c r="F49" s="85">
        <f t="shared" si="20"/>
        <v>16860.089999999997</v>
      </c>
      <c r="G49" s="85">
        <f t="shared" si="20"/>
        <v>25195.860000000004</v>
      </c>
      <c r="H49" s="85">
        <f t="shared" si="20"/>
        <v>-9630.1300000000156</v>
      </c>
      <c r="I49" s="85">
        <f t="shared" si="20"/>
        <v>846.93000000000029</v>
      </c>
      <c r="J49" s="85">
        <f t="shared" si="20"/>
        <v>-47130.510000000009</v>
      </c>
      <c r="K49" s="85">
        <f t="shared" si="20"/>
        <v>-45212.670000000013</v>
      </c>
      <c r="L49" s="85">
        <f t="shared" si="20"/>
        <v>13923.809999999998</v>
      </c>
      <c r="M49" s="85">
        <f t="shared" si="20"/>
        <v>98918</v>
      </c>
      <c r="N49" s="85">
        <f t="shared" si="20"/>
        <v>93781</v>
      </c>
      <c r="O49" s="85">
        <f t="shared" si="20"/>
        <v>11752</v>
      </c>
    </row>
    <row r="50" spans="2:16">
      <c r="D50" s="84"/>
      <c r="E50" s="84"/>
      <c r="F50" s="84"/>
      <c r="G50" s="84"/>
      <c r="H50" s="84"/>
      <c r="I50" s="84"/>
      <c r="J50" s="84"/>
      <c r="K50" s="84"/>
      <c r="L50" s="84"/>
      <c r="M50" s="84"/>
      <c r="N50" s="84"/>
    </row>
    <row r="51" spans="2:16">
      <c r="B51" t="s">
        <v>162</v>
      </c>
      <c r="D51" s="80">
        <v>3945.83</v>
      </c>
      <c r="E51" s="80">
        <v>4613.93</v>
      </c>
      <c r="F51" s="80">
        <v>7890.7</v>
      </c>
      <c r="G51" s="79">
        <v>9468.56</v>
      </c>
      <c r="H51" s="79">
        <v>13245.98</v>
      </c>
      <c r="I51" s="79">
        <v>15355.09</v>
      </c>
      <c r="J51" s="79">
        <v>10369.64</v>
      </c>
      <c r="K51" s="79">
        <v>7255.98</v>
      </c>
      <c r="L51" s="79">
        <v>14349.65</v>
      </c>
      <c r="M51" s="79">
        <v>23269</v>
      </c>
      <c r="N51" s="79">
        <v>32953</v>
      </c>
      <c r="O51" s="79">
        <v>45515</v>
      </c>
    </row>
    <row r="52" spans="2:16">
      <c r="B52" t="s">
        <v>369</v>
      </c>
      <c r="D52" s="80"/>
      <c r="E52" s="80"/>
      <c r="F52" s="80"/>
      <c r="G52" s="79"/>
      <c r="H52" s="79"/>
      <c r="I52" s="79"/>
      <c r="J52" s="79"/>
      <c r="K52" s="79"/>
      <c r="L52" s="79"/>
      <c r="M52" s="79"/>
      <c r="N52" s="79"/>
      <c r="O52" s="79">
        <f>17964*-1</f>
        <v>-17964</v>
      </c>
    </row>
    <row r="53" spans="2:16">
      <c r="B53" t="s">
        <v>179</v>
      </c>
      <c r="D53" s="80">
        <f>1155.32*-1</f>
        <v>-1155.32</v>
      </c>
      <c r="E53" s="80">
        <f>1348.53*-1</f>
        <v>-1348.53</v>
      </c>
      <c r="F53" s="80">
        <f>3307.8*-1</f>
        <v>-3307.8</v>
      </c>
      <c r="G53" s="80">
        <f>3398.15*-1</f>
        <v>-3398.15</v>
      </c>
      <c r="H53" s="80">
        <f>5089.63*-1</f>
        <v>-5089.63</v>
      </c>
      <c r="I53" s="80">
        <f>18758.71*-1</f>
        <v>-18758.71</v>
      </c>
      <c r="J53" s="80">
        <f>21419.83*-1</f>
        <v>-21419.83</v>
      </c>
      <c r="K53" s="80">
        <f>23580.15*-1</f>
        <v>-23580.15</v>
      </c>
      <c r="L53" s="80">
        <f>31317.31*-1</f>
        <v>-31317.31</v>
      </c>
      <c r="M53" s="80">
        <f>41693.54*-1</f>
        <v>-41693.54</v>
      </c>
      <c r="N53" s="80">
        <f>50800*-1</f>
        <v>-50800</v>
      </c>
      <c r="O53" s="84">
        <f>58908*-1</f>
        <v>-58908</v>
      </c>
      <c r="P53" s="111">
        <f>O51+O52+O53</f>
        <v>-31357</v>
      </c>
    </row>
    <row r="54" spans="2:16">
      <c r="B54" s="30" t="s">
        <v>180</v>
      </c>
      <c r="C54" s="135"/>
      <c r="D54" s="85">
        <f>D49+D51+D53</f>
        <v>18465.229999999974</v>
      </c>
      <c r="E54" s="85">
        <f t="shared" ref="E54:N54" si="21">E49+E51+E53</f>
        <v>28289.5</v>
      </c>
      <c r="F54" s="85">
        <f t="shared" si="21"/>
        <v>21442.989999999998</v>
      </c>
      <c r="G54" s="85">
        <f t="shared" si="21"/>
        <v>31266.270000000004</v>
      </c>
      <c r="H54" s="85">
        <f t="shared" si="21"/>
        <v>-1473.7800000000161</v>
      </c>
      <c r="I54" s="85">
        <f t="shared" si="21"/>
        <v>-2556.6899999999987</v>
      </c>
      <c r="J54" s="85">
        <f t="shared" si="21"/>
        <v>-58180.700000000012</v>
      </c>
      <c r="K54" s="85">
        <f t="shared" si="21"/>
        <v>-61536.840000000018</v>
      </c>
      <c r="L54" s="85">
        <f t="shared" si="21"/>
        <v>-3043.8500000000022</v>
      </c>
      <c r="M54" s="85">
        <f t="shared" si="21"/>
        <v>80493.459999999992</v>
      </c>
      <c r="N54" s="85">
        <f t="shared" si="21"/>
        <v>75934</v>
      </c>
      <c r="O54" s="85">
        <f>O49+O51+O53+O52</f>
        <v>-19605</v>
      </c>
    </row>
    <row r="55" spans="2:16">
      <c r="D55" s="79"/>
      <c r="E55" s="79"/>
      <c r="F55" s="79"/>
      <c r="G55" s="79"/>
      <c r="H55" s="79"/>
      <c r="I55" s="79"/>
      <c r="J55" s="79"/>
      <c r="K55" s="79"/>
      <c r="L55" s="79"/>
      <c r="M55" s="79"/>
      <c r="N55" s="79" t="s">
        <v>164</v>
      </c>
    </row>
    <row r="56" spans="2:16">
      <c r="B56" s="16" t="s">
        <v>181</v>
      </c>
      <c r="D56" s="79"/>
      <c r="E56" s="79"/>
      <c r="F56" s="80"/>
      <c r="G56" s="79"/>
      <c r="H56" s="79"/>
      <c r="I56" s="79"/>
      <c r="J56" s="79"/>
      <c r="K56" s="79"/>
      <c r="L56" s="79"/>
      <c r="M56" s="79"/>
      <c r="N56" s="79" t="s">
        <v>164</v>
      </c>
    </row>
    <row r="57" spans="2:16">
      <c r="B57" t="s">
        <v>182</v>
      </c>
      <c r="D57" s="79">
        <v>1874.92</v>
      </c>
      <c r="E57" s="79">
        <v>7303.93</v>
      </c>
      <c r="F57" s="79">
        <v>4911.51</v>
      </c>
      <c r="G57" s="79">
        <v>6689.82</v>
      </c>
      <c r="H57" s="79">
        <v>15.24</v>
      </c>
      <c r="I57" s="79">
        <v>91.3</v>
      </c>
      <c r="J57" s="79">
        <v>-78.680000000000007</v>
      </c>
      <c r="K57" s="79">
        <v>4.12</v>
      </c>
      <c r="L57" s="79">
        <v>14.04</v>
      </c>
      <c r="M57" s="79">
        <v>10</v>
      </c>
      <c r="N57" s="79">
        <v>3346</v>
      </c>
      <c r="O57" s="79">
        <v>139</v>
      </c>
    </row>
    <row r="58" spans="2:16">
      <c r="B58" t="s">
        <v>183</v>
      </c>
      <c r="D58" s="79">
        <v>3548.59</v>
      </c>
      <c r="E58" s="79">
        <v>1088.3699999999999</v>
      </c>
      <c r="F58" s="80">
        <v>-59.99</v>
      </c>
      <c r="G58" s="80">
        <v>2153.21</v>
      </c>
      <c r="H58" s="80">
        <v>-3061.49</v>
      </c>
      <c r="I58" s="79">
        <v>-311.20999999999998</v>
      </c>
      <c r="J58" s="79">
        <v>-37.75</v>
      </c>
      <c r="K58" s="79">
        <v>77.489999999999995</v>
      </c>
      <c r="L58" s="79">
        <v>0</v>
      </c>
      <c r="M58" s="79">
        <v>-1242</v>
      </c>
      <c r="N58" s="79">
        <v>4</v>
      </c>
      <c r="O58" s="79">
        <v>4192</v>
      </c>
    </row>
    <row r="59" spans="2:16">
      <c r="B59" s="30" t="s">
        <v>184</v>
      </c>
      <c r="C59" s="30"/>
      <c r="D59" s="85">
        <f>D57+D58</f>
        <v>5423.51</v>
      </c>
      <c r="E59" s="85">
        <f>E57+E58</f>
        <v>8392.2999999999993</v>
      </c>
      <c r="F59" s="85">
        <f t="shared" ref="F59:O59" si="22">F57+F58</f>
        <v>4851.5200000000004</v>
      </c>
      <c r="G59" s="85">
        <f t="shared" si="22"/>
        <v>8843.0299999999988</v>
      </c>
      <c r="H59" s="85">
        <f t="shared" si="22"/>
        <v>-3046.25</v>
      </c>
      <c r="I59" s="85">
        <f t="shared" si="22"/>
        <v>-219.90999999999997</v>
      </c>
      <c r="J59" s="85">
        <f t="shared" si="22"/>
        <v>-116.43</v>
      </c>
      <c r="K59" s="85">
        <f t="shared" si="22"/>
        <v>81.61</v>
      </c>
      <c r="L59" s="85">
        <f t="shared" si="22"/>
        <v>14.04</v>
      </c>
      <c r="M59" s="85">
        <f t="shared" si="22"/>
        <v>-1232</v>
      </c>
      <c r="N59" s="85">
        <f t="shared" si="22"/>
        <v>3350</v>
      </c>
      <c r="O59" s="85">
        <f t="shared" si="22"/>
        <v>4331</v>
      </c>
    </row>
    <row r="60" spans="2:16">
      <c r="D60" s="79"/>
      <c r="E60" s="79"/>
      <c r="F60" s="80"/>
      <c r="G60" s="80"/>
      <c r="H60" s="80"/>
      <c r="I60" s="79"/>
      <c r="J60" s="79"/>
      <c r="K60" s="79"/>
      <c r="L60" s="79"/>
      <c r="M60" s="79"/>
      <c r="N60" s="79" t="s">
        <v>164</v>
      </c>
    </row>
    <row r="61" spans="2:16" ht="15" thickBot="1">
      <c r="B61" s="31" t="s">
        <v>29</v>
      </c>
      <c r="C61" s="31"/>
      <c r="D61" s="86">
        <f t="shared" ref="D61:O61" si="23">D54-D59</f>
        <v>13041.719999999974</v>
      </c>
      <c r="E61" s="86">
        <f t="shared" si="23"/>
        <v>19897.2</v>
      </c>
      <c r="F61" s="86">
        <f t="shared" si="23"/>
        <v>16591.469999999998</v>
      </c>
      <c r="G61" s="86">
        <f t="shared" si="23"/>
        <v>22423.240000000005</v>
      </c>
      <c r="H61" s="86">
        <f t="shared" si="23"/>
        <v>1572.4699999999839</v>
      </c>
      <c r="I61" s="86">
        <f t="shared" si="23"/>
        <v>-2336.7799999999988</v>
      </c>
      <c r="J61" s="86">
        <f t="shared" si="23"/>
        <v>-58064.270000000011</v>
      </c>
      <c r="K61" s="86">
        <f t="shared" si="23"/>
        <v>-61618.450000000019</v>
      </c>
      <c r="L61" s="86">
        <f t="shared" si="23"/>
        <v>-3057.8900000000021</v>
      </c>
      <c r="M61" s="86">
        <f t="shared" si="23"/>
        <v>81725.459999999992</v>
      </c>
      <c r="N61" s="86">
        <f t="shared" si="23"/>
        <v>72584</v>
      </c>
      <c r="O61" s="86">
        <f t="shared" si="23"/>
        <v>-23936</v>
      </c>
    </row>
    <row r="62" spans="2:16">
      <c r="D62" s="87"/>
      <c r="E62" s="87"/>
      <c r="F62" s="87"/>
      <c r="G62" s="87"/>
      <c r="H62" s="87"/>
      <c r="I62" s="87"/>
      <c r="J62" s="87"/>
      <c r="K62" s="87"/>
      <c r="L62" s="87"/>
      <c r="M62" s="87"/>
      <c r="N62" s="87"/>
    </row>
    <row r="63" spans="2:16">
      <c r="B63" s="88" t="s">
        <v>69</v>
      </c>
      <c r="C63" s="89"/>
      <c r="D63" s="90" t="str">
        <f t="shared" ref="D63:O63" si="24">IFERROR(D12/C12-1,"NM")</f>
        <v>NM</v>
      </c>
      <c r="E63" s="91">
        <f t="shared" si="24"/>
        <v>0.15903192569285229</v>
      </c>
      <c r="F63" s="91">
        <f t="shared" si="24"/>
        <v>0.15121466917812243</v>
      </c>
      <c r="G63" s="91">
        <f t="shared" si="24"/>
        <v>0.23898102849761838</v>
      </c>
      <c r="H63" s="91">
        <f t="shared" si="24"/>
        <v>0.23786594321930332</v>
      </c>
      <c r="I63" s="91">
        <f t="shared" si="24"/>
        <v>0.25473864197671237</v>
      </c>
      <c r="J63" s="91">
        <f t="shared" si="24"/>
        <v>-0.59054059205334508</v>
      </c>
      <c r="K63" s="91">
        <f t="shared" si="24"/>
        <v>0.77116184404893473</v>
      </c>
      <c r="L63" s="91">
        <f t="shared" si="24"/>
        <v>1.0996724490412553</v>
      </c>
      <c r="M63" s="91">
        <f t="shared" si="24"/>
        <v>0.26554249548634501</v>
      </c>
      <c r="N63" s="91">
        <f t="shared" si="24"/>
        <v>0.17268298204901589</v>
      </c>
      <c r="O63" s="91">
        <f t="shared" si="24"/>
        <v>5.1470924929674533E-2</v>
      </c>
    </row>
    <row r="64" spans="2:16">
      <c r="B64" s="88" t="s">
        <v>70</v>
      </c>
      <c r="C64" s="89"/>
      <c r="D64" s="91">
        <f t="shared" ref="D64:N64" si="25">IFERROR(D31/D12,"NM")</f>
        <v>0.44135911693620883</v>
      </c>
      <c r="E64" s="91">
        <f t="shared" si="25"/>
        <v>0.53499576732433873</v>
      </c>
      <c r="F64" s="91">
        <f t="shared" si="25"/>
        <v>0.48384467586986352</v>
      </c>
      <c r="G64" s="91">
        <f t="shared" si="25"/>
        <v>0.49840798923169211</v>
      </c>
      <c r="H64" s="91">
        <f t="shared" si="25"/>
        <v>0.38418046086061952</v>
      </c>
      <c r="I64" s="91">
        <f t="shared" si="25"/>
        <v>0.34407049602666695</v>
      </c>
      <c r="J64" s="91">
        <f t="shared" si="25"/>
        <v>0.35464980983401595</v>
      </c>
      <c r="K64" s="91">
        <f t="shared" si="25"/>
        <v>0.25028349352878898</v>
      </c>
      <c r="L64" s="91">
        <f t="shared" si="25"/>
        <v>0.28536409892486475</v>
      </c>
      <c r="M64" s="91">
        <f t="shared" si="25"/>
        <v>0.41084954059470891</v>
      </c>
      <c r="N64" s="91">
        <f t="shared" si="25"/>
        <v>0.40373055917547512</v>
      </c>
      <c r="O64" s="91">
        <f t="shared" ref="O64" si="26">IFERROR(O31/O12,"NM")</f>
        <v>0.33611654164984539</v>
      </c>
    </row>
    <row r="65" spans="2:15">
      <c r="B65" s="88" t="s">
        <v>71</v>
      </c>
      <c r="C65" s="89"/>
      <c r="D65" s="91">
        <f t="shared" ref="D65:N65" si="27">IFERROR(D43/D12,"NM")</f>
        <v>0.1342650547175305</v>
      </c>
      <c r="E65" s="91">
        <f t="shared" si="27"/>
        <v>0.18621474259861068</v>
      </c>
      <c r="F65" s="91">
        <f t="shared" si="27"/>
        <v>0.11535007131132098</v>
      </c>
      <c r="G65" s="91">
        <f t="shared" si="27"/>
        <v>0.1284252426937329</v>
      </c>
      <c r="H65" s="91">
        <f t="shared" si="27"/>
        <v>-7.1388085640016223E-3</v>
      </c>
      <c r="I65" s="91">
        <f t="shared" si="27"/>
        <v>0.11350883450305307</v>
      </c>
      <c r="J65" s="91">
        <f t="shared" si="27"/>
        <v>-9.2926322642794686E-4</v>
      </c>
      <c r="K65" s="91">
        <f t="shared" si="27"/>
        <v>2.1107344137754842E-2</v>
      </c>
      <c r="L65" s="91">
        <f t="shared" si="27"/>
        <v>0.11929794581843559</v>
      </c>
      <c r="M65" s="91">
        <f t="shared" si="27"/>
        <v>0.23681395790973858</v>
      </c>
      <c r="N65" s="91">
        <f t="shared" si="27"/>
        <v>0.22348579073275834</v>
      </c>
      <c r="O65" s="91">
        <f t="shared" ref="O65" si="28">IFERROR(O43/O12,"NM")</f>
        <v>0.14104439754760664</v>
      </c>
    </row>
    <row r="66" spans="2:15">
      <c r="B66" s="88" t="s">
        <v>72</v>
      </c>
      <c r="C66" s="89"/>
      <c r="D66" s="91">
        <f t="shared" ref="D66:N66" si="29">IFERROR(D49/D12,"NM")</f>
        <v>0.11256259813048657</v>
      </c>
      <c r="E66" s="91">
        <f t="shared" si="29"/>
        <v>0.15504486425543043</v>
      </c>
      <c r="F66" s="91">
        <f t="shared" si="29"/>
        <v>9.0740776620650665E-2</v>
      </c>
      <c r="G66" s="91">
        <f t="shared" si="29"/>
        <v>0.10944782449086347</v>
      </c>
      <c r="H66" s="91">
        <f t="shared" si="29"/>
        <v>-3.3793757412243101E-2</v>
      </c>
      <c r="I66" s="91">
        <f t="shared" si="29"/>
        <v>2.3686373652355595E-3</v>
      </c>
      <c r="J66" s="91">
        <f t="shared" si="29"/>
        <v>-0.32191583819030756</v>
      </c>
      <c r="K66" s="91">
        <f t="shared" si="29"/>
        <v>-0.17435809371566244</v>
      </c>
      <c r="L66" s="91">
        <f t="shared" si="29"/>
        <v>2.5573401448208199E-2</v>
      </c>
      <c r="M66" s="91">
        <f t="shared" si="29"/>
        <v>0.14355852972891386</v>
      </c>
      <c r="N66" s="91">
        <f t="shared" si="29"/>
        <v>0.11606142848833396</v>
      </c>
      <c r="O66" s="91">
        <f t="shared" ref="O66" si="30">IFERROR(O49/O12,"NM")</f>
        <v>1.3832082380455239E-2</v>
      </c>
    </row>
    <row r="67" spans="2:15">
      <c r="B67" s="88" t="s">
        <v>73</v>
      </c>
      <c r="C67" s="89"/>
      <c r="D67" s="91">
        <f>IFERROR(D59/D54,"NM")</f>
        <v>0.29371472762592221</v>
      </c>
      <c r="E67" s="91">
        <f t="shared" ref="E67:M67" si="31">IFERROR(E59/E54,"NM")</f>
        <v>0.29665777055091108</v>
      </c>
      <c r="F67" s="91">
        <f t="shared" si="31"/>
        <v>0.22625202921794027</v>
      </c>
      <c r="G67" s="91">
        <f t="shared" si="31"/>
        <v>0.28282970754106573</v>
      </c>
      <c r="H67" s="91">
        <f t="shared" si="31"/>
        <v>2.0669638616346853</v>
      </c>
      <c r="I67" s="91">
        <f t="shared" si="31"/>
        <v>8.6013556590748219E-2</v>
      </c>
      <c r="J67" s="91">
        <f t="shared" si="31"/>
        <v>2.0011790851605427E-3</v>
      </c>
      <c r="K67" s="91">
        <f t="shared" si="31"/>
        <v>-1.3261974453026833E-3</v>
      </c>
      <c r="L67" s="91">
        <f t="shared" si="31"/>
        <v>-4.6125794635083822E-3</v>
      </c>
      <c r="M67" s="91">
        <f t="shared" si="31"/>
        <v>-1.5305591286546759E-2</v>
      </c>
      <c r="N67" s="91">
        <f>IFERROR(N59/N54,"NM")</f>
        <v>4.4117259725551139E-2</v>
      </c>
      <c r="O67" s="91">
        <f>IFERROR(O59/O54,"NM")</f>
        <v>-0.22091303238969651</v>
      </c>
    </row>
    <row r="68" spans="2:15">
      <c r="B68" s="88" t="s">
        <v>74</v>
      </c>
      <c r="C68" s="89"/>
      <c r="D68" s="91">
        <f t="shared" ref="D68:N68" si="32">IFERROR(D61/D12,"NM")</f>
        <v>9.3654616305128835E-2</v>
      </c>
      <c r="E68" s="91">
        <f t="shared" si="32"/>
        <v>0.12327950547924403</v>
      </c>
      <c r="F68" s="91">
        <f t="shared" si="32"/>
        <v>8.9295067409380785E-2</v>
      </c>
      <c r="G68" s="91">
        <f t="shared" si="32"/>
        <v>9.7403892386944108E-2</v>
      </c>
      <c r="H68" s="91">
        <f t="shared" si="32"/>
        <v>5.5180635897988167E-3</v>
      </c>
      <c r="I68" s="91">
        <f t="shared" si="32"/>
        <v>-6.5353505275939517E-3</v>
      </c>
      <c r="J68" s="91">
        <f t="shared" si="32"/>
        <v>-0.39659677236589058</v>
      </c>
      <c r="K68" s="91">
        <f t="shared" si="32"/>
        <v>-0.23762532669965875</v>
      </c>
      <c r="L68" s="91">
        <f t="shared" si="32"/>
        <v>-5.6163254564994382E-3</v>
      </c>
      <c r="M68" s="91">
        <f t="shared" si="32"/>
        <v>0.11860719867990821</v>
      </c>
      <c r="N68" s="91">
        <f t="shared" si="32"/>
        <v>8.9828459127085786E-2</v>
      </c>
      <c r="O68" s="91">
        <f t="shared" ref="O68" si="33">IFERROR(O61/O12,"NM")</f>
        <v>-2.817262796618249E-2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D9FEC-51E8-4A30-AE65-5838B9906AF2}">
  <sheetPr>
    <tabColor rgb="FFFF0000"/>
  </sheetPr>
  <dimension ref="A2:XFD83"/>
  <sheetViews>
    <sheetView showGridLines="0" topLeftCell="A36" zoomScale="80" zoomScaleNormal="80" workbookViewId="0">
      <pane xSplit="2" topLeftCell="C1" activePane="topRight" state="frozen"/>
      <selection pane="topRight" activeCell="B62" sqref="B62"/>
    </sheetView>
  </sheetViews>
  <sheetFormatPr defaultRowHeight="14.4"/>
  <cols>
    <col min="1" max="1" width="1.88671875" customWidth="1"/>
    <col min="2" max="2" width="73.6640625" customWidth="1"/>
    <col min="3" max="3" width="9.88671875" bestFit="1" customWidth="1"/>
    <col min="4" max="14" width="12.77734375" customWidth="1"/>
    <col min="15" max="15" width="13" bestFit="1" customWidth="1"/>
    <col min="16" max="16" width="11.109375" bestFit="1" customWidth="1"/>
  </cols>
  <sheetData>
    <row r="2" spans="2:15" ht="21">
      <c r="B2" s="282" t="str">
        <f>'Control Sheet'!B2</f>
        <v xml:space="preserve">InterGlobe Aviation </v>
      </c>
    </row>
    <row r="3" spans="2:15" ht="18">
      <c r="B3" s="150" t="s">
        <v>75</v>
      </c>
    </row>
    <row r="4" spans="2:15">
      <c r="B4" s="4" t="s">
        <v>5</v>
      </c>
    </row>
    <row r="6" spans="2:15">
      <c r="B6" s="77" t="s">
        <v>160</v>
      </c>
      <c r="C6" s="77"/>
      <c r="D6" s="78">
        <v>2015</v>
      </c>
      <c r="E6" s="78">
        <f>D6+1</f>
        <v>2016</v>
      </c>
      <c r="F6" s="78">
        <f t="shared" ref="F6:O6" si="0">E6+1</f>
        <v>2017</v>
      </c>
      <c r="G6" s="78">
        <f t="shared" si="0"/>
        <v>2018</v>
      </c>
      <c r="H6" s="78">
        <f t="shared" si="0"/>
        <v>2019</v>
      </c>
      <c r="I6" s="78">
        <f t="shared" si="0"/>
        <v>2020</v>
      </c>
      <c r="J6" s="78">
        <f t="shared" si="0"/>
        <v>2021</v>
      </c>
      <c r="K6" s="78">
        <f t="shared" si="0"/>
        <v>2022</v>
      </c>
      <c r="L6" s="78">
        <f t="shared" si="0"/>
        <v>2023</v>
      </c>
      <c r="M6" s="78">
        <f t="shared" si="0"/>
        <v>2024</v>
      </c>
      <c r="N6" s="78">
        <f t="shared" si="0"/>
        <v>2025</v>
      </c>
      <c r="O6" s="78">
        <f t="shared" si="0"/>
        <v>2026</v>
      </c>
    </row>
    <row r="8" spans="2:15" s="16" customFormat="1">
      <c r="B8" s="16" t="s">
        <v>185</v>
      </c>
      <c r="D8" s="18"/>
      <c r="E8" s="18"/>
    </row>
    <row r="9" spans="2:15">
      <c r="B9" t="s">
        <v>186</v>
      </c>
      <c r="D9" s="92">
        <v>48664.02</v>
      </c>
      <c r="E9" s="92">
        <v>46755.15</v>
      </c>
      <c r="F9" s="92">
        <v>37474.720000000001</v>
      </c>
      <c r="G9" s="92">
        <v>45347.56</v>
      </c>
      <c r="H9" s="92">
        <v>56315.54</v>
      </c>
      <c r="I9" s="92">
        <v>24995.69</v>
      </c>
      <c r="J9" s="92">
        <v>7969.66</v>
      </c>
      <c r="K9" s="92">
        <v>8239.5300000000007</v>
      </c>
      <c r="L9" s="92">
        <v>11111.69</v>
      </c>
      <c r="M9" s="92">
        <v>19029</v>
      </c>
      <c r="N9" s="92">
        <v>26779</v>
      </c>
      <c r="O9" s="92">
        <v>110871</v>
      </c>
    </row>
    <row r="10" spans="2:15">
      <c r="B10" t="s">
        <v>187</v>
      </c>
      <c r="D10" s="92">
        <v>0</v>
      </c>
      <c r="E10" s="92">
        <v>0</v>
      </c>
      <c r="F10" s="92">
        <v>0</v>
      </c>
      <c r="G10" s="92">
        <v>0</v>
      </c>
      <c r="H10" s="92">
        <v>0</v>
      </c>
      <c r="I10" s="92">
        <v>142461.38</v>
      </c>
      <c r="J10" s="92">
        <v>179861.71</v>
      </c>
      <c r="K10" s="92">
        <v>204381.48</v>
      </c>
      <c r="L10" s="92">
        <v>265364.95</v>
      </c>
      <c r="M10" s="92">
        <v>342023</v>
      </c>
      <c r="N10" s="92">
        <v>490739</v>
      </c>
      <c r="O10" s="92">
        <v>520540</v>
      </c>
    </row>
    <row r="11" spans="2:15">
      <c r="B11" t="s">
        <v>188</v>
      </c>
      <c r="D11" s="92">
        <v>4.53</v>
      </c>
      <c r="E11" s="92">
        <v>237.34</v>
      </c>
      <c r="F11" s="92">
        <v>233.03</v>
      </c>
      <c r="G11" s="92">
        <v>294.2</v>
      </c>
      <c r="H11" s="92">
        <v>220.15</v>
      </c>
      <c r="I11" s="92">
        <v>1292.7</v>
      </c>
      <c r="J11" s="92">
        <v>663.51</v>
      </c>
      <c r="K11" s="92">
        <v>1193.18</v>
      </c>
      <c r="L11" s="92">
        <v>0</v>
      </c>
      <c r="M11" s="92">
        <v>1</v>
      </c>
      <c r="N11" s="92">
        <v>7</v>
      </c>
      <c r="O11" s="92">
        <v>387</v>
      </c>
    </row>
    <row r="12" spans="2:15">
      <c r="B12" t="s">
        <v>189</v>
      </c>
      <c r="D12" s="92">
        <v>96.37</v>
      </c>
      <c r="E12" s="92">
        <v>199.74</v>
      </c>
      <c r="F12" s="92">
        <v>463.69</v>
      </c>
      <c r="G12" s="92">
        <v>440.53</v>
      </c>
      <c r="H12" s="92">
        <v>304.88</v>
      </c>
      <c r="I12" s="92">
        <v>335.91</v>
      </c>
      <c r="J12" s="92">
        <v>334.96</v>
      </c>
      <c r="K12" s="92">
        <v>215.62</v>
      </c>
      <c r="L12" s="92">
        <v>107.27</v>
      </c>
      <c r="M12" s="92">
        <v>483</v>
      </c>
      <c r="N12" s="92">
        <v>299</v>
      </c>
      <c r="O12" s="92">
        <v>160</v>
      </c>
    </row>
    <row r="13" spans="2:15">
      <c r="B13" t="s">
        <v>190</v>
      </c>
      <c r="D13" s="92"/>
      <c r="E13" s="92">
        <v>82.31</v>
      </c>
      <c r="F13" s="92">
        <v>18.829999999999998</v>
      </c>
      <c r="G13" s="92">
        <v>30.7</v>
      </c>
      <c r="H13" s="92">
        <v>16.14</v>
      </c>
      <c r="I13" s="92">
        <v>109.69</v>
      </c>
      <c r="J13" s="92">
        <v>54.19</v>
      </c>
      <c r="K13" s="92">
        <v>60.39</v>
      </c>
      <c r="L13" s="92">
        <v>208.17</v>
      </c>
      <c r="M13" s="92">
        <v>13</v>
      </c>
      <c r="N13" s="92">
        <v>23</v>
      </c>
      <c r="O13" s="92">
        <v>206</v>
      </c>
    </row>
    <row r="14" spans="2:15">
      <c r="B14" s="16" t="s">
        <v>191</v>
      </c>
      <c r="D14" s="92"/>
      <c r="E14" s="92"/>
      <c r="F14" s="92"/>
      <c r="G14" s="92"/>
      <c r="H14" s="92"/>
      <c r="I14" s="92"/>
      <c r="J14" s="92"/>
      <c r="K14" s="92"/>
      <c r="L14" s="92"/>
      <c r="M14" s="92"/>
      <c r="N14" s="92" t="s">
        <v>164</v>
      </c>
    </row>
    <row r="15" spans="2:15">
      <c r="B15" t="s">
        <v>192</v>
      </c>
      <c r="D15" s="92">
        <v>0.46</v>
      </c>
      <c r="E15" s="92">
        <v>0.25</v>
      </c>
      <c r="F15" s="92">
        <v>0.18</v>
      </c>
      <c r="G15" s="92">
        <v>0.17</v>
      </c>
      <c r="H15" s="92">
        <v>0.15</v>
      </c>
      <c r="I15" s="92">
        <v>0.75</v>
      </c>
      <c r="J15" s="92">
        <v>0.83</v>
      </c>
      <c r="K15" s="92">
        <v>0.12</v>
      </c>
      <c r="L15" s="92">
        <v>0.68</v>
      </c>
      <c r="M15" s="92">
        <v>9748</v>
      </c>
      <c r="N15" s="92">
        <v>13183</v>
      </c>
      <c r="O15" s="92">
        <v>19310</v>
      </c>
    </row>
    <row r="16" spans="2:15">
      <c r="B16" t="s">
        <v>193</v>
      </c>
      <c r="D16" s="92">
        <v>11181.34</v>
      </c>
      <c r="E16" s="92">
        <v>11930.62</v>
      </c>
      <c r="F16" s="92">
        <v>5440.26</v>
      </c>
      <c r="G16" s="92">
        <v>6831.34</v>
      </c>
      <c r="H16" s="92">
        <v>5843.97</v>
      </c>
      <c r="I16" s="92">
        <v>12759.54</v>
      </c>
      <c r="J16" s="92">
        <v>15806.57</v>
      </c>
      <c r="K16" s="92">
        <v>0</v>
      </c>
      <c r="L16" s="92">
        <v>0</v>
      </c>
      <c r="M16" s="92">
        <v>0</v>
      </c>
      <c r="N16" s="92">
        <v>0</v>
      </c>
    </row>
    <row r="17" spans="1:16384">
      <c r="B17" t="s">
        <v>194</v>
      </c>
      <c r="D17" s="92">
        <v>0</v>
      </c>
      <c r="E17" s="92">
        <v>0</v>
      </c>
      <c r="F17" s="92">
        <v>10356.39</v>
      </c>
      <c r="G17" s="92">
        <v>8195.2199999999993</v>
      </c>
      <c r="H17" s="92">
        <v>1988.21</v>
      </c>
      <c r="I17" s="92">
        <v>58.3</v>
      </c>
      <c r="J17" s="92">
        <v>16.34</v>
      </c>
      <c r="K17" s="92">
        <v>20911.22</v>
      </c>
      <c r="L17" s="92">
        <v>24499.66</v>
      </c>
      <c r="M17" s="92">
        <v>52963</v>
      </c>
      <c r="N17" s="92">
        <v>74933</v>
      </c>
      <c r="O17" s="92">
        <v>71107</v>
      </c>
    </row>
    <row r="18" spans="1:16384">
      <c r="D18" s="92"/>
      <c r="E18" s="92"/>
      <c r="F18" s="92"/>
      <c r="G18" s="92"/>
      <c r="H18" s="92"/>
      <c r="I18" s="92"/>
      <c r="J18" s="92"/>
      <c r="K18" s="92"/>
      <c r="L18" s="92"/>
      <c r="M18" s="92"/>
      <c r="N18" s="92"/>
    </row>
    <row r="19" spans="1:16384">
      <c r="B19" t="s">
        <v>195</v>
      </c>
      <c r="D19" s="92">
        <v>0</v>
      </c>
      <c r="E19" s="92">
        <v>0</v>
      </c>
      <c r="F19" s="92">
        <v>0</v>
      </c>
      <c r="G19" s="92">
        <v>0</v>
      </c>
      <c r="H19" s="92">
        <v>9.67</v>
      </c>
      <c r="I19" s="92">
        <v>2992.82</v>
      </c>
      <c r="J19" s="92">
        <v>3026.93</v>
      </c>
      <c r="K19" s="92">
        <v>2949.44</v>
      </c>
      <c r="L19" s="92">
        <v>2949.44</v>
      </c>
      <c r="M19" s="92">
        <v>4192</v>
      </c>
      <c r="N19" s="92">
        <v>4192</v>
      </c>
      <c r="O19" s="92">
        <v>0</v>
      </c>
    </row>
    <row r="20" spans="1:16384">
      <c r="B20" t="s">
        <v>196</v>
      </c>
      <c r="D20" s="92">
        <v>0</v>
      </c>
      <c r="E20" s="92">
        <v>0</v>
      </c>
      <c r="F20" s="92">
        <v>97.6</v>
      </c>
      <c r="G20" s="92">
        <v>386.39</v>
      </c>
      <c r="H20" s="92">
        <v>1240.49</v>
      </c>
      <c r="I20" s="92">
        <v>4296.71</v>
      </c>
      <c r="J20" s="92">
        <v>5139.53</v>
      </c>
      <c r="K20" s="92">
        <v>7119.22</v>
      </c>
      <c r="L20" s="92">
        <v>10997.87</v>
      </c>
      <c r="M20" s="92">
        <v>16101</v>
      </c>
      <c r="N20" s="92">
        <v>17080</v>
      </c>
      <c r="O20" s="92">
        <v>19775</v>
      </c>
    </row>
    <row r="21" spans="1:16384">
      <c r="B21" t="s">
        <v>197</v>
      </c>
      <c r="D21" s="92">
        <v>16055.6</v>
      </c>
      <c r="E21" s="92">
        <v>14977.84</v>
      </c>
      <c r="F21" s="92">
        <v>3548.74</v>
      </c>
      <c r="G21" s="92">
        <v>3451.22</v>
      </c>
      <c r="H21" s="92">
        <v>3158.76</v>
      </c>
      <c r="I21" s="92">
        <v>7142.69</v>
      </c>
      <c r="J21" s="92">
        <v>9498.1299999999992</v>
      </c>
      <c r="K21" s="92">
        <v>12266.99</v>
      </c>
      <c r="L21" s="92">
        <v>14971.32</v>
      </c>
      <c r="M21" s="92">
        <v>19161</v>
      </c>
      <c r="N21" s="92">
        <v>24169</v>
      </c>
      <c r="O21" s="92">
        <v>38373</v>
      </c>
    </row>
    <row r="22" spans="1:16384">
      <c r="B22" s="30" t="s">
        <v>198</v>
      </c>
      <c r="C22" s="30"/>
      <c r="D22" s="93">
        <f t="shared" ref="D22:O22" si="1">SUM(D9:D10,D11:D13,D15:D21)</f>
        <v>76002.320000000007</v>
      </c>
      <c r="E22" s="93">
        <f t="shared" si="1"/>
        <v>74183.25</v>
      </c>
      <c r="F22" s="93">
        <f t="shared" si="1"/>
        <v>57633.440000000002</v>
      </c>
      <c r="G22" s="93">
        <f t="shared" si="1"/>
        <v>64977.329999999987</v>
      </c>
      <c r="H22" s="93">
        <f t="shared" si="1"/>
        <v>69097.959999999992</v>
      </c>
      <c r="I22" s="93">
        <f t="shared" si="1"/>
        <v>196446.18000000002</v>
      </c>
      <c r="J22" s="93">
        <f t="shared" si="1"/>
        <v>222372.36</v>
      </c>
      <c r="K22" s="93">
        <f t="shared" si="1"/>
        <v>257337.19</v>
      </c>
      <c r="L22" s="93">
        <f t="shared" si="1"/>
        <v>330211.05</v>
      </c>
      <c r="M22" s="93">
        <f t="shared" si="1"/>
        <v>463714</v>
      </c>
      <c r="N22" s="93">
        <f t="shared" si="1"/>
        <v>651404</v>
      </c>
      <c r="O22" s="93">
        <f t="shared" si="1"/>
        <v>780729</v>
      </c>
    </row>
    <row r="23" spans="1:16384" s="92" customFormat="1">
      <c r="A23" s="92">
        <v>0</v>
      </c>
      <c r="D23" s="92">
        <v>0</v>
      </c>
      <c r="E23" s="152">
        <f>E22/D22-1</f>
        <v>-2.3934400949865875E-2</v>
      </c>
      <c r="F23" s="152">
        <f t="shared" ref="F23:O23" si="2">F22/E22-1</f>
        <v>-0.22309362288656798</v>
      </c>
      <c r="G23" s="152">
        <f t="shared" si="2"/>
        <v>0.12742411350077298</v>
      </c>
      <c r="H23" s="152">
        <f t="shared" si="2"/>
        <v>6.3416425390209197E-2</v>
      </c>
      <c r="I23" s="152">
        <f t="shared" si="2"/>
        <v>1.8430098370487356</v>
      </c>
      <c r="J23" s="152">
        <f t="shared" si="2"/>
        <v>0.13197599464647247</v>
      </c>
      <c r="K23" s="152">
        <f t="shared" si="2"/>
        <v>0.15723550354909221</v>
      </c>
      <c r="L23" s="152">
        <f t="shared" si="2"/>
        <v>0.28318433103275886</v>
      </c>
      <c r="M23" s="152">
        <f t="shared" si="2"/>
        <v>0.40429582838006173</v>
      </c>
      <c r="N23" s="152">
        <f t="shared" si="2"/>
        <v>0.40475379220812835</v>
      </c>
      <c r="O23" s="152">
        <f t="shared" si="2"/>
        <v>0.19853270781266308</v>
      </c>
      <c r="P23" s="92">
        <v>0</v>
      </c>
      <c r="Q23" s="92">
        <v>0</v>
      </c>
      <c r="R23" s="92">
        <v>0</v>
      </c>
      <c r="S23" s="92">
        <v>0</v>
      </c>
      <c r="T23" s="92">
        <v>0</v>
      </c>
      <c r="U23" s="92">
        <v>0</v>
      </c>
      <c r="V23" s="92">
        <v>0</v>
      </c>
      <c r="W23" s="92">
        <v>0</v>
      </c>
      <c r="X23" s="92">
        <v>0</v>
      </c>
      <c r="Y23" s="92">
        <v>0</v>
      </c>
      <c r="Z23" s="92">
        <v>0</v>
      </c>
      <c r="AA23" s="92">
        <v>0</v>
      </c>
      <c r="AB23" s="92">
        <v>0</v>
      </c>
      <c r="AC23" s="92">
        <v>0</v>
      </c>
      <c r="AD23" s="92">
        <v>0</v>
      </c>
      <c r="AE23" s="92">
        <v>0</v>
      </c>
      <c r="AF23" s="92">
        <v>0</v>
      </c>
      <c r="AG23" s="92">
        <v>0</v>
      </c>
      <c r="AH23" s="92">
        <v>0</v>
      </c>
      <c r="AI23" s="92">
        <v>0</v>
      </c>
      <c r="AJ23" s="92">
        <v>0</v>
      </c>
      <c r="AK23" s="92">
        <v>0</v>
      </c>
      <c r="AL23" s="92">
        <v>0</v>
      </c>
      <c r="AM23" s="92">
        <v>0</v>
      </c>
      <c r="AN23" s="92">
        <v>0</v>
      </c>
      <c r="AO23" s="92">
        <v>0</v>
      </c>
      <c r="AP23" s="92">
        <v>0</v>
      </c>
      <c r="AQ23" s="92">
        <v>0</v>
      </c>
      <c r="AR23" s="92">
        <v>0</v>
      </c>
      <c r="AS23" s="92">
        <v>0</v>
      </c>
      <c r="AT23" s="92">
        <v>0</v>
      </c>
      <c r="AU23" s="92">
        <v>0</v>
      </c>
      <c r="AV23" s="92">
        <v>0</v>
      </c>
      <c r="AW23" s="92">
        <v>0</v>
      </c>
      <c r="AX23" s="92">
        <v>0</v>
      </c>
      <c r="AY23" s="92">
        <v>0</v>
      </c>
      <c r="AZ23" s="92">
        <v>0</v>
      </c>
      <c r="BA23" s="92">
        <v>0</v>
      </c>
      <c r="BB23" s="92">
        <v>0</v>
      </c>
      <c r="BC23" s="92">
        <v>0</v>
      </c>
      <c r="BD23" s="92">
        <v>0</v>
      </c>
      <c r="BE23" s="92">
        <v>0</v>
      </c>
      <c r="BF23" s="92">
        <v>0</v>
      </c>
      <c r="BG23" s="92">
        <v>0</v>
      </c>
      <c r="BH23" s="92">
        <v>0</v>
      </c>
      <c r="BI23" s="92">
        <v>0</v>
      </c>
      <c r="BJ23" s="92">
        <v>0</v>
      </c>
      <c r="BK23" s="92">
        <v>0</v>
      </c>
      <c r="BL23" s="92">
        <v>0</v>
      </c>
      <c r="BM23" s="92">
        <v>0</v>
      </c>
      <c r="BN23" s="92">
        <v>0</v>
      </c>
      <c r="BO23" s="92">
        <v>0</v>
      </c>
      <c r="BP23" s="92">
        <v>0</v>
      </c>
      <c r="BQ23" s="92">
        <v>0</v>
      </c>
      <c r="BR23" s="92">
        <v>0</v>
      </c>
      <c r="BS23" s="92">
        <v>0</v>
      </c>
      <c r="BT23" s="92">
        <v>0</v>
      </c>
      <c r="BU23" s="92">
        <v>0</v>
      </c>
      <c r="BV23" s="92">
        <v>0</v>
      </c>
      <c r="BW23" s="92">
        <v>0</v>
      </c>
      <c r="BX23" s="92">
        <v>0</v>
      </c>
      <c r="BY23" s="92">
        <v>0</v>
      </c>
      <c r="BZ23" s="92">
        <v>0</v>
      </c>
      <c r="CA23" s="92">
        <v>0</v>
      </c>
      <c r="CB23" s="92">
        <v>0</v>
      </c>
      <c r="CC23" s="92">
        <v>0</v>
      </c>
      <c r="CD23" s="92">
        <v>0</v>
      </c>
      <c r="CE23" s="92">
        <v>0</v>
      </c>
      <c r="CF23" s="92">
        <v>0</v>
      </c>
      <c r="CG23" s="92">
        <v>0</v>
      </c>
      <c r="CH23" s="92">
        <v>0</v>
      </c>
      <c r="CI23" s="92">
        <v>0</v>
      </c>
      <c r="CJ23" s="92">
        <v>0</v>
      </c>
      <c r="CK23" s="92">
        <v>0</v>
      </c>
      <c r="CL23" s="92">
        <v>0</v>
      </c>
      <c r="CM23" s="92">
        <v>0</v>
      </c>
      <c r="CN23" s="92">
        <v>0</v>
      </c>
      <c r="CO23" s="92">
        <v>0</v>
      </c>
      <c r="CP23" s="92">
        <v>0</v>
      </c>
      <c r="CQ23" s="92">
        <v>0</v>
      </c>
      <c r="CR23" s="92">
        <v>0</v>
      </c>
      <c r="CS23" s="92">
        <v>0</v>
      </c>
      <c r="CT23" s="92">
        <v>0</v>
      </c>
      <c r="CU23" s="92">
        <v>0</v>
      </c>
      <c r="CV23" s="92">
        <v>0</v>
      </c>
      <c r="CW23" s="92">
        <v>0</v>
      </c>
      <c r="CX23" s="92">
        <v>0</v>
      </c>
      <c r="CY23" s="92">
        <v>0</v>
      </c>
      <c r="CZ23" s="92">
        <v>0</v>
      </c>
      <c r="DA23" s="92">
        <v>0</v>
      </c>
      <c r="DB23" s="92">
        <v>0</v>
      </c>
      <c r="DC23" s="92">
        <v>0</v>
      </c>
      <c r="DD23" s="92">
        <v>0</v>
      </c>
      <c r="DE23" s="92">
        <v>0</v>
      </c>
      <c r="DF23" s="92">
        <v>0</v>
      </c>
      <c r="DG23" s="92">
        <v>0</v>
      </c>
      <c r="DH23" s="92">
        <v>0</v>
      </c>
      <c r="DI23" s="92">
        <v>0</v>
      </c>
      <c r="DJ23" s="92">
        <v>0</v>
      </c>
      <c r="DK23" s="92">
        <v>0</v>
      </c>
      <c r="DL23" s="92">
        <v>0</v>
      </c>
      <c r="DM23" s="92">
        <v>0</v>
      </c>
      <c r="DN23" s="92">
        <v>0</v>
      </c>
      <c r="DO23" s="92">
        <v>0</v>
      </c>
      <c r="DP23" s="92">
        <v>0</v>
      </c>
      <c r="DQ23" s="92">
        <v>0</v>
      </c>
      <c r="DR23" s="92">
        <v>0</v>
      </c>
      <c r="DS23" s="92">
        <v>0</v>
      </c>
      <c r="DT23" s="92">
        <v>0</v>
      </c>
      <c r="DU23" s="92">
        <v>0</v>
      </c>
      <c r="DV23" s="92">
        <v>0</v>
      </c>
      <c r="DW23" s="92">
        <v>0</v>
      </c>
      <c r="DX23" s="92">
        <v>0</v>
      </c>
      <c r="DY23" s="92">
        <v>0</v>
      </c>
      <c r="DZ23" s="92">
        <v>0</v>
      </c>
      <c r="EA23" s="92">
        <v>0</v>
      </c>
      <c r="EB23" s="92">
        <v>0</v>
      </c>
      <c r="EC23" s="92">
        <v>0</v>
      </c>
      <c r="ED23" s="92">
        <v>0</v>
      </c>
      <c r="EE23" s="92">
        <v>0</v>
      </c>
      <c r="EF23" s="92">
        <v>0</v>
      </c>
      <c r="EG23" s="92">
        <v>0</v>
      </c>
      <c r="EH23" s="92">
        <v>0</v>
      </c>
      <c r="EI23" s="92">
        <v>0</v>
      </c>
      <c r="EJ23" s="92">
        <v>0</v>
      </c>
      <c r="EK23" s="92">
        <v>0</v>
      </c>
      <c r="EL23" s="92">
        <v>0</v>
      </c>
      <c r="EM23" s="92">
        <v>0</v>
      </c>
      <c r="EN23" s="92">
        <v>0</v>
      </c>
      <c r="EO23" s="92">
        <v>0</v>
      </c>
      <c r="EP23" s="92">
        <v>0</v>
      </c>
      <c r="EQ23" s="92">
        <v>0</v>
      </c>
      <c r="ER23" s="92">
        <v>0</v>
      </c>
      <c r="ES23" s="92">
        <v>0</v>
      </c>
      <c r="ET23" s="92">
        <v>0</v>
      </c>
      <c r="EU23" s="92">
        <v>0</v>
      </c>
      <c r="EV23" s="92">
        <v>0</v>
      </c>
      <c r="EW23" s="92">
        <v>0</v>
      </c>
      <c r="EX23" s="92">
        <v>0</v>
      </c>
      <c r="EY23" s="92">
        <v>0</v>
      </c>
      <c r="EZ23" s="92">
        <v>0</v>
      </c>
      <c r="FA23" s="92">
        <v>0</v>
      </c>
      <c r="FB23" s="92">
        <v>0</v>
      </c>
      <c r="FC23" s="92">
        <v>0</v>
      </c>
      <c r="FD23" s="92">
        <v>0</v>
      </c>
      <c r="FE23" s="92">
        <v>0</v>
      </c>
      <c r="FF23" s="92">
        <v>0</v>
      </c>
      <c r="FG23" s="92">
        <v>0</v>
      </c>
      <c r="FH23" s="92">
        <v>0</v>
      </c>
      <c r="FI23" s="92">
        <v>0</v>
      </c>
      <c r="FJ23" s="92">
        <v>0</v>
      </c>
      <c r="FK23" s="92">
        <v>0</v>
      </c>
      <c r="FL23" s="92">
        <v>0</v>
      </c>
      <c r="FM23" s="92">
        <v>0</v>
      </c>
      <c r="FN23" s="92">
        <v>0</v>
      </c>
      <c r="FO23" s="92">
        <v>0</v>
      </c>
      <c r="FP23" s="92">
        <v>0</v>
      </c>
      <c r="FQ23" s="92">
        <v>0</v>
      </c>
      <c r="FR23" s="92">
        <v>0</v>
      </c>
      <c r="FS23" s="92">
        <v>0</v>
      </c>
      <c r="FT23" s="92">
        <v>0</v>
      </c>
      <c r="FU23" s="92">
        <v>0</v>
      </c>
      <c r="FV23" s="92">
        <v>0</v>
      </c>
      <c r="FW23" s="92">
        <v>0</v>
      </c>
      <c r="FX23" s="92">
        <v>0</v>
      </c>
      <c r="FY23" s="92">
        <v>0</v>
      </c>
      <c r="FZ23" s="92">
        <v>0</v>
      </c>
      <c r="GA23" s="92">
        <v>0</v>
      </c>
      <c r="GB23" s="92">
        <v>0</v>
      </c>
      <c r="GC23" s="92">
        <v>0</v>
      </c>
      <c r="GD23" s="92">
        <v>0</v>
      </c>
      <c r="GE23" s="92">
        <v>0</v>
      </c>
      <c r="GF23" s="92">
        <v>0</v>
      </c>
      <c r="GG23" s="92">
        <v>0</v>
      </c>
      <c r="GH23" s="92">
        <v>0</v>
      </c>
      <c r="GI23" s="92">
        <v>0</v>
      </c>
      <c r="GJ23" s="92">
        <v>0</v>
      </c>
      <c r="GK23" s="92">
        <v>0</v>
      </c>
      <c r="GL23" s="92">
        <v>0</v>
      </c>
      <c r="GM23" s="92">
        <v>0</v>
      </c>
      <c r="GN23" s="92">
        <v>0</v>
      </c>
      <c r="GO23" s="92">
        <v>0</v>
      </c>
      <c r="GP23" s="92">
        <v>0</v>
      </c>
      <c r="GQ23" s="92">
        <v>0</v>
      </c>
      <c r="GR23" s="92">
        <v>0</v>
      </c>
      <c r="GS23" s="92">
        <v>0</v>
      </c>
      <c r="GT23" s="92">
        <v>0</v>
      </c>
      <c r="GU23" s="92">
        <v>0</v>
      </c>
      <c r="GV23" s="92">
        <v>0</v>
      </c>
      <c r="GW23" s="92">
        <v>0</v>
      </c>
      <c r="GX23" s="92">
        <v>0</v>
      </c>
      <c r="GY23" s="92">
        <v>0</v>
      </c>
      <c r="GZ23" s="92">
        <v>0</v>
      </c>
      <c r="HA23" s="92">
        <v>0</v>
      </c>
      <c r="HB23" s="92">
        <v>0</v>
      </c>
      <c r="HC23" s="92">
        <v>0</v>
      </c>
      <c r="HD23" s="92">
        <v>0</v>
      </c>
      <c r="HE23" s="92">
        <v>0</v>
      </c>
      <c r="HF23" s="92">
        <v>0</v>
      </c>
      <c r="HG23" s="92">
        <v>0</v>
      </c>
      <c r="HH23" s="92">
        <v>0</v>
      </c>
      <c r="HI23" s="92">
        <v>0</v>
      </c>
      <c r="HJ23" s="92">
        <v>0</v>
      </c>
      <c r="HK23" s="92">
        <v>0</v>
      </c>
      <c r="HL23" s="92">
        <v>0</v>
      </c>
      <c r="HM23" s="92">
        <v>0</v>
      </c>
      <c r="HN23" s="92">
        <v>0</v>
      </c>
      <c r="HO23" s="92">
        <v>0</v>
      </c>
      <c r="HP23" s="92">
        <v>0</v>
      </c>
      <c r="HQ23" s="92">
        <v>0</v>
      </c>
      <c r="HR23" s="92">
        <v>0</v>
      </c>
      <c r="HS23" s="92">
        <v>0</v>
      </c>
      <c r="HT23" s="92">
        <v>0</v>
      </c>
      <c r="HU23" s="92">
        <v>0</v>
      </c>
      <c r="HV23" s="92">
        <v>0</v>
      </c>
      <c r="HW23" s="92">
        <v>0</v>
      </c>
      <c r="HX23" s="92">
        <v>0</v>
      </c>
      <c r="HY23" s="92">
        <v>0</v>
      </c>
      <c r="HZ23" s="92">
        <v>0</v>
      </c>
      <c r="IA23" s="92">
        <v>0</v>
      </c>
      <c r="IB23" s="92">
        <v>0</v>
      </c>
      <c r="IC23" s="92">
        <v>0</v>
      </c>
      <c r="ID23" s="92">
        <v>0</v>
      </c>
      <c r="IE23" s="92">
        <v>0</v>
      </c>
      <c r="IF23" s="92">
        <v>0</v>
      </c>
      <c r="IG23" s="92">
        <v>0</v>
      </c>
      <c r="IH23" s="92">
        <v>0</v>
      </c>
      <c r="II23" s="92">
        <v>0</v>
      </c>
      <c r="IJ23" s="92">
        <v>0</v>
      </c>
      <c r="IK23" s="92">
        <v>0</v>
      </c>
      <c r="IL23" s="92">
        <v>0</v>
      </c>
      <c r="IM23" s="92">
        <v>0</v>
      </c>
      <c r="IN23" s="92">
        <v>0</v>
      </c>
      <c r="IO23" s="92">
        <v>0</v>
      </c>
      <c r="IP23" s="92">
        <v>0</v>
      </c>
      <c r="IQ23" s="92">
        <v>0</v>
      </c>
      <c r="IR23" s="92">
        <v>0</v>
      </c>
      <c r="IS23" s="92">
        <v>0</v>
      </c>
      <c r="IT23" s="92">
        <v>0</v>
      </c>
      <c r="IU23" s="92">
        <v>0</v>
      </c>
      <c r="IV23" s="92">
        <v>0</v>
      </c>
      <c r="IW23" s="92">
        <v>0</v>
      </c>
      <c r="IX23" s="92">
        <v>0</v>
      </c>
      <c r="IY23" s="92">
        <v>0</v>
      </c>
      <c r="IZ23" s="92">
        <v>0</v>
      </c>
      <c r="JA23" s="92">
        <v>0</v>
      </c>
      <c r="JB23" s="92">
        <v>0</v>
      </c>
      <c r="JC23" s="92">
        <v>0</v>
      </c>
      <c r="JD23" s="92">
        <v>0</v>
      </c>
      <c r="JE23" s="92">
        <v>0</v>
      </c>
      <c r="JF23" s="92">
        <v>0</v>
      </c>
      <c r="JG23" s="92">
        <v>0</v>
      </c>
      <c r="JH23" s="92">
        <v>0</v>
      </c>
      <c r="JI23" s="92">
        <v>0</v>
      </c>
      <c r="JJ23" s="92">
        <v>0</v>
      </c>
      <c r="JK23" s="92">
        <v>0</v>
      </c>
      <c r="JL23" s="92">
        <v>0</v>
      </c>
      <c r="JM23" s="92">
        <v>0</v>
      </c>
      <c r="JN23" s="92">
        <v>0</v>
      </c>
      <c r="JO23" s="92">
        <v>0</v>
      </c>
      <c r="JP23" s="92">
        <v>0</v>
      </c>
      <c r="JQ23" s="92">
        <v>0</v>
      </c>
      <c r="JR23" s="92">
        <v>0</v>
      </c>
      <c r="JS23" s="92">
        <v>0</v>
      </c>
      <c r="JT23" s="92">
        <v>0</v>
      </c>
      <c r="JU23" s="92">
        <v>0</v>
      </c>
      <c r="JV23" s="92">
        <v>0</v>
      </c>
      <c r="JW23" s="92">
        <v>0</v>
      </c>
      <c r="JX23" s="92">
        <v>0</v>
      </c>
      <c r="JY23" s="92">
        <v>0</v>
      </c>
      <c r="JZ23" s="92">
        <v>0</v>
      </c>
      <c r="KA23" s="92">
        <v>0</v>
      </c>
      <c r="KB23" s="92">
        <v>0</v>
      </c>
      <c r="KC23" s="92">
        <v>0</v>
      </c>
      <c r="KD23" s="92">
        <v>0</v>
      </c>
      <c r="KE23" s="92">
        <v>0</v>
      </c>
      <c r="KF23" s="92">
        <v>0</v>
      </c>
      <c r="KG23" s="92">
        <v>0</v>
      </c>
      <c r="KH23" s="92">
        <v>0</v>
      </c>
      <c r="KI23" s="92">
        <v>0</v>
      </c>
      <c r="KJ23" s="92">
        <v>0</v>
      </c>
      <c r="KK23" s="92">
        <v>0</v>
      </c>
      <c r="KL23" s="92">
        <v>0</v>
      </c>
      <c r="KM23" s="92">
        <v>0</v>
      </c>
      <c r="KN23" s="92">
        <v>0</v>
      </c>
      <c r="KO23" s="92">
        <v>0</v>
      </c>
      <c r="KP23" s="92">
        <v>0</v>
      </c>
      <c r="KQ23" s="92">
        <v>0</v>
      </c>
      <c r="KR23" s="92">
        <v>0</v>
      </c>
      <c r="KS23" s="92">
        <v>0</v>
      </c>
      <c r="KT23" s="92">
        <v>0</v>
      </c>
      <c r="KU23" s="92">
        <v>0</v>
      </c>
      <c r="KV23" s="92">
        <v>0</v>
      </c>
      <c r="KW23" s="92">
        <v>0</v>
      </c>
      <c r="KX23" s="92">
        <v>0</v>
      </c>
      <c r="KY23" s="92">
        <v>0</v>
      </c>
      <c r="KZ23" s="92">
        <v>0</v>
      </c>
      <c r="LA23" s="92">
        <v>0</v>
      </c>
      <c r="LB23" s="92">
        <v>0</v>
      </c>
      <c r="LC23" s="92">
        <v>0</v>
      </c>
      <c r="LD23" s="92">
        <v>0</v>
      </c>
      <c r="LE23" s="92">
        <v>0</v>
      </c>
      <c r="LF23" s="92">
        <v>0</v>
      </c>
      <c r="LG23" s="92">
        <v>0</v>
      </c>
      <c r="LH23" s="92">
        <v>0</v>
      </c>
      <c r="LI23" s="92">
        <v>0</v>
      </c>
      <c r="LJ23" s="92">
        <v>0</v>
      </c>
      <c r="LK23" s="92">
        <v>0</v>
      </c>
      <c r="LL23" s="92">
        <v>0</v>
      </c>
      <c r="LM23" s="92">
        <v>0</v>
      </c>
      <c r="LN23" s="92">
        <v>0</v>
      </c>
      <c r="LO23" s="92">
        <v>0</v>
      </c>
      <c r="LP23" s="92">
        <v>0</v>
      </c>
      <c r="LQ23" s="92">
        <v>0</v>
      </c>
      <c r="LR23" s="92">
        <v>0</v>
      </c>
      <c r="LS23" s="92">
        <v>0</v>
      </c>
      <c r="LT23" s="92">
        <v>0</v>
      </c>
      <c r="LU23" s="92">
        <v>0</v>
      </c>
      <c r="LV23" s="92">
        <v>0</v>
      </c>
      <c r="LW23" s="92">
        <v>0</v>
      </c>
      <c r="LX23" s="92">
        <v>0</v>
      </c>
      <c r="LY23" s="92">
        <v>0</v>
      </c>
      <c r="LZ23" s="92">
        <v>0</v>
      </c>
      <c r="MA23" s="92">
        <v>0</v>
      </c>
      <c r="MB23" s="92">
        <v>0</v>
      </c>
      <c r="MC23" s="92">
        <v>0</v>
      </c>
      <c r="MD23" s="92">
        <v>0</v>
      </c>
      <c r="ME23" s="92">
        <v>0</v>
      </c>
      <c r="MF23" s="92">
        <v>0</v>
      </c>
      <c r="MG23" s="92">
        <v>0</v>
      </c>
      <c r="MH23" s="92">
        <v>0</v>
      </c>
      <c r="MI23" s="92">
        <v>0</v>
      </c>
      <c r="MJ23" s="92">
        <v>0</v>
      </c>
      <c r="MK23" s="92">
        <v>0</v>
      </c>
      <c r="ML23" s="92">
        <v>0</v>
      </c>
      <c r="MM23" s="92">
        <v>0</v>
      </c>
      <c r="MN23" s="92">
        <v>0</v>
      </c>
      <c r="MO23" s="92">
        <v>0</v>
      </c>
      <c r="MP23" s="92">
        <v>0</v>
      </c>
      <c r="MQ23" s="92">
        <v>0</v>
      </c>
      <c r="MR23" s="92">
        <v>0</v>
      </c>
      <c r="MS23" s="92">
        <v>0</v>
      </c>
      <c r="MT23" s="92">
        <v>0</v>
      </c>
      <c r="MU23" s="92">
        <v>0</v>
      </c>
      <c r="MV23" s="92">
        <v>0</v>
      </c>
      <c r="MW23" s="92">
        <v>0</v>
      </c>
      <c r="MX23" s="92">
        <v>0</v>
      </c>
      <c r="MY23" s="92">
        <v>0</v>
      </c>
      <c r="MZ23" s="92">
        <v>0</v>
      </c>
      <c r="NA23" s="92">
        <v>0</v>
      </c>
      <c r="NB23" s="92">
        <v>0</v>
      </c>
      <c r="NC23" s="92">
        <v>0</v>
      </c>
      <c r="ND23" s="92">
        <v>0</v>
      </c>
      <c r="NE23" s="92">
        <v>0</v>
      </c>
      <c r="NF23" s="92">
        <v>0</v>
      </c>
      <c r="NG23" s="92">
        <v>0</v>
      </c>
      <c r="NH23" s="92">
        <v>0</v>
      </c>
      <c r="NI23" s="92">
        <v>0</v>
      </c>
      <c r="NJ23" s="92">
        <v>0</v>
      </c>
      <c r="NK23" s="92">
        <v>0</v>
      </c>
      <c r="NL23" s="92">
        <v>0</v>
      </c>
      <c r="NM23" s="92">
        <v>0</v>
      </c>
      <c r="NN23" s="92">
        <v>0</v>
      </c>
      <c r="NO23" s="92">
        <v>0</v>
      </c>
      <c r="NP23" s="92">
        <v>0</v>
      </c>
      <c r="NQ23" s="92">
        <v>0</v>
      </c>
      <c r="NR23" s="92">
        <v>0</v>
      </c>
      <c r="NS23" s="92">
        <v>0</v>
      </c>
      <c r="NT23" s="92">
        <v>0</v>
      </c>
      <c r="NU23" s="92">
        <v>0</v>
      </c>
      <c r="NV23" s="92">
        <v>0</v>
      </c>
      <c r="NW23" s="92">
        <v>0</v>
      </c>
      <c r="NX23" s="92">
        <v>0</v>
      </c>
      <c r="NY23" s="92">
        <v>0</v>
      </c>
      <c r="NZ23" s="92">
        <v>0</v>
      </c>
      <c r="OA23" s="92">
        <v>0</v>
      </c>
      <c r="OB23" s="92">
        <v>0</v>
      </c>
      <c r="OC23" s="92">
        <v>0</v>
      </c>
      <c r="OD23" s="92">
        <v>0</v>
      </c>
      <c r="OE23" s="92">
        <v>0</v>
      </c>
      <c r="OF23" s="92">
        <v>0</v>
      </c>
      <c r="OG23" s="92">
        <v>0</v>
      </c>
      <c r="OH23" s="92">
        <v>0</v>
      </c>
      <c r="OI23" s="92">
        <v>0</v>
      </c>
      <c r="OJ23" s="92">
        <v>0</v>
      </c>
      <c r="OK23" s="92">
        <v>0</v>
      </c>
      <c r="OL23" s="92">
        <v>0</v>
      </c>
      <c r="OM23" s="92">
        <v>0</v>
      </c>
      <c r="ON23" s="92">
        <v>0</v>
      </c>
      <c r="OO23" s="92">
        <v>0</v>
      </c>
      <c r="OP23" s="92">
        <v>0</v>
      </c>
      <c r="OQ23" s="92">
        <v>0</v>
      </c>
      <c r="OR23" s="92">
        <v>0</v>
      </c>
      <c r="OS23" s="92">
        <v>0</v>
      </c>
      <c r="OT23" s="92">
        <v>0</v>
      </c>
      <c r="OU23" s="92">
        <v>0</v>
      </c>
      <c r="OV23" s="92">
        <v>0</v>
      </c>
      <c r="OW23" s="92">
        <v>0</v>
      </c>
      <c r="OX23" s="92">
        <v>0</v>
      </c>
      <c r="OY23" s="92">
        <v>0</v>
      </c>
      <c r="OZ23" s="92">
        <v>0</v>
      </c>
      <c r="PA23" s="92">
        <v>0</v>
      </c>
      <c r="PB23" s="92">
        <v>0</v>
      </c>
      <c r="PC23" s="92">
        <v>0</v>
      </c>
      <c r="PD23" s="92">
        <v>0</v>
      </c>
      <c r="PE23" s="92">
        <v>0</v>
      </c>
      <c r="PF23" s="92">
        <v>0</v>
      </c>
      <c r="PG23" s="92">
        <v>0</v>
      </c>
      <c r="PH23" s="92">
        <v>0</v>
      </c>
      <c r="PI23" s="92">
        <v>0</v>
      </c>
      <c r="PJ23" s="92">
        <v>0</v>
      </c>
      <c r="PK23" s="92">
        <v>0</v>
      </c>
      <c r="PL23" s="92">
        <v>0</v>
      </c>
      <c r="PM23" s="92">
        <v>0</v>
      </c>
      <c r="PN23" s="92">
        <v>0</v>
      </c>
      <c r="PO23" s="92">
        <v>0</v>
      </c>
      <c r="PP23" s="92">
        <v>0</v>
      </c>
      <c r="PQ23" s="92">
        <v>0</v>
      </c>
      <c r="PR23" s="92">
        <v>0</v>
      </c>
      <c r="PS23" s="92">
        <v>0</v>
      </c>
      <c r="PT23" s="92">
        <v>0</v>
      </c>
      <c r="PU23" s="92">
        <v>0</v>
      </c>
      <c r="PV23" s="92">
        <v>0</v>
      </c>
      <c r="PW23" s="92">
        <v>0</v>
      </c>
      <c r="PX23" s="92">
        <v>0</v>
      </c>
      <c r="PY23" s="92">
        <v>0</v>
      </c>
      <c r="PZ23" s="92">
        <v>0</v>
      </c>
      <c r="QA23" s="92">
        <v>0</v>
      </c>
      <c r="QB23" s="92">
        <v>0</v>
      </c>
      <c r="QC23" s="92">
        <v>0</v>
      </c>
      <c r="QD23" s="92">
        <v>0</v>
      </c>
      <c r="QE23" s="92">
        <v>0</v>
      </c>
      <c r="QF23" s="92">
        <v>0</v>
      </c>
      <c r="QG23" s="92">
        <v>0</v>
      </c>
      <c r="QH23" s="92">
        <v>0</v>
      </c>
      <c r="QI23" s="92">
        <v>0</v>
      </c>
      <c r="QJ23" s="92">
        <v>0</v>
      </c>
      <c r="QK23" s="92">
        <v>0</v>
      </c>
      <c r="QL23" s="92">
        <v>0</v>
      </c>
      <c r="QM23" s="92">
        <v>0</v>
      </c>
      <c r="QN23" s="92">
        <v>0</v>
      </c>
      <c r="QO23" s="92">
        <v>0</v>
      </c>
      <c r="QP23" s="92">
        <v>0</v>
      </c>
      <c r="QQ23" s="92">
        <v>0</v>
      </c>
      <c r="QR23" s="92">
        <v>0</v>
      </c>
      <c r="QS23" s="92">
        <v>0</v>
      </c>
      <c r="QT23" s="92">
        <v>0</v>
      </c>
      <c r="QU23" s="92">
        <v>0</v>
      </c>
      <c r="QV23" s="92">
        <v>0</v>
      </c>
      <c r="QW23" s="92">
        <v>0</v>
      </c>
      <c r="QX23" s="92">
        <v>0</v>
      </c>
      <c r="QY23" s="92">
        <v>0</v>
      </c>
      <c r="QZ23" s="92">
        <v>0</v>
      </c>
      <c r="RA23" s="92">
        <v>0</v>
      </c>
      <c r="RB23" s="92">
        <v>0</v>
      </c>
      <c r="RC23" s="92">
        <v>0</v>
      </c>
      <c r="RD23" s="92">
        <v>0</v>
      </c>
      <c r="RE23" s="92">
        <v>0</v>
      </c>
      <c r="RF23" s="92">
        <v>0</v>
      </c>
      <c r="RG23" s="92">
        <v>0</v>
      </c>
      <c r="RH23" s="92">
        <v>0</v>
      </c>
      <c r="RI23" s="92">
        <v>0</v>
      </c>
      <c r="RJ23" s="92">
        <v>0</v>
      </c>
      <c r="RK23" s="92">
        <v>0</v>
      </c>
      <c r="RL23" s="92">
        <v>0</v>
      </c>
      <c r="RM23" s="92">
        <v>0</v>
      </c>
      <c r="RN23" s="92">
        <v>0</v>
      </c>
      <c r="RO23" s="92">
        <v>0</v>
      </c>
      <c r="RP23" s="92">
        <v>0</v>
      </c>
      <c r="RQ23" s="92">
        <v>0</v>
      </c>
      <c r="RR23" s="92">
        <v>0</v>
      </c>
      <c r="RS23" s="92">
        <v>0</v>
      </c>
      <c r="RT23" s="92">
        <v>0</v>
      </c>
      <c r="RU23" s="92">
        <v>0</v>
      </c>
      <c r="RV23" s="92">
        <v>0</v>
      </c>
      <c r="RW23" s="92">
        <v>0</v>
      </c>
      <c r="RX23" s="92">
        <v>0</v>
      </c>
      <c r="RY23" s="92">
        <v>0</v>
      </c>
      <c r="RZ23" s="92">
        <v>0</v>
      </c>
      <c r="SA23" s="92">
        <v>0</v>
      </c>
      <c r="SB23" s="92">
        <v>0</v>
      </c>
      <c r="SC23" s="92">
        <v>0</v>
      </c>
      <c r="SD23" s="92">
        <v>0</v>
      </c>
      <c r="SE23" s="92">
        <v>0</v>
      </c>
      <c r="SF23" s="92">
        <v>0</v>
      </c>
      <c r="SG23" s="92">
        <v>0</v>
      </c>
      <c r="SH23" s="92">
        <v>0</v>
      </c>
      <c r="SI23" s="92">
        <v>0</v>
      </c>
      <c r="SJ23" s="92">
        <v>0</v>
      </c>
      <c r="SK23" s="92">
        <v>0</v>
      </c>
      <c r="SL23" s="92">
        <v>0</v>
      </c>
      <c r="SM23" s="92">
        <v>0</v>
      </c>
      <c r="SN23" s="92">
        <v>0</v>
      </c>
      <c r="SO23" s="92">
        <v>0</v>
      </c>
      <c r="SP23" s="92">
        <v>0</v>
      </c>
      <c r="SQ23" s="92">
        <v>0</v>
      </c>
      <c r="SR23" s="92">
        <v>0</v>
      </c>
      <c r="SS23" s="92">
        <v>0</v>
      </c>
      <c r="ST23" s="92">
        <v>0</v>
      </c>
      <c r="SU23" s="92">
        <v>0</v>
      </c>
      <c r="SV23" s="92">
        <v>0</v>
      </c>
      <c r="SW23" s="92">
        <v>0</v>
      </c>
      <c r="SX23" s="92">
        <v>0</v>
      </c>
      <c r="SY23" s="92">
        <v>0</v>
      </c>
      <c r="SZ23" s="92">
        <v>0</v>
      </c>
      <c r="TA23" s="92">
        <v>0</v>
      </c>
      <c r="TB23" s="92">
        <v>0</v>
      </c>
      <c r="TC23" s="92">
        <v>0</v>
      </c>
      <c r="TD23" s="92">
        <v>0</v>
      </c>
      <c r="TE23" s="92">
        <v>0</v>
      </c>
      <c r="TF23" s="92">
        <v>0</v>
      </c>
      <c r="TG23" s="92">
        <v>0</v>
      </c>
      <c r="TH23" s="92">
        <v>0</v>
      </c>
      <c r="TI23" s="92">
        <v>0</v>
      </c>
      <c r="TJ23" s="92">
        <v>0</v>
      </c>
      <c r="TK23" s="92">
        <v>0</v>
      </c>
      <c r="TL23" s="92">
        <v>0</v>
      </c>
      <c r="TM23" s="92">
        <v>0</v>
      </c>
      <c r="TN23" s="92">
        <v>0</v>
      </c>
      <c r="TO23" s="92">
        <v>0</v>
      </c>
      <c r="TP23" s="92">
        <v>0</v>
      </c>
      <c r="TQ23" s="92">
        <v>0</v>
      </c>
      <c r="TR23" s="92">
        <v>0</v>
      </c>
      <c r="TS23" s="92">
        <v>0</v>
      </c>
      <c r="TT23" s="92">
        <v>0</v>
      </c>
      <c r="TU23" s="92">
        <v>0</v>
      </c>
      <c r="TV23" s="92">
        <v>0</v>
      </c>
      <c r="TW23" s="92">
        <v>0</v>
      </c>
      <c r="TX23" s="92">
        <v>0</v>
      </c>
      <c r="TY23" s="92">
        <v>0</v>
      </c>
      <c r="TZ23" s="92">
        <v>0</v>
      </c>
      <c r="UA23" s="92">
        <v>0</v>
      </c>
      <c r="UB23" s="92">
        <v>0</v>
      </c>
      <c r="UC23" s="92">
        <v>0</v>
      </c>
      <c r="UD23" s="92">
        <v>0</v>
      </c>
      <c r="UE23" s="92">
        <v>0</v>
      </c>
      <c r="UF23" s="92">
        <v>0</v>
      </c>
      <c r="UG23" s="92">
        <v>0</v>
      </c>
      <c r="UH23" s="92">
        <v>0</v>
      </c>
      <c r="UI23" s="92">
        <v>0</v>
      </c>
      <c r="UJ23" s="92">
        <v>0</v>
      </c>
      <c r="UK23" s="92">
        <v>0</v>
      </c>
      <c r="UL23" s="92">
        <v>0</v>
      </c>
      <c r="UM23" s="92">
        <v>0</v>
      </c>
      <c r="UN23" s="92">
        <v>0</v>
      </c>
      <c r="UO23" s="92">
        <v>0</v>
      </c>
      <c r="UP23" s="92">
        <v>0</v>
      </c>
      <c r="UQ23" s="92">
        <v>0</v>
      </c>
      <c r="UR23" s="92">
        <v>0</v>
      </c>
      <c r="US23" s="92">
        <v>0</v>
      </c>
      <c r="UT23" s="92">
        <v>0</v>
      </c>
      <c r="UU23" s="92">
        <v>0</v>
      </c>
      <c r="UV23" s="92">
        <v>0</v>
      </c>
      <c r="UW23" s="92">
        <v>0</v>
      </c>
      <c r="UX23" s="92">
        <v>0</v>
      </c>
      <c r="UY23" s="92">
        <v>0</v>
      </c>
      <c r="UZ23" s="92">
        <v>0</v>
      </c>
      <c r="VA23" s="92">
        <v>0</v>
      </c>
      <c r="VB23" s="92">
        <v>0</v>
      </c>
      <c r="VC23" s="92">
        <v>0</v>
      </c>
      <c r="VD23" s="92">
        <v>0</v>
      </c>
      <c r="VE23" s="92">
        <v>0</v>
      </c>
      <c r="VF23" s="92">
        <v>0</v>
      </c>
      <c r="VG23" s="92">
        <v>0</v>
      </c>
      <c r="VH23" s="92">
        <v>0</v>
      </c>
      <c r="VI23" s="92">
        <v>0</v>
      </c>
      <c r="VJ23" s="92">
        <v>0</v>
      </c>
      <c r="VK23" s="92">
        <v>0</v>
      </c>
      <c r="VL23" s="92">
        <v>0</v>
      </c>
      <c r="VM23" s="92">
        <v>0</v>
      </c>
      <c r="VN23" s="92">
        <v>0</v>
      </c>
      <c r="VO23" s="92">
        <v>0</v>
      </c>
      <c r="VP23" s="92">
        <v>0</v>
      </c>
      <c r="VQ23" s="92">
        <v>0</v>
      </c>
      <c r="VR23" s="92">
        <v>0</v>
      </c>
      <c r="VS23" s="92">
        <v>0</v>
      </c>
      <c r="VT23" s="92">
        <v>0</v>
      </c>
      <c r="VU23" s="92">
        <v>0</v>
      </c>
      <c r="VV23" s="92">
        <v>0</v>
      </c>
      <c r="VW23" s="92">
        <v>0</v>
      </c>
      <c r="VX23" s="92">
        <v>0</v>
      </c>
      <c r="VY23" s="92">
        <v>0</v>
      </c>
      <c r="VZ23" s="92">
        <v>0</v>
      </c>
      <c r="WA23" s="92">
        <v>0</v>
      </c>
      <c r="WB23" s="92">
        <v>0</v>
      </c>
      <c r="WC23" s="92">
        <v>0</v>
      </c>
      <c r="WD23" s="92">
        <v>0</v>
      </c>
      <c r="WE23" s="92">
        <v>0</v>
      </c>
      <c r="WF23" s="92">
        <v>0</v>
      </c>
      <c r="WG23" s="92">
        <v>0</v>
      </c>
      <c r="WH23" s="92">
        <v>0</v>
      </c>
      <c r="WI23" s="92">
        <v>0</v>
      </c>
      <c r="WJ23" s="92">
        <v>0</v>
      </c>
      <c r="WK23" s="92">
        <v>0</v>
      </c>
      <c r="WL23" s="92">
        <v>0</v>
      </c>
      <c r="WM23" s="92">
        <v>0</v>
      </c>
      <c r="WN23" s="92">
        <v>0</v>
      </c>
      <c r="WO23" s="92">
        <v>0</v>
      </c>
      <c r="WP23" s="92">
        <v>0</v>
      </c>
      <c r="WQ23" s="92">
        <v>0</v>
      </c>
      <c r="WR23" s="92">
        <v>0</v>
      </c>
      <c r="WS23" s="92">
        <v>0</v>
      </c>
      <c r="WT23" s="92">
        <v>0</v>
      </c>
      <c r="WU23" s="92">
        <v>0</v>
      </c>
      <c r="WV23" s="92">
        <v>0</v>
      </c>
      <c r="WW23" s="92">
        <v>0</v>
      </c>
      <c r="WX23" s="92">
        <v>0</v>
      </c>
      <c r="WY23" s="92">
        <v>0</v>
      </c>
      <c r="WZ23" s="92">
        <v>0</v>
      </c>
      <c r="XA23" s="92">
        <v>0</v>
      </c>
      <c r="XB23" s="92">
        <v>0</v>
      </c>
      <c r="XC23" s="92">
        <v>0</v>
      </c>
      <c r="XD23" s="92">
        <v>0</v>
      </c>
      <c r="XE23" s="92">
        <v>0</v>
      </c>
      <c r="XF23" s="92">
        <v>0</v>
      </c>
      <c r="XG23" s="92">
        <v>0</v>
      </c>
      <c r="XH23" s="92">
        <v>0</v>
      </c>
      <c r="XI23" s="92">
        <v>0</v>
      </c>
      <c r="XJ23" s="92">
        <v>0</v>
      </c>
      <c r="XK23" s="92">
        <v>0</v>
      </c>
      <c r="XL23" s="92">
        <v>0</v>
      </c>
      <c r="XM23" s="92">
        <v>0</v>
      </c>
      <c r="XN23" s="92">
        <v>0</v>
      </c>
      <c r="XO23" s="92">
        <v>0</v>
      </c>
      <c r="XP23" s="92">
        <v>0</v>
      </c>
      <c r="XQ23" s="92">
        <v>0</v>
      </c>
      <c r="XR23" s="92">
        <v>0</v>
      </c>
      <c r="XS23" s="92">
        <v>0</v>
      </c>
      <c r="XT23" s="92">
        <v>0</v>
      </c>
      <c r="XU23" s="92">
        <v>0</v>
      </c>
      <c r="XV23" s="92">
        <v>0</v>
      </c>
      <c r="XW23" s="92">
        <v>0</v>
      </c>
      <c r="XX23" s="92">
        <v>0</v>
      </c>
      <c r="XY23" s="92">
        <v>0</v>
      </c>
      <c r="XZ23" s="92">
        <v>0</v>
      </c>
      <c r="YA23" s="92">
        <v>0</v>
      </c>
      <c r="YB23" s="92">
        <v>0</v>
      </c>
      <c r="YC23" s="92">
        <v>0</v>
      </c>
      <c r="YD23" s="92">
        <v>0</v>
      </c>
      <c r="YE23" s="92">
        <v>0</v>
      </c>
      <c r="YF23" s="92">
        <v>0</v>
      </c>
      <c r="YG23" s="92">
        <v>0</v>
      </c>
      <c r="YH23" s="92">
        <v>0</v>
      </c>
      <c r="YI23" s="92">
        <v>0</v>
      </c>
      <c r="YJ23" s="92">
        <v>0</v>
      </c>
      <c r="YK23" s="92">
        <v>0</v>
      </c>
      <c r="YL23" s="92">
        <v>0</v>
      </c>
      <c r="YM23" s="92">
        <v>0</v>
      </c>
      <c r="YN23" s="92">
        <v>0</v>
      </c>
      <c r="YO23" s="92">
        <v>0</v>
      </c>
      <c r="YP23" s="92">
        <v>0</v>
      </c>
      <c r="YQ23" s="92">
        <v>0</v>
      </c>
      <c r="YR23" s="92">
        <v>0</v>
      </c>
      <c r="YS23" s="92">
        <v>0</v>
      </c>
      <c r="YT23" s="92">
        <v>0</v>
      </c>
      <c r="YU23" s="92">
        <v>0</v>
      </c>
      <c r="YV23" s="92">
        <v>0</v>
      </c>
      <c r="YW23" s="92">
        <v>0</v>
      </c>
      <c r="YX23" s="92">
        <v>0</v>
      </c>
      <c r="YY23" s="92">
        <v>0</v>
      </c>
      <c r="YZ23" s="92">
        <v>0</v>
      </c>
      <c r="ZA23" s="92">
        <v>0</v>
      </c>
      <c r="ZB23" s="92">
        <v>0</v>
      </c>
      <c r="ZC23" s="92">
        <v>0</v>
      </c>
      <c r="ZD23" s="92">
        <v>0</v>
      </c>
      <c r="ZE23" s="92">
        <v>0</v>
      </c>
      <c r="ZF23" s="92">
        <v>0</v>
      </c>
      <c r="ZG23" s="92">
        <v>0</v>
      </c>
      <c r="ZH23" s="92">
        <v>0</v>
      </c>
      <c r="ZI23" s="92">
        <v>0</v>
      </c>
      <c r="ZJ23" s="92">
        <v>0</v>
      </c>
      <c r="ZK23" s="92">
        <v>0</v>
      </c>
      <c r="ZL23" s="92">
        <v>0</v>
      </c>
      <c r="ZM23" s="92">
        <v>0</v>
      </c>
      <c r="ZN23" s="92">
        <v>0</v>
      </c>
      <c r="ZO23" s="92">
        <v>0</v>
      </c>
      <c r="ZP23" s="92">
        <v>0</v>
      </c>
      <c r="ZQ23" s="92">
        <v>0</v>
      </c>
      <c r="ZR23" s="92">
        <v>0</v>
      </c>
      <c r="ZS23" s="92">
        <v>0</v>
      </c>
      <c r="ZT23" s="92">
        <v>0</v>
      </c>
      <c r="ZU23" s="92">
        <v>0</v>
      </c>
      <c r="ZV23" s="92">
        <v>0</v>
      </c>
      <c r="ZW23" s="92">
        <v>0</v>
      </c>
      <c r="ZX23" s="92">
        <v>0</v>
      </c>
      <c r="ZY23" s="92">
        <v>0</v>
      </c>
      <c r="ZZ23" s="92">
        <v>0</v>
      </c>
      <c r="AAA23" s="92">
        <v>0</v>
      </c>
      <c r="AAB23" s="92">
        <v>0</v>
      </c>
      <c r="AAC23" s="92">
        <v>0</v>
      </c>
      <c r="AAD23" s="92">
        <v>0</v>
      </c>
      <c r="AAE23" s="92">
        <v>0</v>
      </c>
      <c r="AAF23" s="92">
        <v>0</v>
      </c>
      <c r="AAG23" s="92">
        <v>0</v>
      </c>
      <c r="AAH23" s="92">
        <v>0</v>
      </c>
      <c r="AAI23" s="92">
        <v>0</v>
      </c>
      <c r="AAJ23" s="92">
        <v>0</v>
      </c>
      <c r="AAK23" s="92">
        <v>0</v>
      </c>
      <c r="AAL23" s="92">
        <v>0</v>
      </c>
      <c r="AAM23" s="92">
        <v>0</v>
      </c>
      <c r="AAN23" s="92">
        <v>0</v>
      </c>
      <c r="AAO23" s="92">
        <v>0</v>
      </c>
      <c r="AAP23" s="92">
        <v>0</v>
      </c>
      <c r="AAQ23" s="92">
        <v>0</v>
      </c>
      <c r="AAR23" s="92">
        <v>0</v>
      </c>
      <c r="AAS23" s="92">
        <v>0</v>
      </c>
      <c r="AAT23" s="92">
        <v>0</v>
      </c>
      <c r="AAU23" s="92">
        <v>0</v>
      </c>
      <c r="AAV23" s="92">
        <v>0</v>
      </c>
      <c r="AAW23" s="92">
        <v>0</v>
      </c>
      <c r="AAX23" s="92">
        <v>0</v>
      </c>
      <c r="AAY23" s="92">
        <v>0</v>
      </c>
      <c r="AAZ23" s="92">
        <v>0</v>
      </c>
      <c r="ABA23" s="92">
        <v>0</v>
      </c>
      <c r="ABB23" s="92">
        <v>0</v>
      </c>
      <c r="ABC23" s="92">
        <v>0</v>
      </c>
      <c r="ABD23" s="92">
        <v>0</v>
      </c>
      <c r="ABE23" s="92">
        <v>0</v>
      </c>
      <c r="ABF23" s="92">
        <v>0</v>
      </c>
      <c r="ABG23" s="92">
        <v>0</v>
      </c>
      <c r="ABH23" s="92">
        <v>0</v>
      </c>
      <c r="ABI23" s="92">
        <v>0</v>
      </c>
      <c r="ABJ23" s="92">
        <v>0</v>
      </c>
      <c r="ABK23" s="92">
        <v>0</v>
      </c>
      <c r="ABL23" s="92">
        <v>0</v>
      </c>
      <c r="ABM23" s="92">
        <v>0</v>
      </c>
      <c r="ABN23" s="92">
        <v>0</v>
      </c>
      <c r="ABO23" s="92">
        <v>0</v>
      </c>
      <c r="ABP23" s="92">
        <v>0</v>
      </c>
      <c r="ABQ23" s="92">
        <v>0</v>
      </c>
      <c r="ABR23" s="92">
        <v>0</v>
      </c>
      <c r="ABS23" s="92">
        <v>0</v>
      </c>
      <c r="ABT23" s="92">
        <v>0</v>
      </c>
      <c r="ABU23" s="92">
        <v>0</v>
      </c>
      <c r="ABV23" s="92">
        <v>0</v>
      </c>
      <c r="ABW23" s="92">
        <v>0</v>
      </c>
      <c r="ABX23" s="92">
        <v>0</v>
      </c>
      <c r="ABY23" s="92">
        <v>0</v>
      </c>
      <c r="ABZ23" s="92">
        <v>0</v>
      </c>
      <c r="ACA23" s="92">
        <v>0</v>
      </c>
      <c r="ACB23" s="92">
        <v>0</v>
      </c>
      <c r="ACC23" s="92">
        <v>0</v>
      </c>
      <c r="ACD23" s="92">
        <v>0</v>
      </c>
      <c r="ACE23" s="92">
        <v>0</v>
      </c>
      <c r="ACF23" s="92">
        <v>0</v>
      </c>
      <c r="ACG23" s="92">
        <v>0</v>
      </c>
      <c r="ACH23" s="92">
        <v>0</v>
      </c>
      <c r="ACI23" s="92">
        <v>0</v>
      </c>
      <c r="ACJ23" s="92">
        <v>0</v>
      </c>
      <c r="ACK23" s="92">
        <v>0</v>
      </c>
      <c r="ACL23" s="92">
        <v>0</v>
      </c>
      <c r="ACM23" s="92">
        <v>0</v>
      </c>
      <c r="ACN23" s="92">
        <v>0</v>
      </c>
      <c r="ACO23" s="92">
        <v>0</v>
      </c>
      <c r="ACP23" s="92">
        <v>0</v>
      </c>
      <c r="ACQ23" s="92">
        <v>0</v>
      </c>
      <c r="ACR23" s="92">
        <v>0</v>
      </c>
      <c r="ACS23" s="92">
        <v>0</v>
      </c>
      <c r="ACT23" s="92">
        <v>0</v>
      </c>
      <c r="ACU23" s="92">
        <v>0</v>
      </c>
      <c r="ACV23" s="92">
        <v>0</v>
      </c>
      <c r="ACW23" s="92">
        <v>0</v>
      </c>
      <c r="ACX23" s="92">
        <v>0</v>
      </c>
      <c r="ACY23" s="92">
        <v>0</v>
      </c>
      <c r="ACZ23" s="92">
        <v>0</v>
      </c>
      <c r="ADA23" s="92">
        <v>0</v>
      </c>
      <c r="ADB23" s="92">
        <v>0</v>
      </c>
      <c r="ADC23" s="92">
        <v>0</v>
      </c>
      <c r="ADD23" s="92">
        <v>0</v>
      </c>
      <c r="ADE23" s="92">
        <v>0</v>
      </c>
      <c r="ADF23" s="92">
        <v>0</v>
      </c>
      <c r="ADG23" s="92">
        <v>0</v>
      </c>
      <c r="ADH23" s="92">
        <v>0</v>
      </c>
      <c r="ADI23" s="92">
        <v>0</v>
      </c>
      <c r="ADJ23" s="92">
        <v>0</v>
      </c>
      <c r="ADK23" s="92">
        <v>0</v>
      </c>
      <c r="ADL23" s="92">
        <v>0</v>
      </c>
      <c r="ADM23" s="92">
        <v>0</v>
      </c>
      <c r="ADN23" s="92">
        <v>0</v>
      </c>
      <c r="ADO23" s="92">
        <v>0</v>
      </c>
      <c r="ADP23" s="92">
        <v>0</v>
      </c>
      <c r="ADQ23" s="92">
        <v>0</v>
      </c>
      <c r="ADR23" s="92">
        <v>0</v>
      </c>
      <c r="ADS23" s="92">
        <v>0</v>
      </c>
      <c r="ADT23" s="92">
        <v>0</v>
      </c>
      <c r="ADU23" s="92">
        <v>0</v>
      </c>
      <c r="ADV23" s="92">
        <v>0</v>
      </c>
      <c r="ADW23" s="92">
        <v>0</v>
      </c>
      <c r="ADX23" s="92">
        <v>0</v>
      </c>
      <c r="ADY23" s="92">
        <v>0</v>
      </c>
      <c r="ADZ23" s="92">
        <v>0</v>
      </c>
      <c r="AEA23" s="92">
        <v>0</v>
      </c>
      <c r="AEB23" s="92">
        <v>0</v>
      </c>
      <c r="AEC23" s="92">
        <v>0</v>
      </c>
      <c r="AED23" s="92">
        <v>0</v>
      </c>
      <c r="AEE23" s="92">
        <v>0</v>
      </c>
      <c r="AEF23" s="92">
        <v>0</v>
      </c>
      <c r="AEG23" s="92">
        <v>0</v>
      </c>
      <c r="AEH23" s="92">
        <v>0</v>
      </c>
      <c r="AEI23" s="92">
        <v>0</v>
      </c>
      <c r="AEJ23" s="92">
        <v>0</v>
      </c>
      <c r="AEK23" s="92">
        <v>0</v>
      </c>
      <c r="AEL23" s="92">
        <v>0</v>
      </c>
      <c r="AEM23" s="92">
        <v>0</v>
      </c>
      <c r="AEN23" s="92">
        <v>0</v>
      </c>
      <c r="AEO23" s="92">
        <v>0</v>
      </c>
      <c r="AEP23" s="92">
        <v>0</v>
      </c>
      <c r="AEQ23" s="92">
        <v>0</v>
      </c>
      <c r="AER23" s="92">
        <v>0</v>
      </c>
      <c r="AES23" s="92">
        <v>0</v>
      </c>
      <c r="AET23" s="92">
        <v>0</v>
      </c>
      <c r="AEU23" s="92">
        <v>0</v>
      </c>
      <c r="AEV23" s="92">
        <v>0</v>
      </c>
      <c r="AEW23" s="92">
        <v>0</v>
      </c>
      <c r="AEX23" s="92">
        <v>0</v>
      </c>
      <c r="AEY23" s="92">
        <v>0</v>
      </c>
      <c r="AEZ23" s="92">
        <v>0</v>
      </c>
      <c r="AFA23" s="92">
        <v>0</v>
      </c>
      <c r="AFB23" s="92">
        <v>0</v>
      </c>
      <c r="AFC23" s="92">
        <v>0</v>
      </c>
      <c r="AFD23" s="92">
        <v>0</v>
      </c>
      <c r="AFE23" s="92">
        <v>0</v>
      </c>
      <c r="AFF23" s="92">
        <v>0</v>
      </c>
      <c r="AFG23" s="92">
        <v>0</v>
      </c>
      <c r="AFH23" s="92">
        <v>0</v>
      </c>
      <c r="AFI23" s="92">
        <v>0</v>
      </c>
      <c r="AFJ23" s="92">
        <v>0</v>
      </c>
      <c r="AFK23" s="92">
        <v>0</v>
      </c>
      <c r="AFL23" s="92">
        <v>0</v>
      </c>
      <c r="AFM23" s="92">
        <v>0</v>
      </c>
      <c r="AFN23" s="92">
        <v>0</v>
      </c>
      <c r="AFO23" s="92">
        <v>0</v>
      </c>
      <c r="AFP23" s="92">
        <v>0</v>
      </c>
      <c r="AFQ23" s="92">
        <v>0</v>
      </c>
      <c r="AFR23" s="92">
        <v>0</v>
      </c>
      <c r="AFS23" s="92">
        <v>0</v>
      </c>
      <c r="AFT23" s="92">
        <v>0</v>
      </c>
      <c r="AFU23" s="92">
        <v>0</v>
      </c>
      <c r="AFV23" s="92">
        <v>0</v>
      </c>
      <c r="AFW23" s="92">
        <v>0</v>
      </c>
      <c r="AFX23" s="92">
        <v>0</v>
      </c>
      <c r="AFY23" s="92">
        <v>0</v>
      </c>
      <c r="AFZ23" s="92">
        <v>0</v>
      </c>
      <c r="AGA23" s="92">
        <v>0</v>
      </c>
      <c r="AGB23" s="92">
        <v>0</v>
      </c>
      <c r="AGC23" s="92">
        <v>0</v>
      </c>
      <c r="AGD23" s="92">
        <v>0</v>
      </c>
      <c r="AGE23" s="92">
        <v>0</v>
      </c>
      <c r="AGF23" s="92">
        <v>0</v>
      </c>
      <c r="AGG23" s="92">
        <v>0</v>
      </c>
      <c r="AGH23" s="92">
        <v>0</v>
      </c>
      <c r="AGI23" s="92">
        <v>0</v>
      </c>
      <c r="AGJ23" s="92">
        <v>0</v>
      </c>
      <c r="AGK23" s="92">
        <v>0</v>
      </c>
      <c r="AGL23" s="92">
        <v>0</v>
      </c>
      <c r="AGM23" s="92">
        <v>0</v>
      </c>
      <c r="AGN23" s="92">
        <v>0</v>
      </c>
      <c r="AGO23" s="92">
        <v>0</v>
      </c>
      <c r="AGP23" s="92">
        <v>0</v>
      </c>
      <c r="AGQ23" s="92">
        <v>0</v>
      </c>
      <c r="AGR23" s="92">
        <v>0</v>
      </c>
      <c r="AGS23" s="92">
        <v>0</v>
      </c>
      <c r="AGT23" s="92">
        <v>0</v>
      </c>
      <c r="AGU23" s="92">
        <v>0</v>
      </c>
      <c r="AGV23" s="92">
        <v>0</v>
      </c>
      <c r="AGW23" s="92">
        <v>0</v>
      </c>
      <c r="AGX23" s="92">
        <v>0</v>
      </c>
      <c r="AGY23" s="92">
        <v>0</v>
      </c>
      <c r="AGZ23" s="92">
        <v>0</v>
      </c>
      <c r="AHA23" s="92">
        <v>0</v>
      </c>
      <c r="AHB23" s="92">
        <v>0</v>
      </c>
      <c r="AHC23" s="92">
        <v>0</v>
      </c>
      <c r="AHD23" s="92">
        <v>0</v>
      </c>
      <c r="AHE23" s="92">
        <v>0</v>
      </c>
      <c r="AHF23" s="92">
        <v>0</v>
      </c>
      <c r="AHG23" s="92">
        <v>0</v>
      </c>
      <c r="AHH23" s="92">
        <v>0</v>
      </c>
      <c r="AHI23" s="92">
        <v>0</v>
      </c>
      <c r="AHJ23" s="92">
        <v>0</v>
      </c>
      <c r="AHK23" s="92">
        <v>0</v>
      </c>
      <c r="AHL23" s="92">
        <v>0</v>
      </c>
      <c r="AHM23" s="92">
        <v>0</v>
      </c>
      <c r="AHN23" s="92">
        <v>0</v>
      </c>
      <c r="AHO23" s="92">
        <v>0</v>
      </c>
      <c r="AHP23" s="92">
        <v>0</v>
      </c>
      <c r="AHQ23" s="92">
        <v>0</v>
      </c>
      <c r="AHR23" s="92">
        <v>0</v>
      </c>
      <c r="AHS23" s="92">
        <v>0</v>
      </c>
      <c r="AHT23" s="92">
        <v>0</v>
      </c>
      <c r="AHU23" s="92">
        <v>0</v>
      </c>
      <c r="AHV23" s="92">
        <v>0</v>
      </c>
      <c r="AHW23" s="92">
        <v>0</v>
      </c>
      <c r="AHX23" s="92">
        <v>0</v>
      </c>
      <c r="AHY23" s="92">
        <v>0</v>
      </c>
      <c r="AHZ23" s="92">
        <v>0</v>
      </c>
      <c r="AIA23" s="92">
        <v>0</v>
      </c>
      <c r="AIB23" s="92">
        <v>0</v>
      </c>
      <c r="AIC23" s="92">
        <v>0</v>
      </c>
      <c r="AID23" s="92">
        <v>0</v>
      </c>
      <c r="AIE23" s="92">
        <v>0</v>
      </c>
      <c r="AIF23" s="92">
        <v>0</v>
      </c>
      <c r="AIG23" s="92">
        <v>0</v>
      </c>
      <c r="AIH23" s="92">
        <v>0</v>
      </c>
      <c r="AII23" s="92">
        <v>0</v>
      </c>
      <c r="AIJ23" s="92">
        <v>0</v>
      </c>
      <c r="AIK23" s="92">
        <v>0</v>
      </c>
      <c r="AIL23" s="92">
        <v>0</v>
      </c>
      <c r="AIM23" s="92">
        <v>0</v>
      </c>
      <c r="AIN23" s="92">
        <v>0</v>
      </c>
      <c r="AIO23" s="92">
        <v>0</v>
      </c>
      <c r="AIP23" s="92">
        <v>0</v>
      </c>
      <c r="AIQ23" s="92">
        <v>0</v>
      </c>
      <c r="AIR23" s="92">
        <v>0</v>
      </c>
      <c r="AIS23" s="92">
        <v>0</v>
      </c>
      <c r="AIT23" s="92">
        <v>0</v>
      </c>
      <c r="AIU23" s="92">
        <v>0</v>
      </c>
      <c r="AIV23" s="92">
        <v>0</v>
      </c>
      <c r="AIW23" s="92">
        <v>0</v>
      </c>
      <c r="AIX23" s="92">
        <v>0</v>
      </c>
      <c r="AIY23" s="92">
        <v>0</v>
      </c>
      <c r="AIZ23" s="92">
        <v>0</v>
      </c>
      <c r="AJA23" s="92">
        <v>0</v>
      </c>
      <c r="AJB23" s="92">
        <v>0</v>
      </c>
      <c r="AJC23" s="92">
        <v>0</v>
      </c>
      <c r="AJD23" s="92">
        <v>0</v>
      </c>
      <c r="AJE23" s="92">
        <v>0</v>
      </c>
      <c r="AJF23" s="92">
        <v>0</v>
      </c>
      <c r="AJG23" s="92">
        <v>0</v>
      </c>
      <c r="AJH23" s="92">
        <v>0</v>
      </c>
      <c r="AJI23" s="92">
        <v>0</v>
      </c>
      <c r="AJJ23" s="92">
        <v>0</v>
      </c>
      <c r="AJK23" s="92">
        <v>0</v>
      </c>
      <c r="AJL23" s="92">
        <v>0</v>
      </c>
      <c r="AJM23" s="92">
        <v>0</v>
      </c>
      <c r="AJN23" s="92">
        <v>0</v>
      </c>
      <c r="AJO23" s="92">
        <v>0</v>
      </c>
      <c r="AJP23" s="92">
        <v>0</v>
      </c>
      <c r="AJQ23" s="92">
        <v>0</v>
      </c>
      <c r="AJR23" s="92">
        <v>0</v>
      </c>
      <c r="AJS23" s="92">
        <v>0</v>
      </c>
      <c r="AJT23" s="92">
        <v>0</v>
      </c>
      <c r="AJU23" s="92">
        <v>0</v>
      </c>
      <c r="AJV23" s="92">
        <v>0</v>
      </c>
      <c r="AJW23" s="92">
        <v>0</v>
      </c>
      <c r="AJX23" s="92">
        <v>0</v>
      </c>
      <c r="AJY23" s="92">
        <v>0</v>
      </c>
      <c r="AJZ23" s="92">
        <v>0</v>
      </c>
      <c r="AKA23" s="92">
        <v>0</v>
      </c>
      <c r="AKB23" s="92">
        <v>0</v>
      </c>
      <c r="AKC23" s="92">
        <v>0</v>
      </c>
      <c r="AKD23" s="92">
        <v>0</v>
      </c>
      <c r="AKE23" s="92">
        <v>0</v>
      </c>
      <c r="AKF23" s="92">
        <v>0</v>
      </c>
      <c r="AKG23" s="92">
        <v>0</v>
      </c>
      <c r="AKH23" s="92">
        <v>0</v>
      </c>
      <c r="AKI23" s="92">
        <v>0</v>
      </c>
      <c r="AKJ23" s="92">
        <v>0</v>
      </c>
      <c r="AKK23" s="92">
        <v>0</v>
      </c>
      <c r="AKL23" s="92">
        <v>0</v>
      </c>
      <c r="AKM23" s="92">
        <v>0</v>
      </c>
      <c r="AKN23" s="92">
        <v>0</v>
      </c>
      <c r="AKO23" s="92">
        <v>0</v>
      </c>
      <c r="AKP23" s="92">
        <v>0</v>
      </c>
      <c r="AKQ23" s="92">
        <v>0</v>
      </c>
      <c r="AKR23" s="92">
        <v>0</v>
      </c>
      <c r="AKS23" s="92">
        <v>0</v>
      </c>
      <c r="AKT23" s="92">
        <v>0</v>
      </c>
      <c r="AKU23" s="92">
        <v>0</v>
      </c>
      <c r="AKV23" s="92">
        <v>0</v>
      </c>
      <c r="AKW23" s="92">
        <v>0</v>
      </c>
      <c r="AKX23" s="92">
        <v>0</v>
      </c>
      <c r="AKY23" s="92">
        <v>0</v>
      </c>
      <c r="AKZ23" s="92">
        <v>0</v>
      </c>
      <c r="ALA23" s="92">
        <v>0</v>
      </c>
      <c r="ALB23" s="92">
        <v>0</v>
      </c>
      <c r="ALC23" s="92">
        <v>0</v>
      </c>
      <c r="ALD23" s="92">
        <v>0</v>
      </c>
      <c r="ALE23" s="92">
        <v>0</v>
      </c>
      <c r="ALF23" s="92">
        <v>0</v>
      </c>
      <c r="ALG23" s="92">
        <v>0</v>
      </c>
      <c r="ALH23" s="92">
        <v>0</v>
      </c>
      <c r="ALI23" s="92">
        <v>0</v>
      </c>
      <c r="ALJ23" s="92">
        <v>0</v>
      </c>
      <c r="ALK23" s="92">
        <v>0</v>
      </c>
      <c r="ALL23" s="92">
        <v>0</v>
      </c>
      <c r="ALM23" s="92">
        <v>0</v>
      </c>
      <c r="ALN23" s="92">
        <v>0</v>
      </c>
      <c r="ALO23" s="92">
        <v>0</v>
      </c>
      <c r="ALP23" s="92">
        <v>0</v>
      </c>
      <c r="ALQ23" s="92">
        <v>0</v>
      </c>
      <c r="ALR23" s="92">
        <v>0</v>
      </c>
      <c r="ALS23" s="92">
        <v>0</v>
      </c>
      <c r="ALT23" s="92">
        <v>0</v>
      </c>
      <c r="ALU23" s="92">
        <v>0</v>
      </c>
      <c r="ALV23" s="92">
        <v>0</v>
      </c>
      <c r="ALW23" s="92">
        <v>0</v>
      </c>
      <c r="ALX23" s="92">
        <v>0</v>
      </c>
      <c r="ALY23" s="92">
        <v>0</v>
      </c>
      <c r="ALZ23" s="92">
        <v>0</v>
      </c>
      <c r="AMA23" s="92">
        <v>0</v>
      </c>
      <c r="AMB23" s="92">
        <v>0</v>
      </c>
      <c r="AMC23" s="92">
        <v>0</v>
      </c>
      <c r="AMD23" s="92">
        <v>0</v>
      </c>
      <c r="AME23" s="92">
        <v>0</v>
      </c>
      <c r="AMF23" s="92">
        <v>0</v>
      </c>
      <c r="AMG23" s="92">
        <v>0</v>
      </c>
      <c r="AMH23" s="92">
        <v>0</v>
      </c>
      <c r="AMI23" s="92">
        <v>0</v>
      </c>
      <c r="AMJ23" s="92">
        <v>0</v>
      </c>
      <c r="AMK23" s="92">
        <v>0</v>
      </c>
      <c r="AML23" s="92">
        <v>0</v>
      </c>
      <c r="AMM23" s="92">
        <v>0</v>
      </c>
      <c r="AMN23" s="92">
        <v>0</v>
      </c>
      <c r="AMO23" s="92">
        <v>0</v>
      </c>
      <c r="AMP23" s="92">
        <v>0</v>
      </c>
      <c r="AMQ23" s="92">
        <v>0</v>
      </c>
      <c r="AMR23" s="92">
        <v>0</v>
      </c>
      <c r="AMS23" s="92">
        <v>0</v>
      </c>
      <c r="AMT23" s="92">
        <v>0</v>
      </c>
      <c r="AMU23" s="92">
        <v>0</v>
      </c>
      <c r="AMV23" s="92">
        <v>0</v>
      </c>
      <c r="AMW23" s="92">
        <v>0</v>
      </c>
      <c r="AMX23" s="92">
        <v>0</v>
      </c>
      <c r="AMY23" s="92">
        <v>0</v>
      </c>
      <c r="AMZ23" s="92">
        <v>0</v>
      </c>
      <c r="ANA23" s="92">
        <v>0</v>
      </c>
      <c r="ANB23" s="92">
        <v>0</v>
      </c>
      <c r="ANC23" s="92">
        <v>0</v>
      </c>
      <c r="AND23" s="92">
        <v>0</v>
      </c>
      <c r="ANE23" s="92">
        <v>0</v>
      </c>
      <c r="ANF23" s="92">
        <v>0</v>
      </c>
      <c r="ANG23" s="92">
        <v>0</v>
      </c>
      <c r="ANH23" s="92">
        <v>0</v>
      </c>
      <c r="ANI23" s="92">
        <v>0</v>
      </c>
      <c r="ANJ23" s="92">
        <v>0</v>
      </c>
      <c r="ANK23" s="92">
        <v>0</v>
      </c>
      <c r="ANL23" s="92">
        <v>0</v>
      </c>
      <c r="ANM23" s="92">
        <v>0</v>
      </c>
      <c r="ANN23" s="92">
        <v>0</v>
      </c>
      <c r="ANO23" s="92">
        <v>0</v>
      </c>
      <c r="ANP23" s="92">
        <v>0</v>
      </c>
      <c r="ANQ23" s="92">
        <v>0</v>
      </c>
      <c r="ANR23" s="92">
        <v>0</v>
      </c>
      <c r="ANS23" s="92">
        <v>0</v>
      </c>
      <c r="ANT23" s="92">
        <v>0</v>
      </c>
      <c r="ANU23" s="92">
        <v>0</v>
      </c>
      <c r="ANV23" s="92">
        <v>0</v>
      </c>
      <c r="ANW23" s="92">
        <v>0</v>
      </c>
      <c r="ANX23" s="92">
        <v>0</v>
      </c>
      <c r="ANY23" s="92">
        <v>0</v>
      </c>
      <c r="ANZ23" s="92">
        <v>0</v>
      </c>
      <c r="AOA23" s="92">
        <v>0</v>
      </c>
      <c r="AOB23" s="92">
        <v>0</v>
      </c>
      <c r="AOC23" s="92">
        <v>0</v>
      </c>
      <c r="AOD23" s="92">
        <v>0</v>
      </c>
      <c r="AOE23" s="92">
        <v>0</v>
      </c>
      <c r="AOF23" s="92">
        <v>0</v>
      </c>
      <c r="AOG23" s="92">
        <v>0</v>
      </c>
      <c r="AOH23" s="92">
        <v>0</v>
      </c>
      <c r="AOI23" s="92">
        <v>0</v>
      </c>
      <c r="AOJ23" s="92">
        <v>0</v>
      </c>
      <c r="AOK23" s="92">
        <v>0</v>
      </c>
      <c r="AOL23" s="92">
        <v>0</v>
      </c>
      <c r="AOM23" s="92">
        <v>0</v>
      </c>
      <c r="AON23" s="92">
        <v>0</v>
      </c>
      <c r="AOO23" s="92">
        <v>0</v>
      </c>
      <c r="AOP23" s="92">
        <v>0</v>
      </c>
      <c r="AOQ23" s="92">
        <v>0</v>
      </c>
      <c r="AOR23" s="92">
        <v>0</v>
      </c>
      <c r="AOS23" s="92">
        <v>0</v>
      </c>
      <c r="AOT23" s="92">
        <v>0</v>
      </c>
      <c r="AOU23" s="92">
        <v>0</v>
      </c>
      <c r="AOV23" s="92">
        <v>0</v>
      </c>
      <c r="AOW23" s="92">
        <v>0</v>
      </c>
      <c r="AOX23" s="92">
        <v>0</v>
      </c>
      <c r="AOY23" s="92">
        <v>0</v>
      </c>
      <c r="AOZ23" s="92">
        <v>0</v>
      </c>
      <c r="APA23" s="92">
        <v>0</v>
      </c>
      <c r="APB23" s="92">
        <v>0</v>
      </c>
      <c r="APC23" s="92">
        <v>0</v>
      </c>
      <c r="APD23" s="92">
        <v>0</v>
      </c>
      <c r="APE23" s="92">
        <v>0</v>
      </c>
      <c r="APF23" s="92">
        <v>0</v>
      </c>
      <c r="APG23" s="92">
        <v>0</v>
      </c>
      <c r="APH23" s="92">
        <v>0</v>
      </c>
      <c r="API23" s="92">
        <v>0</v>
      </c>
      <c r="APJ23" s="92">
        <v>0</v>
      </c>
      <c r="APK23" s="92">
        <v>0</v>
      </c>
      <c r="APL23" s="92">
        <v>0</v>
      </c>
      <c r="APM23" s="92">
        <v>0</v>
      </c>
      <c r="APN23" s="92">
        <v>0</v>
      </c>
      <c r="APO23" s="92">
        <v>0</v>
      </c>
      <c r="APP23" s="92">
        <v>0</v>
      </c>
      <c r="APQ23" s="92">
        <v>0</v>
      </c>
      <c r="APR23" s="92">
        <v>0</v>
      </c>
      <c r="APS23" s="92">
        <v>0</v>
      </c>
      <c r="APT23" s="92">
        <v>0</v>
      </c>
      <c r="APU23" s="92">
        <v>0</v>
      </c>
      <c r="APV23" s="92">
        <v>0</v>
      </c>
      <c r="APW23" s="92">
        <v>0</v>
      </c>
      <c r="APX23" s="92">
        <v>0</v>
      </c>
      <c r="APY23" s="92">
        <v>0</v>
      </c>
      <c r="APZ23" s="92">
        <v>0</v>
      </c>
      <c r="AQA23" s="92">
        <v>0</v>
      </c>
      <c r="AQB23" s="92">
        <v>0</v>
      </c>
      <c r="AQC23" s="92">
        <v>0</v>
      </c>
      <c r="AQD23" s="92">
        <v>0</v>
      </c>
      <c r="AQE23" s="92">
        <v>0</v>
      </c>
      <c r="AQF23" s="92">
        <v>0</v>
      </c>
      <c r="AQG23" s="92">
        <v>0</v>
      </c>
      <c r="AQH23" s="92">
        <v>0</v>
      </c>
      <c r="AQI23" s="92">
        <v>0</v>
      </c>
      <c r="AQJ23" s="92">
        <v>0</v>
      </c>
      <c r="AQK23" s="92">
        <v>0</v>
      </c>
      <c r="AQL23" s="92">
        <v>0</v>
      </c>
      <c r="AQM23" s="92">
        <v>0</v>
      </c>
      <c r="AQN23" s="92">
        <v>0</v>
      </c>
      <c r="AQO23" s="92">
        <v>0</v>
      </c>
      <c r="AQP23" s="92">
        <v>0</v>
      </c>
      <c r="AQQ23" s="92">
        <v>0</v>
      </c>
      <c r="AQR23" s="92">
        <v>0</v>
      </c>
      <c r="AQS23" s="92">
        <v>0</v>
      </c>
      <c r="AQT23" s="92">
        <v>0</v>
      </c>
      <c r="AQU23" s="92">
        <v>0</v>
      </c>
      <c r="AQV23" s="92">
        <v>0</v>
      </c>
      <c r="AQW23" s="92">
        <v>0</v>
      </c>
      <c r="AQX23" s="92">
        <v>0</v>
      </c>
      <c r="AQY23" s="92">
        <v>0</v>
      </c>
      <c r="AQZ23" s="92">
        <v>0</v>
      </c>
      <c r="ARA23" s="92">
        <v>0</v>
      </c>
      <c r="ARB23" s="92">
        <v>0</v>
      </c>
      <c r="ARC23" s="92">
        <v>0</v>
      </c>
      <c r="ARD23" s="92">
        <v>0</v>
      </c>
      <c r="ARE23" s="92">
        <v>0</v>
      </c>
      <c r="ARF23" s="92">
        <v>0</v>
      </c>
      <c r="ARG23" s="92">
        <v>0</v>
      </c>
      <c r="ARH23" s="92">
        <v>0</v>
      </c>
      <c r="ARI23" s="92">
        <v>0</v>
      </c>
      <c r="ARJ23" s="92">
        <v>0</v>
      </c>
      <c r="ARK23" s="92">
        <v>0</v>
      </c>
      <c r="ARL23" s="92">
        <v>0</v>
      </c>
      <c r="ARM23" s="92">
        <v>0</v>
      </c>
      <c r="ARN23" s="92">
        <v>0</v>
      </c>
      <c r="ARO23" s="92">
        <v>0</v>
      </c>
      <c r="ARP23" s="92">
        <v>0</v>
      </c>
      <c r="ARQ23" s="92">
        <v>0</v>
      </c>
      <c r="ARR23" s="92">
        <v>0</v>
      </c>
      <c r="ARS23" s="92">
        <v>0</v>
      </c>
      <c r="ART23" s="92">
        <v>0</v>
      </c>
      <c r="ARU23" s="92">
        <v>0</v>
      </c>
      <c r="ARV23" s="92">
        <v>0</v>
      </c>
      <c r="ARW23" s="92">
        <v>0</v>
      </c>
      <c r="ARX23" s="92">
        <v>0</v>
      </c>
      <c r="ARY23" s="92">
        <v>0</v>
      </c>
      <c r="ARZ23" s="92">
        <v>0</v>
      </c>
      <c r="ASA23" s="92">
        <v>0</v>
      </c>
      <c r="ASB23" s="92">
        <v>0</v>
      </c>
      <c r="ASC23" s="92">
        <v>0</v>
      </c>
      <c r="ASD23" s="92">
        <v>0</v>
      </c>
      <c r="ASE23" s="92">
        <v>0</v>
      </c>
      <c r="ASF23" s="92">
        <v>0</v>
      </c>
      <c r="ASG23" s="92">
        <v>0</v>
      </c>
      <c r="ASH23" s="92">
        <v>0</v>
      </c>
      <c r="ASI23" s="92">
        <v>0</v>
      </c>
      <c r="ASJ23" s="92">
        <v>0</v>
      </c>
      <c r="ASK23" s="92">
        <v>0</v>
      </c>
      <c r="ASL23" s="92">
        <v>0</v>
      </c>
      <c r="ASM23" s="92">
        <v>0</v>
      </c>
      <c r="ASN23" s="92">
        <v>0</v>
      </c>
      <c r="ASO23" s="92">
        <v>0</v>
      </c>
      <c r="ASP23" s="92">
        <v>0</v>
      </c>
      <c r="ASQ23" s="92">
        <v>0</v>
      </c>
      <c r="ASR23" s="92">
        <v>0</v>
      </c>
      <c r="ASS23" s="92">
        <v>0</v>
      </c>
      <c r="AST23" s="92">
        <v>0</v>
      </c>
      <c r="ASU23" s="92">
        <v>0</v>
      </c>
      <c r="ASV23" s="92">
        <v>0</v>
      </c>
      <c r="ASW23" s="92">
        <v>0</v>
      </c>
      <c r="ASX23" s="92">
        <v>0</v>
      </c>
      <c r="ASY23" s="92">
        <v>0</v>
      </c>
      <c r="ASZ23" s="92">
        <v>0</v>
      </c>
      <c r="ATA23" s="92">
        <v>0</v>
      </c>
      <c r="ATB23" s="92">
        <v>0</v>
      </c>
      <c r="ATC23" s="92">
        <v>0</v>
      </c>
      <c r="ATD23" s="92">
        <v>0</v>
      </c>
      <c r="ATE23" s="92">
        <v>0</v>
      </c>
      <c r="ATF23" s="92">
        <v>0</v>
      </c>
      <c r="ATG23" s="92">
        <v>0</v>
      </c>
      <c r="ATH23" s="92">
        <v>0</v>
      </c>
      <c r="ATI23" s="92">
        <v>0</v>
      </c>
      <c r="ATJ23" s="92">
        <v>0</v>
      </c>
      <c r="ATK23" s="92">
        <v>0</v>
      </c>
      <c r="ATL23" s="92">
        <v>0</v>
      </c>
      <c r="ATM23" s="92">
        <v>0</v>
      </c>
      <c r="ATN23" s="92">
        <v>0</v>
      </c>
      <c r="ATO23" s="92">
        <v>0</v>
      </c>
      <c r="ATP23" s="92">
        <v>0</v>
      </c>
      <c r="ATQ23" s="92">
        <v>0</v>
      </c>
      <c r="ATR23" s="92">
        <v>0</v>
      </c>
      <c r="ATS23" s="92">
        <v>0</v>
      </c>
      <c r="ATT23" s="92">
        <v>0</v>
      </c>
      <c r="ATU23" s="92">
        <v>0</v>
      </c>
      <c r="ATV23" s="92">
        <v>0</v>
      </c>
      <c r="ATW23" s="92">
        <v>0</v>
      </c>
      <c r="ATX23" s="92">
        <v>0</v>
      </c>
      <c r="ATY23" s="92">
        <v>0</v>
      </c>
      <c r="ATZ23" s="92">
        <v>0</v>
      </c>
      <c r="AUA23" s="92">
        <v>0</v>
      </c>
      <c r="AUB23" s="92">
        <v>0</v>
      </c>
      <c r="AUC23" s="92">
        <v>0</v>
      </c>
      <c r="AUD23" s="92">
        <v>0</v>
      </c>
      <c r="AUE23" s="92">
        <v>0</v>
      </c>
      <c r="AUF23" s="92">
        <v>0</v>
      </c>
      <c r="AUG23" s="92">
        <v>0</v>
      </c>
      <c r="AUH23" s="92">
        <v>0</v>
      </c>
      <c r="AUI23" s="92">
        <v>0</v>
      </c>
      <c r="AUJ23" s="92">
        <v>0</v>
      </c>
      <c r="AUK23" s="92">
        <v>0</v>
      </c>
      <c r="AUL23" s="92">
        <v>0</v>
      </c>
      <c r="AUM23" s="92">
        <v>0</v>
      </c>
      <c r="AUN23" s="92">
        <v>0</v>
      </c>
      <c r="AUO23" s="92">
        <v>0</v>
      </c>
      <c r="AUP23" s="92">
        <v>0</v>
      </c>
      <c r="AUQ23" s="92">
        <v>0</v>
      </c>
      <c r="AUR23" s="92">
        <v>0</v>
      </c>
      <c r="AUS23" s="92">
        <v>0</v>
      </c>
      <c r="AUT23" s="92">
        <v>0</v>
      </c>
      <c r="AUU23" s="92">
        <v>0</v>
      </c>
      <c r="AUV23" s="92">
        <v>0</v>
      </c>
      <c r="AUW23" s="92">
        <v>0</v>
      </c>
      <c r="AUX23" s="92">
        <v>0</v>
      </c>
      <c r="AUY23" s="92">
        <v>0</v>
      </c>
      <c r="AUZ23" s="92">
        <v>0</v>
      </c>
      <c r="AVA23" s="92">
        <v>0</v>
      </c>
      <c r="AVB23" s="92">
        <v>0</v>
      </c>
      <c r="AVC23" s="92">
        <v>0</v>
      </c>
      <c r="AVD23" s="92">
        <v>0</v>
      </c>
      <c r="AVE23" s="92">
        <v>0</v>
      </c>
      <c r="AVF23" s="92">
        <v>0</v>
      </c>
      <c r="AVG23" s="92">
        <v>0</v>
      </c>
      <c r="AVH23" s="92">
        <v>0</v>
      </c>
      <c r="AVI23" s="92">
        <v>0</v>
      </c>
      <c r="AVJ23" s="92">
        <v>0</v>
      </c>
      <c r="AVK23" s="92">
        <v>0</v>
      </c>
      <c r="AVL23" s="92">
        <v>0</v>
      </c>
      <c r="AVM23" s="92">
        <v>0</v>
      </c>
      <c r="AVN23" s="92">
        <v>0</v>
      </c>
      <c r="AVO23" s="92">
        <v>0</v>
      </c>
      <c r="AVP23" s="92">
        <v>0</v>
      </c>
      <c r="AVQ23" s="92">
        <v>0</v>
      </c>
      <c r="AVR23" s="92">
        <v>0</v>
      </c>
      <c r="AVS23" s="92">
        <v>0</v>
      </c>
      <c r="AVT23" s="92">
        <v>0</v>
      </c>
      <c r="AVU23" s="92">
        <v>0</v>
      </c>
      <c r="AVV23" s="92">
        <v>0</v>
      </c>
      <c r="AVW23" s="92">
        <v>0</v>
      </c>
      <c r="AVX23" s="92">
        <v>0</v>
      </c>
      <c r="AVY23" s="92">
        <v>0</v>
      </c>
      <c r="AVZ23" s="92">
        <v>0</v>
      </c>
      <c r="AWA23" s="92">
        <v>0</v>
      </c>
      <c r="AWB23" s="92">
        <v>0</v>
      </c>
      <c r="AWC23" s="92">
        <v>0</v>
      </c>
      <c r="AWD23" s="92">
        <v>0</v>
      </c>
      <c r="AWE23" s="92">
        <v>0</v>
      </c>
      <c r="AWF23" s="92">
        <v>0</v>
      </c>
      <c r="AWG23" s="92">
        <v>0</v>
      </c>
      <c r="AWH23" s="92">
        <v>0</v>
      </c>
      <c r="AWI23" s="92">
        <v>0</v>
      </c>
      <c r="AWJ23" s="92">
        <v>0</v>
      </c>
      <c r="AWK23" s="92">
        <v>0</v>
      </c>
      <c r="AWL23" s="92">
        <v>0</v>
      </c>
      <c r="AWM23" s="92">
        <v>0</v>
      </c>
      <c r="AWN23" s="92">
        <v>0</v>
      </c>
      <c r="AWO23" s="92">
        <v>0</v>
      </c>
      <c r="AWP23" s="92">
        <v>0</v>
      </c>
      <c r="AWQ23" s="92">
        <v>0</v>
      </c>
      <c r="AWR23" s="92">
        <v>0</v>
      </c>
      <c r="AWS23" s="92">
        <v>0</v>
      </c>
      <c r="AWT23" s="92">
        <v>0</v>
      </c>
      <c r="AWU23" s="92">
        <v>0</v>
      </c>
      <c r="AWV23" s="92">
        <v>0</v>
      </c>
      <c r="AWW23" s="92">
        <v>0</v>
      </c>
      <c r="AWX23" s="92">
        <v>0</v>
      </c>
      <c r="AWY23" s="92">
        <v>0</v>
      </c>
      <c r="AWZ23" s="92">
        <v>0</v>
      </c>
      <c r="AXA23" s="92">
        <v>0</v>
      </c>
      <c r="AXB23" s="92">
        <v>0</v>
      </c>
      <c r="AXC23" s="92">
        <v>0</v>
      </c>
      <c r="AXD23" s="92">
        <v>0</v>
      </c>
      <c r="AXE23" s="92">
        <v>0</v>
      </c>
      <c r="AXF23" s="92">
        <v>0</v>
      </c>
      <c r="AXG23" s="92">
        <v>0</v>
      </c>
      <c r="AXH23" s="92">
        <v>0</v>
      </c>
      <c r="AXI23" s="92">
        <v>0</v>
      </c>
      <c r="AXJ23" s="92">
        <v>0</v>
      </c>
      <c r="AXK23" s="92">
        <v>0</v>
      </c>
      <c r="AXL23" s="92">
        <v>0</v>
      </c>
      <c r="AXM23" s="92">
        <v>0</v>
      </c>
      <c r="AXN23" s="92">
        <v>0</v>
      </c>
      <c r="AXO23" s="92">
        <v>0</v>
      </c>
      <c r="AXP23" s="92">
        <v>0</v>
      </c>
      <c r="AXQ23" s="92">
        <v>0</v>
      </c>
      <c r="AXR23" s="92">
        <v>0</v>
      </c>
      <c r="AXS23" s="92">
        <v>0</v>
      </c>
      <c r="AXT23" s="92">
        <v>0</v>
      </c>
      <c r="AXU23" s="92">
        <v>0</v>
      </c>
      <c r="AXV23" s="92">
        <v>0</v>
      </c>
      <c r="AXW23" s="92">
        <v>0</v>
      </c>
      <c r="AXX23" s="92">
        <v>0</v>
      </c>
      <c r="AXY23" s="92">
        <v>0</v>
      </c>
      <c r="AXZ23" s="92">
        <v>0</v>
      </c>
      <c r="AYA23" s="92">
        <v>0</v>
      </c>
      <c r="AYB23" s="92">
        <v>0</v>
      </c>
      <c r="AYC23" s="92">
        <v>0</v>
      </c>
      <c r="AYD23" s="92">
        <v>0</v>
      </c>
      <c r="AYE23" s="92">
        <v>0</v>
      </c>
      <c r="AYF23" s="92">
        <v>0</v>
      </c>
      <c r="AYG23" s="92">
        <v>0</v>
      </c>
      <c r="AYH23" s="92">
        <v>0</v>
      </c>
      <c r="AYI23" s="92">
        <v>0</v>
      </c>
      <c r="AYJ23" s="92">
        <v>0</v>
      </c>
      <c r="AYK23" s="92">
        <v>0</v>
      </c>
      <c r="AYL23" s="92">
        <v>0</v>
      </c>
      <c r="AYM23" s="92">
        <v>0</v>
      </c>
      <c r="AYN23" s="92">
        <v>0</v>
      </c>
      <c r="AYO23" s="92">
        <v>0</v>
      </c>
      <c r="AYP23" s="92">
        <v>0</v>
      </c>
      <c r="AYQ23" s="92">
        <v>0</v>
      </c>
      <c r="AYR23" s="92">
        <v>0</v>
      </c>
      <c r="AYS23" s="92">
        <v>0</v>
      </c>
      <c r="AYT23" s="92">
        <v>0</v>
      </c>
      <c r="AYU23" s="92">
        <v>0</v>
      </c>
      <c r="AYV23" s="92">
        <v>0</v>
      </c>
      <c r="AYW23" s="92">
        <v>0</v>
      </c>
      <c r="AYX23" s="92">
        <v>0</v>
      </c>
      <c r="AYY23" s="92">
        <v>0</v>
      </c>
      <c r="AYZ23" s="92">
        <v>0</v>
      </c>
      <c r="AZA23" s="92">
        <v>0</v>
      </c>
      <c r="AZB23" s="92">
        <v>0</v>
      </c>
      <c r="AZC23" s="92">
        <v>0</v>
      </c>
      <c r="AZD23" s="92">
        <v>0</v>
      </c>
      <c r="AZE23" s="92">
        <v>0</v>
      </c>
      <c r="AZF23" s="92">
        <v>0</v>
      </c>
      <c r="AZG23" s="92">
        <v>0</v>
      </c>
      <c r="AZH23" s="92">
        <v>0</v>
      </c>
      <c r="AZI23" s="92">
        <v>0</v>
      </c>
      <c r="AZJ23" s="92">
        <v>0</v>
      </c>
      <c r="AZK23" s="92">
        <v>0</v>
      </c>
      <c r="AZL23" s="92">
        <v>0</v>
      </c>
      <c r="AZM23" s="92">
        <v>0</v>
      </c>
      <c r="AZN23" s="92">
        <v>0</v>
      </c>
      <c r="AZO23" s="92">
        <v>0</v>
      </c>
      <c r="AZP23" s="92">
        <v>0</v>
      </c>
      <c r="AZQ23" s="92">
        <v>0</v>
      </c>
      <c r="AZR23" s="92">
        <v>0</v>
      </c>
      <c r="AZS23" s="92">
        <v>0</v>
      </c>
      <c r="AZT23" s="92">
        <v>0</v>
      </c>
      <c r="AZU23" s="92">
        <v>0</v>
      </c>
      <c r="AZV23" s="92">
        <v>0</v>
      </c>
      <c r="AZW23" s="92">
        <v>0</v>
      </c>
      <c r="AZX23" s="92">
        <v>0</v>
      </c>
      <c r="AZY23" s="92">
        <v>0</v>
      </c>
      <c r="AZZ23" s="92">
        <v>0</v>
      </c>
      <c r="BAA23" s="92">
        <v>0</v>
      </c>
      <c r="BAB23" s="92">
        <v>0</v>
      </c>
      <c r="BAC23" s="92">
        <v>0</v>
      </c>
      <c r="BAD23" s="92">
        <v>0</v>
      </c>
      <c r="BAE23" s="92">
        <v>0</v>
      </c>
      <c r="BAF23" s="92">
        <v>0</v>
      </c>
      <c r="BAG23" s="92">
        <v>0</v>
      </c>
      <c r="BAH23" s="92">
        <v>0</v>
      </c>
      <c r="BAI23" s="92">
        <v>0</v>
      </c>
      <c r="BAJ23" s="92">
        <v>0</v>
      </c>
      <c r="BAK23" s="92">
        <v>0</v>
      </c>
      <c r="BAL23" s="92">
        <v>0</v>
      </c>
      <c r="BAM23" s="92">
        <v>0</v>
      </c>
      <c r="BAN23" s="92">
        <v>0</v>
      </c>
      <c r="BAO23" s="92">
        <v>0</v>
      </c>
      <c r="BAP23" s="92">
        <v>0</v>
      </c>
      <c r="BAQ23" s="92">
        <v>0</v>
      </c>
      <c r="BAR23" s="92">
        <v>0</v>
      </c>
      <c r="BAS23" s="92">
        <v>0</v>
      </c>
      <c r="BAT23" s="92">
        <v>0</v>
      </c>
      <c r="BAU23" s="92">
        <v>0</v>
      </c>
      <c r="BAV23" s="92">
        <v>0</v>
      </c>
      <c r="BAW23" s="92">
        <v>0</v>
      </c>
      <c r="BAX23" s="92">
        <v>0</v>
      </c>
      <c r="BAY23" s="92">
        <v>0</v>
      </c>
      <c r="BAZ23" s="92">
        <v>0</v>
      </c>
      <c r="BBA23" s="92">
        <v>0</v>
      </c>
      <c r="BBB23" s="92">
        <v>0</v>
      </c>
      <c r="BBC23" s="92">
        <v>0</v>
      </c>
      <c r="BBD23" s="92">
        <v>0</v>
      </c>
      <c r="BBE23" s="92">
        <v>0</v>
      </c>
      <c r="BBF23" s="92">
        <v>0</v>
      </c>
      <c r="BBG23" s="92">
        <v>0</v>
      </c>
      <c r="BBH23" s="92">
        <v>0</v>
      </c>
      <c r="BBI23" s="92">
        <v>0</v>
      </c>
      <c r="BBJ23" s="92">
        <v>0</v>
      </c>
      <c r="BBK23" s="92">
        <v>0</v>
      </c>
      <c r="BBL23" s="92">
        <v>0</v>
      </c>
      <c r="BBM23" s="92">
        <v>0</v>
      </c>
      <c r="BBN23" s="92">
        <v>0</v>
      </c>
      <c r="BBO23" s="92">
        <v>0</v>
      </c>
      <c r="BBP23" s="92">
        <v>0</v>
      </c>
      <c r="BBQ23" s="92">
        <v>0</v>
      </c>
      <c r="BBR23" s="92">
        <v>0</v>
      </c>
      <c r="BBS23" s="92">
        <v>0</v>
      </c>
      <c r="BBT23" s="92">
        <v>0</v>
      </c>
      <c r="BBU23" s="92">
        <v>0</v>
      </c>
      <c r="BBV23" s="92">
        <v>0</v>
      </c>
      <c r="BBW23" s="92">
        <v>0</v>
      </c>
      <c r="BBX23" s="92">
        <v>0</v>
      </c>
      <c r="BBY23" s="92">
        <v>0</v>
      </c>
      <c r="BBZ23" s="92">
        <v>0</v>
      </c>
      <c r="BCA23" s="92">
        <v>0</v>
      </c>
      <c r="BCB23" s="92">
        <v>0</v>
      </c>
      <c r="BCC23" s="92">
        <v>0</v>
      </c>
      <c r="BCD23" s="92">
        <v>0</v>
      </c>
      <c r="BCE23" s="92">
        <v>0</v>
      </c>
      <c r="BCF23" s="92">
        <v>0</v>
      </c>
      <c r="BCG23" s="92">
        <v>0</v>
      </c>
      <c r="BCH23" s="92">
        <v>0</v>
      </c>
      <c r="BCI23" s="92">
        <v>0</v>
      </c>
      <c r="BCJ23" s="92">
        <v>0</v>
      </c>
      <c r="BCK23" s="92">
        <v>0</v>
      </c>
      <c r="BCL23" s="92">
        <v>0</v>
      </c>
      <c r="BCM23" s="92">
        <v>0</v>
      </c>
      <c r="BCN23" s="92">
        <v>0</v>
      </c>
      <c r="BCO23" s="92">
        <v>0</v>
      </c>
      <c r="BCP23" s="92">
        <v>0</v>
      </c>
      <c r="BCQ23" s="92">
        <v>0</v>
      </c>
      <c r="BCR23" s="92">
        <v>0</v>
      </c>
      <c r="BCS23" s="92">
        <v>0</v>
      </c>
      <c r="BCT23" s="92">
        <v>0</v>
      </c>
      <c r="BCU23" s="92">
        <v>0</v>
      </c>
      <c r="BCV23" s="92">
        <v>0</v>
      </c>
      <c r="BCW23" s="92">
        <v>0</v>
      </c>
      <c r="BCX23" s="92">
        <v>0</v>
      </c>
      <c r="BCY23" s="92">
        <v>0</v>
      </c>
      <c r="BCZ23" s="92">
        <v>0</v>
      </c>
      <c r="BDA23" s="92">
        <v>0</v>
      </c>
      <c r="BDB23" s="92">
        <v>0</v>
      </c>
      <c r="BDC23" s="92">
        <v>0</v>
      </c>
      <c r="BDD23" s="92">
        <v>0</v>
      </c>
      <c r="BDE23" s="92">
        <v>0</v>
      </c>
      <c r="BDF23" s="92">
        <v>0</v>
      </c>
      <c r="BDG23" s="92">
        <v>0</v>
      </c>
      <c r="BDH23" s="92">
        <v>0</v>
      </c>
      <c r="BDI23" s="92">
        <v>0</v>
      </c>
      <c r="BDJ23" s="92">
        <v>0</v>
      </c>
      <c r="BDK23" s="92">
        <v>0</v>
      </c>
      <c r="BDL23" s="92">
        <v>0</v>
      </c>
      <c r="BDM23" s="92">
        <v>0</v>
      </c>
      <c r="BDN23" s="92">
        <v>0</v>
      </c>
      <c r="BDO23" s="92">
        <v>0</v>
      </c>
      <c r="BDP23" s="92">
        <v>0</v>
      </c>
      <c r="BDQ23" s="92">
        <v>0</v>
      </c>
      <c r="BDR23" s="92">
        <v>0</v>
      </c>
      <c r="BDS23" s="92">
        <v>0</v>
      </c>
      <c r="BDT23" s="92">
        <v>0</v>
      </c>
      <c r="BDU23" s="92">
        <v>0</v>
      </c>
      <c r="BDV23" s="92">
        <v>0</v>
      </c>
      <c r="BDW23" s="92">
        <v>0</v>
      </c>
      <c r="BDX23" s="92">
        <v>0</v>
      </c>
      <c r="BDY23" s="92">
        <v>0</v>
      </c>
      <c r="BDZ23" s="92">
        <v>0</v>
      </c>
      <c r="BEA23" s="92">
        <v>0</v>
      </c>
      <c r="BEB23" s="92">
        <v>0</v>
      </c>
      <c r="BEC23" s="92">
        <v>0</v>
      </c>
      <c r="BED23" s="92">
        <v>0</v>
      </c>
      <c r="BEE23" s="92">
        <v>0</v>
      </c>
      <c r="BEF23" s="92">
        <v>0</v>
      </c>
      <c r="BEG23" s="92">
        <v>0</v>
      </c>
      <c r="BEH23" s="92">
        <v>0</v>
      </c>
      <c r="BEI23" s="92">
        <v>0</v>
      </c>
      <c r="BEJ23" s="92">
        <v>0</v>
      </c>
      <c r="BEK23" s="92">
        <v>0</v>
      </c>
      <c r="BEL23" s="92">
        <v>0</v>
      </c>
      <c r="BEM23" s="92">
        <v>0</v>
      </c>
      <c r="BEN23" s="92">
        <v>0</v>
      </c>
      <c r="BEO23" s="92">
        <v>0</v>
      </c>
      <c r="BEP23" s="92">
        <v>0</v>
      </c>
      <c r="BEQ23" s="92">
        <v>0</v>
      </c>
      <c r="BER23" s="92">
        <v>0</v>
      </c>
      <c r="BES23" s="92">
        <v>0</v>
      </c>
      <c r="BET23" s="92">
        <v>0</v>
      </c>
      <c r="BEU23" s="92">
        <v>0</v>
      </c>
      <c r="BEV23" s="92">
        <v>0</v>
      </c>
      <c r="BEW23" s="92">
        <v>0</v>
      </c>
      <c r="BEX23" s="92">
        <v>0</v>
      </c>
      <c r="BEY23" s="92">
        <v>0</v>
      </c>
      <c r="BEZ23" s="92">
        <v>0</v>
      </c>
      <c r="BFA23" s="92">
        <v>0</v>
      </c>
      <c r="BFB23" s="92">
        <v>0</v>
      </c>
      <c r="BFC23" s="92">
        <v>0</v>
      </c>
      <c r="BFD23" s="92">
        <v>0</v>
      </c>
      <c r="BFE23" s="92">
        <v>0</v>
      </c>
      <c r="BFF23" s="92">
        <v>0</v>
      </c>
      <c r="BFG23" s="92">
        <v>0</v>
      </c>
      <c r="BFH23" s="92">
        <v>0</v>
      </c>
      <c r="BFI23" s="92">
        <v>0</v>
      </c>
      <c r="BFJ23" s="92">
        <v>0</v>
      </c>
      <c r="BFK23" s="92">
        <v>0</v>
      </c>
      <c r="BFL23" s="92">
        <v>0</v>
      </c>
      <c r="BFM23" s="92">
        <v>0</v>
      </c>
      <c r="BFN23" s="92">
        <v>0</v>
      </c>
      <c r="BFO23" s="92">
        <v>0</v>
      </c>
      <c r="BFP23" s="92">
        <v>0</v>
      </c>
      <c r="BFQ23" s="92">
        <v>0</v>
      </c>
      <c r="BFR23" s="92">
        <v>0</v>
      </c>
      <c r="BFS23" s="92">
        <v>0</v>
      </c>
      <c r="BFT23" s="92">
        <v>0</v>
      </c>
      <c r="BFU23" s="92">
        <v>0</v>
      </c>
      <c r="BFV23" s="92">
        <v>0</v>
      </c>
      <c r="BFW23" s="92">
        <v>0</v>
      </c>
      <c r="BFX23" s="92">
        <v>0</v>
      </c>
      <c r="BFY23" s="92">
        <v>0</v>
      </c>
      <c r="BFZ23" s="92">
        <v>0</v>
      </c>
      <c r="BGA23" s="92">
        <v>0</v>
      </c>
      <c r="BGB23" s="92">
        <v>0</v>
      </c>
      <c r="BGC23" s="92">
        <v>0</v>
      </c>
      <c r="BGD23" s="92">
        <v>0</v>
      </c>
      <c r="BGE23" s="92">
        <v>0</v>
      </c>
      <c r="BGF23" s="92">
        <v>0</v>
      </c>
      <c r="BGG23" s="92">
        <v>0</v>
      </c>
      <c r="BGH23" s="92">
        <v>0</v>
      </c>
      <c r="BGI23" s="92">
        <v>0</v>
      </c>
      <c r="BGJ23" s="92">
        <v>0</v>
      </c>
      <c r="BGK23" s="92">
        <v>0</v>
      </c>
      <c r="BGL23" s="92">
        <v>0</v>
      </c>
      <c r="BGM23" s="92">
        <v>0</v>
      </c>
      <c r="BGN23" s="92">
        <v>0</v>
      </c>
      <c r="BGO23" s="92">
        <v>0</v>
      </c>
      <c r="BGP23" s="92">
        <v>0</v>
      </c>
      <c r="BGQ23" s="92">
        <v>0</v>
      </c>
      <c r="BGR23" s="92">
        <v>0</v>
      </c>
      <c r="BGS23" s="92">
        <v>0</v>
      </c>
      <c r="BGT23" s="92">
        <v>0</v>
      </c>
      <c r="BGU23" s="92">
        <v>0</v>
      </c>
      <c r="BGV23" s="92">
        <v>0</v>
      </c>
      <c r="BGW23" s="92">
        <v>0</v>
      </c>
      <c r="BGX23" s="92">
        <v>0</v>
      </c>
      <c r="BGY23" s="92">
        <v>0</v>
      </c>
      <c r="BGZ23" s="92">
        <v>0</v>
      </c>
      <c r="BHA23" s="92">
        <v>0</v>
      </c>
      <c r="BHB23" s="92">
        <v>0</v>
      </c>
      <c r="BHC23" s="92">
        <v>0</v>
      </c>
      <c r="BHD23" s="92">
        <v>0</v>
      </c>
      <c r="BHE23" s="92">
        <v>0</v>
      </c>
      <c r="BHF23" s="92">
        <v>0</v>
      </c>
      <c r="BHG23" s="92">
        <v>0</v>
      </c>
      <c r="BHH23" s="92">
        <v>0</v>
      </c>
      <c r="BHI23" s="92">
        <v>0</v>
      </c>
      <c r="BHJ23" s="92">
        <v>0</v>
      </c>
      <c r="BHK23" s="92">
        <v>0</v>
      </c>
      <c r="BHL23" s="92">
        <v>0</v>
      </c>
      <c r="BHM23" s="92">
        <v>0</v>
      </c>
      <c r="BHN23" s="92">
        <v>0</v>
      </c>
      <c r="BHO23" s="92">
        <v>0</v>
      </c>
      <c r="BHP23" s="92">
        <v>0</v>
      </c>
      <c r="BHQ23" s="92">
        <v>0</v>
      </c>
      <c r="BHR23" s="92">
        <v>0</v>
      </c>
      <c r="BHS23" s="92">
        <v>0</v>
      </c>
      <c r="BHT23" s="92">
        <v>0</v>
      </c>
      <c r="BHU23" s="92">
        <v>0</v>
      </c>
      <c r="BHV23" s="92">
        <v>0</v>
      </c>
      <c r="BHW23" s="92">
        <v>0</v>
      </c>
      <c r="BHX23" s="92">
        <v>0</v>
      </c>
      <c r="BHY23" s="92">
        <v>0</v>
      </c>
      <c r="BHZ23" s="92">
        <v>0</v>
      </c>
      <c r="BIA23" s="92">
        <v>0</v>
      </c>
      <c r="BIB23" s="92">
        <v>0</v>
      </c>
      <c r="BIC23" s="92">
        <v>0</v>
      </c>
      <c r="BID23" s="92">
        <v>0</v>
      </c>
      <c r="BIE23" s="92">
        <v>0</v>
      </c>
      <c r="BIF23" s="92">
        <v>0</v>
      </c>
      <c r="BIG23" s="92">
        <v>0</v>
      </c>
      <c r="BIH23" s="92">
        <v>0</v>
      </c>
      <c r="BII23" s="92">
        <v>0</v>
      </c>
      <c r="BIJ23" s="92">
        <v>0</v>
      </c>
      <c r="BIK23" s="92">
        <v>0</v>
      </c>
      <c r="BIL23" s="92">
        <v>0</v>
      </c>
      <c r="BIM23" s="92">
        <v>0</v>
      </c>
      <c r="BIN23" s="92">
        <v>0</v>
      </c>
      <c r="BIO23" s="92">
        <v>0</v>
      </c>
      <c r="BIP23" s="92">
        <v>0</v>
      </c>
      <c r="BIQ23" s="92">
        <v>0</v>
      </c>
      <c r="BIR23" s="92">
        <v>0</v>
      </c>
      <c r="BIS23" s="92">
        <v>0</v>
      </c>
      <c r="BIT23" s="92">
        <v>0</v>
      </c>
      <c r="BIU23" s="92">
        <v>0</v>
      </c>
      <c r="BIV23" s="92">
        <v>0</v>
      </c>
      <c r="BIW23" s="92">
        <v>0</v>
      </c>
      <c r="BIX23" s="92">
        <v>0</v>
      </c>
      <c r="BIY23" s="92">
        <v>0</v>
      </c>
      <c r="BIZ23" s="92">
        <v>0</v>
      </c>
      <c r="BJA23" s="92">
        <v>0</v>
      </c>
      <c r="BJB23" s="92">
        <v>0</v>
      </c>
      <c r="BJC23" s="92">
        <v>0</v>
      </c>
      <c r="BJD23" s="92">
        <v>0</v>
      </c>
      <c r="BJE23" s="92">
        <v>0</v>
      </c>
      <c r="BJF23" s="92">
        <v>0</v>
      </c>
      <c r="BJG23" s="92">
        <v>0</v>
      </c>
      <c r="BJH23" s="92">
        <v>0</v>
      </c>
      <c r="BJI23" s="92">
        <v>0</v>
      </c>
      <c r="BJJ23" s="92">
        <v>0</v>
      </c>
      <c r="BJK23" s="92">
        <v>0</v>
      </c>
      <c r="BJL23" s="92">
        <v>0</v>
      </c>
      <c r="BJM23" s="92">
        <v>0</v>
      </c>
      <c r="BJN23" s="92">
        <v>0</v>
      </c>
      <c r="BJO23" s="92">
        <v>0</v>
      </c>
      <c r="BJP23" s="92">
        <v>0</v>
      </c>
      <c r="BJQ23" s="92">
        <v>0</v>
      </c>
      <c r="BJR23" s="92">
        <v>0</v>
      </c>
      <c r="BJS23" s="92">
        <v>0</v>
      </c>
      <c r="BJT23" s="92">
        <v>0</v>
      </c>
      <c r="BJU23" s="92">
        <v>0</v>
      </c>
      <c r="BJV23" s="92">
        <v>0</v>
      </c>
      <c r="BJW23" s="92">
        <v>0</v>
      </c>
      <c r="BJX23" s="92">
        <v>0</v>
      </c>
      <c r="BJY23" s="92">
        <v>0</v>
      </c>
      <c r="BJZ23" s="92">
        <v>0</v>
      </c>
      <c r="BKA23" s="92">
        <v>0</v>
      </c>
      <c r="BKB23" s="92">
        <v>0</v>
      </c>
      <c r="BKC23" s="92">
        <v>0</v>
      </c>
      <c r="BKD23" s="92">
        <v>0</v>
      </c>
      <c r="BKE23" s="92">
        <v>0</v>
      </c>
      <c r="BKF23" s="92">
        <v>0</v>
      </c>
      <c r="BKG23" s="92">
        <v>0</v>
      </c>
      <c r="BKH23" s="92">
        <v>0</v>
      </c>
      <c r="BKI23" s="92">
        <v>0</v>
      </c>
      <c r="BKJ23" s="92">
        <v>0</v>
      </c>
      <c r="BKK23" s="92">
        <v>0</v>
      </c>
      <c r="BKL23" s="92">
        <v>0</v>
      </c>
      <c r="BKM23" s="92">
        <v>0</v>
      </c>
      <c r="BKN23" s="92">
        <v>0</v>
      </c>
      <c r="BKO23" s="92">
        <v>0</v>
      </c>
      <c r="BKP23" s="92">
        <v>0</v>
      </c>
      <c r="BKQ23" s="92">
        <v>0</v>
      </c>
      <c r="BKR23" s="92">
        <v>0</v>
      </c>
      <c r="BKS23" s="92">
        <v>0</v>
      </c>
      <c r="BKT23" s="92">
        <v>0</v>
      </c>
      <c r="BKU23" s="92">
        <v>0</v>
      </c>
      <c r="BKV23" s="92">
        <v>0</v>
      </c>
      <c r="BKW23" s="92">
        <v>0</v>
      </c>
      <c r="BKX23" s="92">
        <v>0</v>
      </c>
      <c r="BKY23" s="92">
        <v>0</v>
      </c>
      <c r="BKZ23" s="92">
        <v>0</v>
      </c>
      <c r="BLA23" s="92">
        <v>0</v>
      </c>
      <c r="BLB23" s="92">
        <v>0</v>
      </c>
      <c r="BLC23" s="92">
        <v>0</v>
      </c>
      <c r="BLD23" s="92">
        <v>0</v>
      </c>
      <c r="BLE23" s="92">
        <v>0</v>
      </c>
      <c r="BLF23" s="92">
        <v>0</v>
      </c>
      <c r="BLG23" s="92">
        <v>0</v>
      </c>
      <c r="BLH23" s="92">
        <v>0</v>
      </c>
      <c r="BLI23" s="92">
        <v>0</v>
      </c>
      <c r="BLJ23" s="92">
        <v>0</v>
      </c>
      <c r="BLK23" s="92">
        <v>0</v>
      </c>
      <c r="BLL23" s="92">
        <v>0</v>
      </c>
      <c r="BLM23" s="92">
        <v>0</v>
      </c>
      <c r="BLN23" s="92">
        <v>0</v>
      </c>
      <c r="BLO23" s="92">
        <v>0</v>
      </c>
      <c r="BLP23" s="92">
        <v>0</v>
      </c>
      <c r="BLQ23" s="92">
        <v>0</v>
      </c>
      <c r="BLR23" s="92">
        <v>0</v>
      </c>
      <c r="BLS23" s="92">
        <v>0</v>
      </c>
      <c r="BLT23" s="92">
        <v>0</v>
      </c>
      <c r="BLU23" s="92">
        <v>0</v>
      </c>
      <c r="BLV23" s="92">
        <v>0</v>
      </c>
      <c r="BLW23" s="92">
        <v>0</v>
      </c>
      <c r="BLX23" s="92">
        <v>0</v>
      </c>
      <c r="BLY23" s="92">
        <v>0</v>
      </c>
      <c r="BLZ23" s="92">
        <v>0</v>
      </c>
      <c r="BMA23" s="92">
        <v>0</v>
      </c>
      <c r="BMB23" s="92">
        <v>0</v>
      </c>
      <c r="BMC23" s="92">
        <v>0</v>
      </c>
      <c r="BMD23" s="92">
        <v>0</v>
      </c>
      <c r="BME23" s="92">
        <v>0</v>
      </c>
      <c r="BMF23" s="92">
        <v>0</v>
      </c>
      <c r="BMG23" s="92">
        <v>0</v>
      </c>
      <c r="BMH23" s="92">
        <v>0</v>
      </c>
      <c r="BMI23" s="92">
        <v>0</v>
      </c>
      <c r="BMJ23" s="92">
        <v>0</v>
      </c>
      <c r="BMK23" s="92">
        <v>0</v>
      </c>
      <c r="BML23" s="92">
        <v>0</v>
      </c>
      <c r="BMM23" s="92">
        <v>0</v>
      </c>
      <c r="BMN23" s="92">
        <v>0</v>
      </c>
      <c r="BMO23" s="92">
        <v>0</v>
      </c>
      <c r="BMP23" s="92">
        <v>0</v>
      </c>
      <c r="BMQ23" s="92">
        <v>0</v>
      </c>
      <c r="BMR23" s="92">
        <v>0</v>
      </c>
      <c r="BMS23" s="92">
        <v>0</v>
      </c>
      <c r="BMT23" s="92">
        <v>0</v>
      </c>
      <c r="BMU23" s="92">
        <v>0</v>
      </c>
      <c r="BMV23" s="92">
        <v>0</v>
      </c>
      <c r="BMW23" s="92">
        <v>0</v>
      </c>
      <c r="BMX23" s="92">
        <v>0</v>
      </c>
      <c r="BMY23" s="92">
        <v>0</v>
      </c>
      <c r="BMZ23" s="92">
        <v>0</v>
      </c>
      <c r="BNA23" s="92">
        <v>0</v>
      </c>
      <c r="BNB23" s="92">
        <v>0</v>
      </c>
      <c r="BNC23" s="92">
        <v>0</v>
      </c>
      <c r="BND23" s="92">
        <v>0</v>
      </c>
      <c r="BNE23" s="92">
        <v>0</v>
      </c>
      <c r="BNF23" s="92">
        <v>0</v>
      </c>
      <c r="BNG23" s="92">
        <v>0</v>
      </c>
      <c r="BNH23" s="92">
        <v>0</v>
      </c>
      <c r="BNI23" s="92">
        <v>0</v>
      </c>
      <c r="BNJ23" s="92">
        <v>0</v>
      </c>
      <c r="BNK23" s="92">
        <v>0</v>
      </c>
      <c r="BNL23" s="92">
        <v>0</v>
      </c>
      <c r="BNM23" s="92">
        <v>0</v>
      </c>
      <c r="BNN23" s="92">
        <v>0</v>
      </c>
      <c r="BNO23" s="92">
        <v>0</v>
      </c>
      <c r="BNP23" s="92">
        <v>0</v>
      </c>
      <c r="BNQ23" s="92">
        <v>0</v>
      </c>
      <c r="BNR23" s="92">
        <v>0</v>
      </c>
      <c r="BNS23" s="92">
        <v>0</v>
      </c>
      <c r="BNT23" s="92">
        <v>0</v>
      </c>
      <c r="BNU23" s="92">
        <v>0</v>
      </c>
      <c r="BNV23" s="92">
        <v>0</v>
      </c>
      <c r="BNW23" s="92">
        <v>0</v>
      </c>
      <c r="BNX23" s="92">
        <v>0</v>
      </c>
      <c r="BNY23" s="92">
        <v>0</v>
      </c>
      <c r="BNZ23" s="92">
        <v>0</v>
      </c>
      <c r="BOA23" s="92">
        <v>0</v>
      </c>
      <c r="BOB23" s="92">
        <v>0</v>
      </c>
      <c r="BOC23" s="92">
        <v>0</v>
      </c>
      <c r="BOD23" s="92">
        <v>0</v>
      </c>
      <c r="BOE23" s="92">
        <v>0</v>
      </c>
      <c r="BOF23" s="92">
        <v>0</v>
      </c>
      <c r="BOG23" s="92">
        <v>0</v>
      </c>
      <c r="BOH23" s="92">
        <v>0</v>
      </c>
      <c r="BOI23" s="92">
        <v>0</v>
      </c>
      <c r="BOJ23" s="92">
        <v>0</v>
      </c>
      <c r="BOK23" s="92">
        <v>0</v>
      </c>
      <c r="BOL23" s="92">
        <v>0</v>
      </c>
      <c r="BOM23" s="92">
        <v>0</v>
      </c>
      <c r="BON23" s="92">
        <v>0</v>
      </c>
      <c r="BOO23" s="92">
        <v>0</v>
      </c>
      <c r="BOP23" s="92">
        <v>0</v>
      </c>
      <c r="BOQ23" s="92">
        <v>0</v>
      </c>
      <c r="BOR23" s="92">
        <v>0</v>
      </c>
      <c r="BOS23" s="92">
        <v>0</v>
      </c>
      <c r="BOT23" s="92">
        <v>0</v>
      </c>
      <c r="BOU23" s="92">
        <v>0</v>
      </c>
      <c r="BOV23" s="92">
        <v>0</v>
      </c>
      <c r="BOW23" s="92">
        <v>0</v>
      </c>
      <c r="BOX23" s="92">
        <v>0</v>
      </c>
      <c r="BOY23" s="92">
        <v>0</v>
      </c>
      <c r="BOZ23" s="92">
        <v>0</v>
      </c>
      <c r="BPA23" s="92">
        <v>0</v>
      </c>
      <c r="BPB23" s="92">
        <v>0</v>
      </c>
      <c r="BPC23" s="92">
        <v>0</v>
      </c>
      <c r="BPD23" s="92">
        <v>0</v>
      </c>
      <c r="BPE23" s="92">
        <v>0</v>
      </c>
      <c r="BPF23" s="92">
        <v>0</v>
      </c>
      <c r="BPG23" s="92">
        <v>0</v>
      </c>
      <c r="BPH23" s="92">
        <v>0</v>
      </c>
      <c r="BPI23" s="92">
        <v>0</v>
      </c>
      <c r="BPJ23" s="92">
        <v>0</v>
      </c>
      <c r="BPK23" s="92">
        <v>0</v>
      </c>
      <c r="BPL23" s="92">
        <v>0</v>
      </c>
      <c r="BPM23" s="92">
        <v>0</v>
      </c>
      <c r="BPN23" s="92">
        <v>0</v>
      </c>
      <c r="BPO23" s="92">
        <v>0</v>
      </c>
      <c r="BPP23" s="92">
        <v>0</v>
      </c>
      <c r="BPQ23" s="92">
        <v>0</v>
      </c>
      <c r="BPR23" s="92">
        <v>0</v>
      </c>
      <c r="BPS23" s="92">
        <v>0</v>
      </c>
      <c r="BPT23" s="92">
        <v>0</v>
      </c>
      <c r="BPU23" s="92">
        <v>0</v>
      </c>
      <c r="BPV23" s="92">
        <v>0</v>
      </c>
      <c r="BPW23" s="92">
        <v>0</v>
      </c>
      <c r="BPX23" s="92">
        <v>0</v>
      </c>
      <c r="BPY23" s="92">
        <v>0</v>
      </c>
      <c r="BPZ23" s="92">
        <v>0</v>
      </c>
      <c r="BQA23" s="92">
        <v>0</v>
      </c>
      <c r="BQB23" s="92">
        <v>0</v>
      </c>
      <c r="BQC23" s="92">
        <v>0</v>
      </c>
      <c r="BQD23" s="92">
        <v>0</v>
      </c>
      <c r="BQE23" s="92">
        <v>0</v>
      </c>
      <c r="BQF23" s="92">
        <v>0</v>
      </c>
      <c r="BQG23" s="92">
        <v>0</v>
      </c>
      <c r="BQH23" s="92">
        <v>0</v>
      </c>
      <c r="BQI23" s="92">
        <v>0</v>
      </c>
      <c r="BQJ23" s="92">
        <v>0</v>
      </c>
      <c r="BQK23" s="92">
        <v>0</v>
      </c>
      <c r="BQL23" s="92">
        <v>0</v>
      </c>
      <c r="BQM23" s="92">
        <v>0</v>
      </c>
      <c r="BQN23" s="92">
        <v>0</v>
      </c>
      <c r="BQO23" s="92">
        <v>0</v>
      </c>
      <c r="BQP23" s="92">
        <v>0</v>
      </c>
      <c r="BQQ23" s="92">
        <v>0</v>
      </c>
      <c r="BQR23" s="92">
        <v>0</v>
      </c>
      <c r="BQS23" s="92">
        <v>0</v>
      </c>
      <c r="BQT23" s="92">
        <v>0</v>
      </c>
      <c r="BQU23" s="92">
        <v>0</v>
      </c>
      <c r="BQV23" s="92">
        <v>0</v>
      </c>
      <c r="BQW23" s="92">
        <v>0</v>
      </c>
      <c r="BQX23" s="92">
        <v>0</v>
      </c>
      <c r="BQY23" s="92">
        <v>0</v>
      </c>
      <c r="BQZ23" s="92">
        <v>0</v>
      </c>
      <c r="BRA23" s="92">
        <v>0</v>
      </c>
      <c r="BRB23" s="92">
        <v>0</v>
      </c>
      <c r="BRC23" s="92">
        <v>0</v>
      </c>
      <c r="BRD23" s="92">
        <v>0</v>
      </c>
      <c r="BRE23" s="92">
        <v>0</v>
      </c>
      <c r="BRF23" s="92">
        <v>0</v>
      </c>
      <c r="BRG23" s="92">
        <v>0</v>
      </c>
      <c r="BRH23" s="92">
        <v>0</v>
      </c>
      <c r="BRI23" s="92">
        <v>0</v>
      </c>
      <c r="BRJ23" s="92">
        <v>0</v>
      </c>
      <c r="BRK23" s="92">
        <v>0</v>
      </c>
      <c r="BRL23" s="92">
        <v>0</v>
      </c>
      <c r="BRM23" s="92">
        <v>0</v>
      </c>
      <c r="BRN23" s="92">
        <v>0</v>
      </c>
      <c r="BRO23" s="92">
        <v>0</v>
      </c>
      <c r="BRP23" s="92">
        <v>0</v>
      </c>
      <c r="BRQ23" s="92">
        <v>0</v>
      </c>
      <c r="BRR23" s="92">
        <v>0</v>
      </c>
      <c r="BRS23" s="92">
        <v>0</v>
      </c>
      <c r="BRT23" s="92">
        <v>0</v>
      </c>
      <c r="BRU23" s="92">
        <v>0</v>
      </c>
      <c r="BRV23" s="92">
        <v>0</v>
      </c>
      <c r="BRW23" s="92">
        <v>0</v>
      </c>
      <c r="BRX23" s="92">
        <v>0</v>
      </c>
      <c r="BRY23" s="92">
        <v>0</v>
      </c>
      <c r="BRZ23" s="92">
        <v>0</v>
      </c>
      <c r="BSA23" s="92">
        <v>0</v>
      </c>
      <c r="BSB23" s="92">
        <v>0</v>
      </c>
      <c r="BSC23" s="92">
        <v>0</v>
      </c>
      <c r="BSD23" s="92">
        <v>0</v>
      </c>
      <c r="BSE23" s="92">
        <v>0</v>
      </c>
      <c r="BSF23" s="92">
        <v>0</v>
      </c>
      <c r="BSG23" s="92">
        <v>0</v>
      </c>
      <c r="BSH23" s="92">
        <v>0</v>
      </c>
      <c r="BSI23" s="92">
        <v>0</v>
      </c>
      <c r="BSJ23" s="92">
        <v>0</v>
      </c>
      <c r="BSK23" s="92">
        <v>0</v>
      </c>
      <c r="BSL23" s="92">
        <v>0</v>
      </c>
      <c r="BSM23" s="92">
        <v>0</v>
      </c>
      <c r="BSN23" s="92">
        <v>0</v>
      </c>
      <c r="BSO23" s="92">
        <v>0</v>
      </c>
      <c r="BSP23" s="92">
        <v>0</v>
      </c>
      <c r="BSQ23" s="92">
        <v>0</v>
      </c>
      <c r="BSR23" s="92">
        <v>0</v>
      </c>
      <c r="BSS23" s="92">
        <v>0</v>
      </c>
      <c r="BST23" s="92">
        <v>0</v>
      </c>
      <c r="BSU23" s="92">
        <v>0</v>
      </c>
      <c r="BSV23" s="92">
        <v>0</v>
      </c>
      <c r="BSW23" s="92">
        <v>0</v>
      </c>
      <c r="BSX23" s="92">
        <v>0</v>
      </c>
      <c r="BSY23" s="92">
        <v>0</v>
      </c>
      <c r="BSZ23" s="92">
        <v>0</v>
      </c>
      <c r="BTA23" s="92">
        <v>0</v>
      </c>
      <c r="BTB23" s="92">
        <v>0</v>
      </c>
      <c r="BTC23" s="92">
        <v>0</v>
      </c>
      <c r="BTD23" s="92">
        <v>0</v>
      </c>
      <c r="BTE23" s="92">
        <v>0</v>
      </c>
      <c r="BTF23" s="92">
        <v>0</v>
      </c>
      <c r="BTG23" s="92">
        <v>0</v>
      </c>
      <c r="BTH23" s="92">
        <v>0</v>
      </c>
      <c r="BTI23" s="92">
        <v>0</v>
      </c>
      <c r="BTJ23" s="92">
        <v>0</v>
      </c>
      <c r="BTK23" s="92">
        <v>0</v>
      </c>
      <c r="BTL23" s="92">
        <v>0</v>
      </c>
      <c r="BTM23" s="92">
        <v>0</v>
      </c>
      <c r="BTN23" s="92">
        <v>0</v>
      </c>
      <c r="BTO23" s="92">
        <v>0</v>
      </c>
      <c r="BTP23" s="92">
        <v>0</v>
      </c>
      <c r="BTQ23" s="92">
        <v>0</v>
      </c>
      <c r="BTR23" s="92">
        <v>0</v>
      </c>
      <c r="BTS23" s="92">
        <v>0</v>
      </c>
      <c r="BTT23" s="92">
        <v>0</v>
      </c>
      <c r="BTU23" s="92">
        <v>0</v>
      </c>
      <c r="BTV23" s="92">
        <v>0</v>
      </c>
      <c r="BTW23" s="92">
        <v>0</v>
      </c>
      <c r="BTX23" s="92">
        <v>0</v>
      </c>
      <c r="BTY23" s="92">
        <v>0</v>
      </c>
      <c r="BTZ23" s="92">
        <v>0</v>
      </c>
      <c r="BUA23" s="92">
        <v>0</v>
      </c>
      <c r="BUB23" s="92">
        <v>0</v>
      </c>
      <c r="BUC23" s="92">
        <v>0</v>
      </c>
      <c r="BUD23" s="92">
        <v>0</v>
      </c>
      <c r="BUE23" s="92">
        <v>0</v>
      </c>
      <c r="BUF23" s="92">
        <v>0</v>
      </c>
      <c r="BUG23" s="92">
        <v>0</v>
      </c>
      <c r="BUH23" s="92">
        <v>0</v>
      </c>
      <c r="BUI23" s="92">
        <v>0</v>
      </c>
      <c r="BUJ23" s="92">
        <v>0</v>
      </c>
      <c r="BUK23" s="92">
        <v>0</v>
      </c>
      <c r="BUL23" s="92">
        <v>0</v>
      </c>
      <c r="BUM23" s="92">
        <v>0</v>
      </c>
      <c r="BUN23" s="92">
        <v>0</v>
      </c>
      <c r="BUO23" s="92">
        <v>0</v>
      </c>
      <c r="BUP23" s="92">
        <v>0</v>
      </c>
      <c r="BUQ23" s="92">
        <v>0</v>
      </c>
      <c r="BUR23" s="92">
        <v>0</v>
      </c>
      <c r="BUS23" s="92">
        <v>0</v>
      </c>
      <c r="BUT23" s="92">
        <v>0</v>
      </c>
      <c r="BUU23" s="92">
        <v>0</v>
      </c>
      <c r="BUV23" s="92">
        <v>0</v>
      </c>
      <c r="BUW23" s="92">
        <v>0</v>
      </c>
      <c r="BUX23" s="92">
        <v>0</v>
      </c>
      <c r="BUY23" s="92">
        <v>0</v>
      </c>
      <c r="BUZ23" s="92">
        <v>0</v>
      </c>
      <c r="BVA23" s="92">
        <v>0</v>
      </c>
      <c r="BVB23" s="92">
        <v>0</v>
      </c>
      <c r="BVC23" s="92">
        <v>0</v>
      </c>
      <c r="BVD23" s="92">
        <v>0</v>
      </c>
      <c r="BVE23" s="92">
        <v>0</v>
      </c>
      <c r="BVF23" s="92">
        <v>0</v>
      </c>
      <c r="BVG23" s="92">
        <v>0</v>
      </c>
      <c r="BVH23" s="92">
        <v>0</v>
      </c>
      <c r="BVI23" s="92">
        <v>0</v>
      </c>
      <c r="BVJ23" s="92">
        <v>0</v>
      </c>
      <c r="BVK23" s="92">
        <v>0</v>
      </c>
      <c r="BVL23" s="92">
        <v>0</v>
      </c>
      <c r="BVM23" s="92">
        <v>0</v>
      </c>
      <c r="BVN23" s="92">
        <v>0</v>
      </c>
      <c r="BVO23" s="92">
        <v>0</v>
      </c>
      <c r="BVP23" s="92">
        <v>0</v>
      </c>
      <c r="BVQ23" s="92">
        <v>0</v>
      </c>
      <c r="BVR23" s="92">
        <v>0</v>
      </c>
      <c r="BVS23" s="92">
        <v>0</v>
      </c>
      <c r="BVT23" s="92">
        <v>0</v>
      </c>
      <c r="BVU23" s="92">
        <v>0</v>
      </c>
      <c r="BVV23" s="92">
        <v>0</v>
      </c>
      <c r="BVW23" s="92">
        <v>0</v>
      </c>
      <c r="BVX23" s="92">
        <v>0</v>
      </c>
      <c r="BVY23" s="92">
        <v>0</v>
      </c>
      <c r="BVZ23" s="92">
        <v>0</v>
      </c>
      <c r="BWA23" s="92">
        <v>0</v>
      </c>
      <c r="BWB23" s="92">
        <v>0</v>
      </c>
      <c r="BWC23" s="92">
        <v>0</v>
      </c>
      <c r="BWD23" s="92">
        <v>0</v>
      </c>
      <c r="BWE23" s="92">
        <v>0</v>
      </c>
      <c r="BWF23" s="92">
        <v>0</v>
      </c>
      <c r="BWG23" s="92">
        <v>0</v>
      </c>
      <c r="BWH23" s="92">
        <v>0</v>
      </c>
      <c r="BWI23" s="92">
        <v>0</v>
      </c>
      <c r="BWJ23" s="92">
        <v>0</v>
      </c>
      <c r="BWK23" s="92">
        <v>0</v>
      </c>
      <c r="BWL23" s="92">
        <v>0</v>
      </c>
      <c r="BWM23" s="92">
        <v>0</v>
      </c>
      <c r="BWN23" s="92">
        <v>0</v>
      </c>
      <c r="BWO23" s="92">
        <v>0</v>
      </c>
      <c r="BWP23" s="92">
        <v>0</v>
      </c>
      <c r="BWQ23" s="92">
        <v>0</v>
      </c>
      <c r="BWR23" s="92">
        <v>0</v>
      </c>
      <c r="BWS23" s="92">
        <v>0</v>
      </c>
      <c r="BWT23" s="92">
        <v>0</v>
      </c>
      <c r="BWU23" s="92">
        <v>0</v>
      </c>
      <c r="BWV23" s="92">
        <v>0</v>
      </c>
      <c r="BWW23" s="92">
        <v>0</v>
      </c>
      <c r="BWX23" s="92">
        <v>0</v>
      </c>
      <c r="BWY23" s="92">
        <v>0</v>
      </c>
      <c r="BWZ23" s="92">
        <v>0</v>
      </c>
      <c r="BXA23" s="92">
        <v>0</v>
      </c>
      <c r="BXB23" s="92">
        <v>0</v>
      </c>
      <c r="BXC23" s="92">
        <v>0</v>
      </c>
      <c r="BXD23" s="92">
        <v>0</v>
      </c>
      <c r="BXE23" s="92">
        <v>0</v>
      </c>
      <c r="BXF23" s="92">
        <v>0</v>
      </c>
      <c r="BXG23" s="92">
        <v>0</v>
      </c>
      <c r="BXH23" s="92">
        <v>0</v>
      </c>
      <c r="BXI23" s="92">
        <v>0</v>
      </c>
      <c r="BXJ23" s="92">
        <v>0</v>
      </c>
      <c r="BXK23" s="92">
        <v>0</v>
      </c>
      <c r="BXL23" s="92">
        <v>0</v>
      </c>
      <c r="BXM23" s="92">
        <v>0</v>
      </c>
      <c r="BXN23" s="92">
        <v>0</v>
      </c>
      <c r="BXO23" s="92">
        <v>0</v>
      </c>
      <c r="BXP23" s="92">
        <v>0</v>
      </c>
      <c r="BXQ23" s="92">
        <v>0</v>
      </c>
      <c r="BXR23" s="92">
        <v>0</v>
      </c>
      <c r="BXS23" s="92">
        <v>0</v>
      </c>
      <c r="BXT23" s="92">
        <v>0</v>
      </c>
      <c r="BXU23" s="92">
        <v>0</v>
      </c>
      <c r="BXV23" s="92">
        <v>0</v>
      </c>
      <c r="BXW23" s="92">
        <v>0</v>
      </c>
      <c r="BXX23" s="92">
        <v>0</v>
      </c>
      <c r="BXY23" s="92">
        <v>0</v>
      </c>
      <c r="BXZ23" s="92">
        <v>0</v>
      </c>
      <c r="BYA23" s="92">
        <v>0</v>
      </c>
      <c r="BYB23" s="92">
        <v>0</v>
      </c>
      <c r="BYC23" s="92">
        <v>0</v>
      </c>
      <c r="BYD23" s="92">
        <v>0</v>
      </c>
      <c r="BYE23" s="92">
        <v>0</v>
      </c>
      <c r="BYF23" s="92">
        <v>0</v>
      </c>
      <c r="BYG23" s="92">
        <v>0</v>
      </c>
      <c r="BYH23" s="92">
        <v>0</v>
      </c>
      <c r="BYI23" s="92">
        <v>0</v>
      </c>
      <c r="BYJ23" s="92">
        <v>0</v>
      </c>
      <c r="BYK23" s="92">
        <v>0</v>
      </c>
      <c r="BYL23" s="92">
        <v>0</v>
      </c>
      <c r="BYM23" s="92">
        <v>0</v>
      </c>
      <c r="BYN23" s="92">
        <v>0</v>
      </c>
      <c r="BYO23" s="92">
        <v>0</v>
      </c>
      <c r="BYP23" s="92">
        <v>0</v>
      </c>
      <c r="BYQ23" s="92">
        <v>0</v>
      </c>
      <c r="BYR23" s="92">
        <v>0</v>
      </c>
      <c r="BYS23" s="92">
        <v>0</v>
      </c>
      <c r="BYT23" s="92">
        <v>0</v>
      </c>
      <c r="BYU23" s="92">
        <v>0</v>
      </c>
      <c r="BYV23" s="92">
        <v>0</v>
      </c>
      <c r="BYW23" s="92">
        <v>0</v>
      </c>
      <c r="BYX23" s="92">
        <v>0</v>
      </c>
      <c r="BYY23" s="92">
        <v>0</v>
      </c>
      <c r="BYZ23" s="92">
        <v>0</v>
      </c>
      <c r="BZA23" s="92">
        <v>0</v>
      </c>
      <c r="BZB23" s="92">
        <v>0</v>
      </c>
      <c r="BZC23" s="92">
        <v>0</v>
      </c>
      <c r="BZD23" s="92">
        <v>0</v>
      </c>
      <c r="BZE23" s="92">
        <v>0</v>
      </c>
      <c r="BZF23" s="92">
        <v>0</v>
      </c>
      <c r="BZG23" s="92">
        <v>0</v>
      </c>
      <c r="BZH23" s="92">
        <v>0</v>
      </c>
      <c r="BZI23" s="92">
        <v>0</v>
      </c>
      <c r="BZJ23" s="92">
        <v>0</v>
      </c>
      <c r="BZK23" s="92">
        <v>0</v>
      </c>
      <c r="BZL23" s="92">
        <v>0</v>
      </c>
      <c r="BZM23" s="92">
        <v>0</v>
      </c>
      <c r="BZN23" s="92">
        <v>0</v>
      </c>
      <c r="BZO23" s="92">
        <v>0</v>
      </c>
      <c r="BZP23" s="92">
        <v>0</v>
      </c>
      <c r="BZQ23" s="92">
        <v>0</v>
      </c>
      <c r="BZR23" s="92">
        <v>0</v>
      </c>
      <c r="BZS23" s="92">
        <v>0</v>
      </c>
      <c r="BZT23" s="92">
        <v>0</v>
      </c>
      <c r="BZU23" s="92">
        <v>0</v>
      </c>
      <c r="BZV23" s="92">
        <v>0</v>
      </c>
      <c r="BZW23" s="92">
        <v>0</v>
      </c>
      <c r="BZX23" s="92">
        <v>0</v>
      </c>
      <c r="BZY23" s="92">
        <v>0</v>
      </c>
      <c r="BZZ23" s="92">
        <v>0</v>
      </c>
      <c r="CAA23" s="92">
        <v>0</v>
      </c>
      <c r="CAB23" s="92">
        <v>0</v>
      </c>
      <c r="CAC23" s="92">
        <v>0</v>
      </c>
      <c r="CAD23" s="92">
        <v>0</v>
      </c>
      <c r="CAE23" s="92">
        <v>0</v>
      </c>
      <c r="CAF23" s="92">
        <v>0</v>
      </c>
      <c r="CAG23" s="92">
        <v>0</v>
      </c>
      <c r="CAH23" s="92">
        <v>0</v>
      </c>
      <c r="CAI23" s="92">
        <v>0</v>
      </c>
      <c r="CAJ23" s="92">
        <v>0</v>
      </c>
      <c r="CAK23" s="92">
        <v>0</v>
      </c>
      <c r="CAL23" s="92">
        <v>0</v>
      </c>
      <c r="CAM23" s="92">
        <v>0</v>
      </c>
      <c r="CAN23" s="92">
        <v>0</v>
      </c>
      <c r="CAO23" s="92">
        <v>0</v>
      </c>
      <c r="CAP23" s="92">
        <v>0</v>
      </c>
      <c r="CAQ23" s="92">
        <v>0</v>
      </c>
      <c r="CAR23" s="92">
        <v>0</v>
      </c>
      <c r="CAS23" s="92">
        <v>0</v>
      </c>
      <c r="CAT23" s="92">
        <v>0</v>
      </c>
      <c r="CAU23" s="92">
        <v>0</v>
      </c>
      <c r="CAV23" s="92">
        <v>0</v>
      </c>
      <c r="CAW23" s="92">
        <v>0</v>
      </c>
      <c r="CAX23" s="92">
        <v>0</v>
      </c>
      <c r="CAY23" s="92">
        <v>0</v>
      </c>
      <c r="CAZ23" s="92">
        <v>0</v>
      </c>
      <c r="CBA23" s="92">
        <v>0</v>
      </c>
      <c r="CBB23" s="92">
        <v>0</v>
      </c>
      <c r="CBC23" s="92">
        <v>0</v>
      </c>
      <c r="CBD23" s="92">
        <v>0</v>
      </c>
      <c r="CBE23" s="92">
        <v>0</v>
      </c>
      <c r="CBF23" s="92">
        <v>0</v>
      </c>
      <c r="CBG23" s="92">
        <v>0</v>
      </c>
      <c r="CBH23" s="92">
        <v>0</v>
      </c>
      <c r="CBI23" s="92">
        <v>0</v>
      </c>
      <c r="CBJ23" s="92">
        <v>0</v>
      </c>
      <c r="CBK23" s="92">
        <v>0</v>
      </c>
      <c r="CBL23" s="92">
        <v>0</v>
      </c>
      <c r="CBM23" s="92">
        <v>0</v>
      </c>
      <c r="CBN23" s="92">
        <v>0</v>
      </c>
      <c r="CBO23" s="92">
        <v>0</v>
      </c>
      <c r="CBP23" s="92">
        <v>0</v>
      </c>
      <c r="CBQ23" s="92">
        <v>0</v>
      </c>
      <c r="CBR23" s="92">
        <v>0</v>
      </c>
      <c r="CBS23" s="92">
        <v>0</v>
      </c>
      <c r="CBT23" s="92">
        <v>0</v>
      </c>
      <c r="CBU23" s="92">
        <v>0</v>
      </c>
      <c r="CBV23" s="92">
        <v>0</v>
      </c>
      <c r="CBW23" s="92">
        <v>0</v>
      </c>
      <c r="CBX23" s="92">
        <v>0</v>
      </c>
      <c r="CBY23" s="92">
        <v>0</v>
      </c>
      <c r="CBZ23" s="92">
        <v>0</v>
      </c>
      <c r="CCA23" s="92">
        <v>0</v>
      </c>
      <c r="CCB23" s="92">
        <v>0</v>
      </c>
      <c r="CCC23" s="92">
        <v>0</v>
      </c>
      <c r="CCD23" s="92">
        <v>0</v>
      </c>
      <c r="CCE23" s="92">
        <v>0</v>
      </c>
      <c r="CCF23" s="92">
        <v>0</v>
      </c>
      <c r="CCG23" s="92">
        <v>0</v>
      </c>
      <c r="CCH23" s="92">
        <v>0</v>
      </c>
      <c r="CCI23" s="92">
        <v>0</v>
      </c>
      <c r="CCJ23" s="92">
        <v>0</v>
      </c>
      <c r="CCK23" s="92">
        <v>0</v>
      </c>
      <c r="CCL23" s="92">
        <v>0</v>
      </c>
      <c r="CCM23" s="92">
        <v>0</v>
      </c>
      <c r="CCN23" s="92">
        <v>0</v>
      </c>
      <c r="CCO23" s="92">
        <v>0</v>
      </c>
      <c r="CCP23" s="92">
        <v>0</v>
      </c>
      <c r="CCQ23" s="92">
        <v>0</v>
      </c>
      <c r="CCR23" s="92">
        <v>0</v>
      </c>
      <c r="CCS23" s="92">
        <v>0</v>
      </c>
      <c r="CCT23" s="92">
        <v>0</v>
      </c>
      <c r="CCU23" s="92">
        <v>0</v>
      </c>
      <c r="CCV23" s="92">
        <v>0</v>
      </c>
      <c r="CCW23" s="92">
        <v>0</v>
      </c>
      <c r="CCX23" s="92">
        <v>0</v>
      </c>
      <c r="CCY23" s="92">
        <v>0</v>
      </c>
      <c r="CCZ23" s="92">
        <v>0</v>
      </c>
      <c r="CDA23" s="92">
        <v>0</v>
      </c>
      <c r="CDB23" s="92">
        <v>0</v>
      </c>
      <c r="CDC23" s="92">
        <v>0</v>
      </c>
      <c r="CDD23" s="92">
        <v>0</v>
      </c>
      <c r="CDE23" s="92">
        <v>0</v>
      </c>
      <c r="CDF23" s="92">
        <v>0</v>
      </c>
      <c r="CDG23" s="92">
        <v>0</v>
      </c>
      <c r="CDH23" s="92">
        <v>0</v>
      </c>
      <c r="CDI23" s="92">
        <v>0</v>
      </c>
      <c r="CDJ23" s="92">
        <v>0</v>
      </c>
      <c r="CDK23" s="92">
        <v>0</v>
      </c>
      <c r="CDL23" s="92">
        <v>0</v>
      </c>
      <c r="CDM23" s="92">
        <v>0</v>
      </c>
      <c r="CDN23" s="92">
        <v>0</v>
      </c>
      <c r="CDO23" s="92">
        <v>0</v>
      </c>
      <c r="CDP23" s="92">
        <v>0</v>
      </c>
      <c r="CDQ23" s="92">
        <v>0</v>
      </c>
      <c r="CDR23" s="92">
        <v>0</v>
      </c>
      <c r="CDS23" s="92">
        <v>0</v>
      </c>
      <c r="CDT23" s="92">
        <v>0</v>
      </c>
      <c r="CDU23" s="92">
        <v>0</v>
      </c>
      <c r="CDV23" s="92">
        <v>0</v>
      </c>
      <c r="CDW23" s="92">
        <v>0</v>
      </c>
      <c r="CDX23" s="92">
        <v>0</v>
      </c>
      <c r="CDY23" s="92">
        <v>0</v>
      </c>
      <c r="CDZ23" s="92">
        <v>0</v>
      </c>
      <c r="CEA23" s="92">
        <v>0</v>
      </c>
      <c r="CEB23" s="92">
        <v>0</v>
      </c>
      <c r="CEC23" s="92">
        <v>0</v>
      </c>
      <c r="CED23" s="92">
        <v>0</v>
      </c>
      <c r="CEE23" s="92">
        <v>0</v>
      </c>
      <c r="CEF23" s="92">
        <v>0</v>
      </c>
      <c r="CEG23" s="92">
        <v>0</v>
      </c>
      <c r="CEH23" s="92">
        <v>0</v>
      </c>
      <c r="CEI23" s="92">
        <v>0</v>
      </c>
      <c r="CEJ23" s="92">
        <v>0</v>
      </c>
      <c r="CEK23" s="92">
        <v>0</v>
      </c>
      <c r="CEL23" s="92">
        <v>0</v>
      </c>
      <c r="CEM23" s="92">
        <v>0</v>
      </c>
      <c r="CEN23" s="92">
        <v>0</v>
      </c>
      <c r="CEO23" s="92">
        <v>0</v>
      </c>
      <c r="CEP23" s="92">
        <v>0</v>
      </c>
      <c r="CEQ23" s="92">
        <v>0</v>
      </c>
      <c r="CER23" s="92">
        <v>0</v>
      </c>
      <c r="CES23" s="92">
        <v>0</v>
      </c>
      <c r="CET23" s="92">
        <v>0</v>
      </c>
      <c r="CEU23" s="92">
        <v>0</v>
      </c>
      <c r="CEV23" s="92">
        <v>0</v>
      </c>
      <c r="CEW23" s="92">
        <v>0</v>
      </c>
      <c r="CEX23" s="92">
        <v>0</v>
      </c>
      <c r="CEY23" s="92">
        <v>0</v>
      </c>
      <c r="CEZ23" s="92">
        <v>0</v>
      </c>
      <c r="CFA23" s="92">
        <v>0</v>
      </c>
      <c r="CFB23" s="92">
        <v>0</v>
      </c>
      <c r="CFC23" s="92">
        <v>0</v>
      </c>
      <c r="CFD23" s="92">
        <v>0</v>
      </c>
      <c r="CFE23" s="92">
        <v>0</v>
      </c>
      <c r="CFF23" s="92">
        <v>0</v>
      </c>
      <c r="CFG23" s="92">
        <v>0</v>
      </c>
      <c r="CFH23" s="92">
        <v>0</v>
      </c>
      <c r="CFI23" s="92">
        <v>0</v>
      </c>
      <c r="CFJ23" s="92">
        <v>0</v>
      </c>
      <c r="CFK23" s="92">
        <v>0</v>
      </c>
      <c r="CFL23" s="92">
        <v>0</v>
      </c>
      <c r="CFM23" s="92">
        <v>0</v>
      </c>
      <c r="CFN23" s="92">
        <v>0</v>
      </c>
      <c r="CFO23" s="92">
        <v>0</v>
      </c>
      <c r="CFP23" s="92">
        <v>0</v>
      </c>
      <c r="CFQ23" s="92">
        <v>0</v>
      </c>
      <c r="CFR23" s="92">
        <v>0</v>
      </c>
      <c r="CFS23" s="92">
        <v>0</v>
      </c>
      <c r="CFT23" s="92">
        <v>0</v>
      </c>
      <c r="CFU23" s="92">
        <v>0</v>
      </c>
      <c r="CFV23" s="92">
        <v>0</v>
      </c>
      <c r="CFW23" s="92">
        <v>0</v>
      </c>
      <c r="CFX23" s="92">
        <v>0</v>
      </c>
      <c r="CFY23" s="92">
        <v>0</v>
      </c>
      <c r="CFZ23" s="92">
        <v>0</v>
      </c>
      <c r="CGA23" s="92">
        <v>0</v>
      </c>
      <c r="CGB23" s="92">
        <v>0</v>
      </c>
      <c r="CGC23" s="92">
        <v>0</v>
      </c>
      <c r="CGD23" s="92">
        <v>0</v>
      </c>
      <c r="CGE23" s="92">
        <v>0</v>
      </c>
      <c r="CGF23" s="92">
        <v>0</v>
      </c>
      <c r="CGG23" s="92">
        <v>0</v>
      </c>
      <c r="CGH23" s="92">
        <v>0</v>
      </c>
      <c r="CGI23" s="92">
        <v>0</v>
      </c>
      <c r="CGJ23" s="92">
        <v>0</v>
      </c>
      <c r="CGK23" s="92">
        <v>0</v>
      </c>
      <c r="CGL23" s="92">
        <v>0</v>
      </c>
      <c r="CGM23" s="92">
        <v>0</v>
      </c>
      <c r="CGN23" s="92">
        <v>0</v>
      </c>
      <c r="CGO23" s="92">
        <v>0</v>
      </c>
      <c r="CGP23" s="92">
        <v>0</v>
      </c>
      <c r="CGQ23" s="92">
        <v>0</v>
      </c>
      <c r="CGR23" s="92">
        <v>0</v>
      </c>
      <c r="CGS23" s="92">
        <v>0</v>
      </c>
      <c r="CGT23" s="92">
        <v>0</v>
      </c>
      <c r="CGU23" s="92">
        <v>0</v>
      </c>
      <c r="CGV23" s="92">
        <v>0</v>
      </c>
      <c r="CGW23" s="92">
        <v>0</v>
      </c>
      <c r="CGX23" s="92">
        <v>0</v>
      </c>
      <c r="CGY23" s="92">
        <v>0</v>
      </c>
      <c r="CGZ23" s="92">
        <v>0</v>
      </c>
      <c r="CHA23" s="92">
        <v>0</v>
      </c>
      <c r="CHB23" s="92">
        <v>0</v>
      </c>
      <c r="CHC23" s="92">
        <v>0</v>
      </c>
      <c r="CHD23" s="92">
        <v>0</v>
      </c>
      <c r="CHE23" s="92">
        <v>0</v>
      </c>
      <c r="CHF23" s="92">
        <v>0</v>
      </c>
      <c r="CHG23" s="92">
        <v>0</v>
      </c>
      <c r="CHH23" s="92">
        <v>0</v>
      </c>
      <c r="CHI23" s="92">
        <v>0</v>
      </c>
      <c r="CHJ23" s="92">
        <v>0</v>
      </c>
      <c r="CHK23" s="92">
        <v>0</v>
      </c>
      <c r="CHL23" s="92">
        <v>0</v>
      </c>
      <c r="CHM23" s="92">
        <v>0</v>
      </c>
      <c r="CHN23" s="92">
        <v>0</v>
      </c>
      <c r="CHO23" s="92">
        <v>0</v>
      </c>
      <c r="CHP23" s="92">
        <v>0</v>
      </c>
      <c r="CHQ23" s="92">
        <v>0</v>
      </c>
      <c r="CHR23" s="92">
        <v>0</v>
      </c>
      <c r="CHS23" s="92">
        <v>0</v>
      </c>
      <c r="CHT23" s="92">
        <v>0</v>
      </c>
      <c r="CHU23" s="92">
        <v>0</v>
      </c>
      <c r="CHV23" s="92">
        <v>0</v>
      </c>
      <c r="CHW23" s="92">
        <v>0</v>
      </c>
      <c r="CHX23" s="92">
        <v>0</v>
      </c>
      <c r="CHY23" s="92">
        <v>0</v>
      </c>
      <c r="CHZ23" s="92">
        <v>0</v>
      </c>
      <c r="CIA23" s="92">
        <v>0</v>
      </c>
      <c r="CIB23" s="92">
        <v>0</v>
      </c>
      <c r="CIC23" s="92">
        <v>0</v>
      </c>
      <c r="CID23" s="92">
        <v>0</v>
      </c>
      <c r="CIE23" s="92">
        <v>0</v>
      </c>
      <c r="CIF23" s="92">
        <v>0</v>
      </c>
      <c r="CIG23" s="92">
        <v>0</v>
      </c>
      <c r="CIH23" s="92">
        <v>0</v>
      </c>
      <c r="CII23" s="92">
        <v>0</v>
      </c>
      <c r="CIJ23" s="92">
        <v>0</v>
      </c>
      <c r="CIK23" s="92">
        <v>0</v>
      </c>
      <c r="CIL23" s="92">
        <v>0</v>
      </c>
      <c r="CIM23" s="92">
        <v>0</v>
      </c>
      <c r="CIN23" s="92">
        <v>0</v>
      </c>
      <c r="CIO23" s="92">
        <v>0</v>
      </c>
      <c r="CIP23" s="92">
        <v>0</v>
      </c>
      <c r="CIQ23" s="92">
        <v>0</v>
      </c>
      <c r="CIR23" s="92">
        <v>0</v>
      </c>
      <c r="CIS23" s="92">
        <v>0</v>
      </c>
      <c r="CIT23" s="92">
        <v>0</v>
      </c>
      <c r="CIU23" s="92">
        <v>0</v>
      </c>
      <c r="CIV23" s="92">
        <v>0</v>
      </c>
      <c r="CIW23" s="92">
        <v>0</v>
      </c>
      <c r="CIX23" s="92">
        <v>0</v>
      </c>
      <c r="CIY23" s="92">
        <v>0</v>
      </c>
      <c r="CIZ23" s="92">
        <v>0</v>
      </c>
      <c r="CJA23" s="92">
        <v>0</v>
      </c>
      <c r="CJB23" s="92">
        <v>0</v>
      </c>
      <c r="CJC23" s="92">
        <v>0</v>
      </c>
      <c r="CJD23" s="92">
        <v>0</v>
      </c>
      <c r="CJE23" s="92">
        <v>0</v>
      </c>
      <c r="CJF23" s="92">
        <v>0</v>
      </c>
      <c r="CJG23" s="92">
        <v>0</v>
      </c>
      <c r="CJH23" s="92">
        <v>0</v>
      </c>
      <c r="CJI23" s="92">
        <v>0</v>
      </c>
      <c r="CJJ23" s="92">
        <v>0</v>
      </c>
      <c r="CJK23" s="92">
        <v>0</v>
      </c>
      <c r="CJL23" s="92">
        <v>0</v>
      </c>
      <c r="CJM23" s="92">
        <v>0</v>
      </c>
      <c r="CJN23" s="92">
        <v>0</v>
      </c>
      <c r="CJO23" s="92">
        <v>0</v>
      </c>
      <c r="CJP23" s="92">
        <v>0</v>
      </c>
      <c r="CJQ23" s="92">
        <v>0</v>
      </c>
      <c r="CJR23" s="92">
        <v>0</v>
      </c>
      <c r="CJS23" s="92">
        <v>0</v>
      </c>
      <c r="CJT23" s="92">
        <v>0</v>
      </c>
      <c r="CJU23" s="92">
        <v>0</v>
      </c>
      <c r="CJV23" s="92">
        <v>0</v>
      </c>
      <c r="CJW23" s="92">
        <v>0</v>
      </c>
      <c r="CJX23" s="92">
        <v>0</v>
      </c>
      <c r="CJY23" s="92">
        <v>0</v>
      </c>
      <c r="CJZ23" s="92">
        <v>0</v>
      </c>
      <c r="CKA23" s="92">
        <v>0</v>
      </c>
      <c r="CKB23" s="92">
        <v>0</v>
      </c>
      <c r="CKC23" s="92">
        <v>0</v>
      </c>
      <c r="CKD23" s="92">
        <v>0</v>
      </c>
      <c r="CKE23" s="92">
        <v>0</v>
      </c>
      <c r="CKF23" s="92">
        <v>0</v>
      </c>
      <c r="CKG23" s="92">
        <v>0</v>
      </c>
      <c r="CKH23" s="92">
        <v>0</v>
      </c>
      <c r="CKI23" s="92">
        <v>0</v>
      </c>
      <c r="CKJ23" s="92">
        <v>0</v>
      </c>
      <c r="CKK23" s="92">
        <v>0</v>
      </c>
      <c r="CKL23" s="92">
        <v>0</v>
      </c>
      <c r="CKM23" s="92">
        <v>0</v>
      </c>
      <c r="CKN23" s="92">
        <v>0</v>
      </c>
      <c r="CKO23" s="92">
        <v>0</v>
      </c>
      <c r="CKP23" s="92">
        <v>0</v>
      </c>
      <c r="CKQ23" s="92">
        <v>0</v>
      </c>
      <c r="CKR23" s="92">
        <v>0</v>
      </c>
      <c r="CKS23" s="92">
        <v>0</v>
      </c>
      <c r="CKT23" s="92">
        <v>0</v>
      </c>
      <c r="CKU23" s="92">
        <v>0</v>
      </c>
      <c r="CKV23" s="92">
        <v>0</v>
      </c>
      <c r="CKW23" s="92">
        <v>0</v>
      </c>
      <c r="CKX23" s="92">
        <v>0</v>
      </c>
      <c r="CKY23" s="92">
        <v>0</v>
      </c>
      <c r="CKZ23" s="92">
        <v>0</v>
      </c>
      <c r="CLA23" s="92">
        <v>0</v>
      </c>
      <c r="CLB23" s="92">
        <v>0</v>
      </c>
      <c r="CLC23" s="92">
        <v>0</v>
      </c>
      <c r="CLD23" s="92">
        <v>0</v>
      </c>
      <c r="CLE23" s="92">
        <v>0</v>
      </c>
      <c r="CLF23" s="92">
        <v>0</v>
      </c>
      <c r="CLG23" s="92">
        <v>0</v>
      </c>
      <c r="CLH23" s="92">
        <v>0</v>
      </c>
      <c r="CLI23" s="92">
        <v>0</v>
      </c>
      <c r="CLJ23" s="92">
        <v>0</v>
      </c>
      <c r="CLK23" s="92">
        <v>0</v>
      </c>
      <c r="CLL23" s="92">
        <v>0</v>
      </c>
      <c r="CLM23" s="92">
        <v>0</v>
      </c>
      <c r="CLN23" s="92">
        <v>0</v>
      </c>
      <c r="CLO23" s="92">
        <v>0</v>
      </c>
      <c r="CLP23" s="92">
        <v>0</v>
      </c>
      <c r="CLQ23" s="92">
        <v>0</v>
      </c>
      <c r="CLR23" s="92">
        <v>0</v>
      </c>
      <c r="CLS23" s="92">
        <v>0</v>
      </c>
      <c r="CLT23" s="92">
        <v>0</v>
      </c>
      <c r="CLU23" s="92">
        <v>0</v>
      </c>
      <c r="CLV23" s="92">
        <v>0</v>
      </c>
      <c r="CLW23" s="92">
        <v>0</v>
      </c>
      <c r="CLX23" s="92">
        <v>0</v>
      </c>
      <c r="CLY23" s="92">
        <v>0</v>
      </c>
      <c r="CLZ23" s="92">
        <v>0</v>
      </c>
      <c r="CMA23" s="92">
        <v>0</v>
      </c>
      <c r="CMB23" s="92">
        <v>0</v>
      </c>
      <c r="CMC23" s="92">
        <v>0</v>
      </c>
      <c r="CMD23" s="92">
        <v>0</v>
      </c>
      <c r="CME23" s="92">
        <v>0</v>
      </c>
      <c r="CMF23" s="92">
        <v>0</v>
      </c>
      <c r="CMG23" s="92">
        <v>0</v>
      </c>
      <c r="CMH23" s="92">
        <v>0</v>
      </c>
      <c r="CMI23" s="92">
        <v>0</v>
      </c>
      <c r="CMJ23" s="92">
        <v>0</v>
      </c>
      <c r="CMK23" s="92">
        <v>0</v>
      </c>
      <c r="CML23" s="92">
        <v>0</v>
      </c>
      <c r="CMM23" s="92">
        <v>0</v>
      </c>
      <c r="CMN23" s="92">
        <v>0</v>
      </c>
      <c r="CMO23" s="92">
        <v>0</v>
      </c>
      <c r="CMP23" s="92">
        <v>0</v>
      </c>
      <c r="CMQ23" s="92">
        <v>0</v>
      </c>
      <c r="CMR23" s="92">
        <v>0</v>
      </c>
      <c r="CMS23" s="92">
        <v>0</v>
      </c>
      <c r="CMT23" s="92">
        <v>0</v>
      </c>
      <c r="CMU23" s="92">
        <v>0</v>
      </c>
      <c r="CMV23" s="92">
        <v>0</v>
      </c>
      <c r="CMW23" s="92">
        <v>0</v>
      </c>
      <c r="CMX23" s="92">
        <v>0</v>
      </c>
      <c r="CMY23" s="92">
        <v>0</v>
      </c>
      <c r="CMZ23" s="92">
        <v>0</v>
      </c>
      <c r="CNA23" s="92">
        <v>0</v>
      </c>
      <c r="CNB23" s="92">
        <v>0</v>
      </c>
      <c r="CNC23" s="92">
        <v>0</v>
      </c>
      <c r="CND23" s="92">
        <v>0</v>
      </c>
      <c r="CNE23" s="92">
        <v>0</v>
      </c>
      <c r="CNF23" s="92">
        <v>0</v>
      </c>
      <c r="CNG23" s="92">
        <v>0</v>
      </c>
      <c r="CNH23" s="92">
        <v>0</v>
      </c>
      <c r="CNI23" s="92">
        <v>0</v>
      </c>
      <c r="CNJ23" s="92">
        <v>0</v>
      </c>
      <c r="CNK23" s="92">
        <v>0</v>
      </c>
      <c r="CNL23" s="92">
        <v>0</v>
      </c>
      <c r="CNM23" s="92">
        <v>0</v>
      </c>
      <c r="CNN23" s="92">
        <v>0</v>
      </c>
      <c r="CNO23" s="92">
        <v>0</v>
      </c>
      <c r="CNP23" s="92">
        <v>0</v>
      </c>
      <c r="CNQ23" s="92">
        <v>0</v>
      </c>
      <c r="CNR23" s="92">
        <v>0</v>
      </c>
      <c r="CNS23" s="92">
        <v>0</v>
      </c>
      <c r="CNT23" s="92">
        <v>0</v>
      </c>
      <c r="CNU23" s="92">
        <v>0</v>
      </c>
      <c r="CNV23" s="92">
        <v>0</v>
      </c>
      <c r="CNW23" s="92">
        <v>0</v>
      </c>
      <c r="CNX23" s="92">
        <v>0</v>
      </c>
      <c r="CNY23" s="92">
        <v>0</v>
      </c>
      <c r="CNZ23" s="92">
        <v>0</v>
      </c>
      <c r="COA23" s="92">
        <v>0</v>
      </c>
      <c r="COB23" s="92">
        <v>0</v>
      </c>
      <c r="COC23" s="92">
        <v>0</v>
      </c>
      <c r="COD23" s="92">
        <v>0</v>
      </c>
      <c r="COE23" s="92">
        <v>0</v>
      </c>
      <c r="COF23" s="92">
        <v>0</v>
      </c>
      <c r="COG23" s="92">
        <v>0</v>
      </c>
      <c r="COH23" s="92">
        <v>0</v>
      </c>
      <c r="COI23" s="92">
        <v>0</v>
      </c>
      <c r="COJ23" s="92">
        <v>0</v>
      </c>
      <c r="COK23" s="92">
        <v>0</v>
      </c>
      <c r="COL23" s="92">
        <v>0</v>
      </c>
      <c r="COM23" s="92">
        <v>0</v>
      </c>
      <c r="CON23" s="92">
        <v>0</v>
      </c>
      <c r="COO23" s="92">
        <v>0</v>
      </c>
      <c r="COP23" s="92">
        <v>0</v>
      </c>
      <c r="COQ23" s="92">
        <v>0</v>
      </c>
      <c r="COR23" s="92">
        <v>0</v>
      </c>
      <c r="COS23" s="92">
        <v>0</v>
      </c>
      <c r="COT23" s="92">
        <v>0</v>
      </c>
      <c r="COU23" s="92">
        <v>0</v>
      </c>
      <c r="COV23" s="92">
        <v>0</v>
      </c>
      <c r="COW23" s="92">
        <v>0</v>
      </c>
      <c r="COX23" s="92">
        <v>0</v>
      </c>
      <c r="COY23" s="92">
        <v>0</v>
      </c>
      <c r="COZ23" s="92">
        <v>0</v>
      </c>
      <c r="CPA23" s="92">
        <v>0</v>
      </c>
      <c r="CPB23" s="92">
        <v>0</v>
      </c>
      <c r="CPC23" s="92">
        <v>0</v>
      </c>
      <c r="CPD23" s="92">
        <v>0</v>
      </c>
      <c r="CPE23" s="92">
        <v>0</v>
      </c>
      <c r="CPF23" s="92">
        <v>0</v>
      </c>
      <c r="CPG23" s="92">
        <v>0</v>
      </c>
      <c r="CPH23" s="92">
        <v>0</v>
      </c>
      <c r="CPI23" s="92">
        <v>0</v>
      </c>
      <c r="CPJ23" s="92">
        <v>0</v>
      </c>
      <c r="CPK23" s="92">
        <v>0</v>
      </c>
      <c r="CPL23" s="92">
        <v>0</v>
      </c>
      <c r="CPM23" s="92">
        <v>0</v>
      </c>
      <c r="CPN23" s="92">
        <v>0</v>
      </c>
      <c r="CPO23" s="92">
        <v>0</v>
      </c>
      <c r="CPP23" s="92">
        <v>0</v>
      </c>
      <c r="CPQ23" s="92">
        <v>0</v>
      </c>
      <c r="CPR23" s="92">
        <v>0</v>
      </c>
      <c r="CPS23" s="92">
        <v>0</v>
      </c>
      <c r="CPT23" s="92">
        <v>0</v>
      </c>
      <c r="CPU23" s="92">
        <v>0</v>
      </c>
      <c r="CPV23" s="92">
        <v>0</v>
      </c>
      <c r="CPW23" s="92">
        <v>0</v>
      </c>
      <c r="CPX23" s="92">
        <v>0</v>
      </c>
      <c r="CPY23" s="92">
        <v>0</v>
      </c>
      <c r="CPZ23" s="92">
        <v>0</v>
      </c>
      <c r="CQA23" s="92">
        <v>0</v>
      </c>
      <c r="CQB23" s="92">
        <v>0</v>
      </c>
      <c r="CQC23" s="92">
        <v>0</v>
      </c>
      <c r="CQD23" s="92">
        <v>0</v>
      </c>
      <c r="CQE23" s="92">
        <v>0</v>
      </c>
      <c r="CQF23" s="92">
        <v>0</v>
      </c>
      <c r="CQG23" s="92">
        <v>0</v>
      </c>
      <c r="CQH23" s="92">
        <v>0</v>
      </c>
      <c r="CQI23" s="92">
        <v>0</v>
      </c>
      <c r="CQJ23" s="92">
        <v>0</v>
      </c>
      <c r="CQK23" s="92">
        <v>0</v>
      </c>
      <c r="CQL23" s="92">
        <v>0</v>
      </c>
      <c r="CQM23" s="92">
        <v>0</v>
      </c>
      <c r="CQN23" s="92">
        <v>0</v>
      </c>
      <c r="CQO23" s="92">
        <v>0</v>
      </c>
      <c r="CQP23" s="92">
        <v>0</v>
      </c>
      <c r="CQQ23" s="92">
        <v>0</v>
      </c>
      <c r="CQR23" s="92">
        <v>0</v>
      </c>
      <c r="CQS23" s="92">
        <v>0</v>
      </c>
      <c r="CQT23" s="92">
        <v>0</v>
      </c>
      <c r="CQU23" s="92">
        <v>0</v>
      </c>
      <c r="CQV23" s="92">
        <v>0</v>
      </c>
      <c r="CQW23" s="92">
        <v>0</v>
      </c>
      <c r="CQX23" s="92">
        <v>0</v>
      </c>
      <c r="CQY23" s="92">
        <v>0</v>
      </c>
      <c r="CQZ23" s="92">
        <v>0</v>
      </c>
      <c r="CRA23" s="92">
        <v>0</v>
      </c>
      <c r="CRB23" s="92">
        <v>0</v>
      </c>
      <c r="CRC23" s="92">
        <v>0</v>
      </c>
      <c r="CRD23" s="92">
        <v>0</v>
      </c>
      <c r="CRE23" s="92">
        <v>0</v>
      </c>
      <c r="CRF23" s="92">
        <v>0</v>
      </c>
      <c r="CRG23" s="92">
        <v>0</v>
      </c>
      <c r="CRH23" s="92">
        <v>0</v>
      </c>
      <c r="CRI23" s="92">
        <v>0</v>
      </c>
      <c r="CRJ23" s="92">
        <v>0</v>
      </c>
      <c r="CRK23" s="92">
        <v>0</v>
      </c>
      <c r="CRL23" s="92">
        <v>0</v>
      </c>
      <c r="CRM23" s="92">
        <v>0</v>
      </c>
      <c r="CRN23" s="92">
        <v>0</v>
      </c>
      <c r="CRO23" s="92">
        <v>0</v>
      </c>
      <c r="CRP23" s="92">
        <v>0</v>
      </c>
      <c r="CRQ23" s="92">
        <v>0</v>
      </c>
      <c r="CRR23" s="92">
        <v>0</v>
      </c>
      <c r="CRS23" s="92">
        <v>0</v>
      </c>
      <c r="CRT23" s="92">
        <v>0</v>
      </c>
      <c r="CRU23" s="92">
        <v>0</v>
      </c>
      <c r="CRV23" s="92">
        <v>0</v>
      </c>
      <c r="CRW23" s="92">
        <v>0</v>
      </c>
      <c r="CRX23" s="92">
        <v>0</v>
      </c>
      <c r="CRY23" s="92">
        <v>0</v>
      </c>
      <c r="CRZ23" s="92">
        <v>0</v>
      </c>
      <c r="CSA23" s="92">
        <v>0</v>
      </c>
      <c r="CSB23" s="92">
        <v>0</v>
      </c>
      <c r="CSC23" s="92">
        <v>0</v>
      </c>
      <c r="CSD23" s="92">
        <v>0</v>
      </c>
      <c r="CSE23" s="92">
        <v>0</v>
      </c>
      <c r="CSF23" s="92">
        <v>0</v>
      </c>
      <c r="CSG23" s="92">
        <v>0</v>
      </c>
      <c r="CSH23" s="92">
        <v>0</v>
      </c>
      <c r="CSI23" s="92">
        <v>0</v>
      </c>
      <c r="CSJ23" s="92">
        <v>0</v>
      </c>
      <c r="CSK23" s="92">
        <v>0</v>
      </c>
      <c r="CSL23" s="92">
        <v>0</v>
      </c>
      <c r="CSM23" s="92">
        <v>0</v>
      </c>
      <c r="CSN23" s="92">
        <v>0</v>
      </c>
      <c r="CSO23" s="92">
        <v>0</v>
      </c>
      <c r="CSP23" s="92">
        <v>0</v>
      </c>
      <c r="CSQ23" s="92">
        <v>0</v>
      </c>
      <c r="CSR23" s="92">
        <v>0</v>
      </c>
      <c r="CSS23" s="92">
        <v>0</v>
      </c>
      <c r="CST23" s="92">
        <v>0</v>
      </c>
      <c r="CSU23" s="92">
        <v>0</v>
      </c>
      <c r="CSV23" s="92">
        <v>0</v>
      </c>
      <c r="CSW23" s="92">
        <v>0</v>
      </c>
      <c r="CSX23" s="92">
        <v>0</v>
      </c>
      <c r="CSY23" s="92">
        <v>0</v>
      </c>
      <c r="CSZ23" s="92">
        <v>0</v>
      </c>
      <c r="CTA23" s="92">
        <v>0</v>
      </c>
      <c r="CTB23" s="92">
        <v>0</v>
      </c>
      <c r="CTC23" s="92">
        <v>0</v>
      </c>
      <c r="CTD23" s="92">
        <v>0</v>
      </c>
      <c r="CTE23" s="92">
        <v>0</v>
      </c>
      <c r="CTF23" s="92">
        <v>0</v>
      </c>
      <c r="CTG23" s="92">
        <v>0</v>
      </c>
      <c r="CTH23" s="92">
        <v>0</v>
      </c>
      <c r="CTI23" s="92">
        <v>0</v>
      </c>
      <c r="CTJ23" s="92">
        <v>0</v>
      </c>
      <c r="CTK23" s="92">
        <v>0</v>
      </c>
      <c r="CTL23" s="92">
        <v>0</v>
      </c>
      <c r="CTM23" s="92">
        <v>0</v>
      </c>
      <c r="CTN23" s="92">
        <v>0</v>
      </c>
      <c r="CTO23" s="92">
        <v>0</v>
      </c>
      <c r="CTP23" s="92">
        <v>0</v>
      </c>
      <c r="CTQ23" s="92">
        <v>0</v>
      </c>
      <c r="CTR23" s="92">
        <v>0</v>
      </c>
      <c r="CTS23" s="92">
        <v>0</v>
      </c>
      <c r="CTT23" s="92">
        <v>0</v>
      </c>
      <c r="CTU23" s="92">
        <v>0</v>
      </c>
      <c r="CTV23" s="92">
        <v>0</v>
      </c>
      <c r="CTW23" s="92">
        <v>0</v>
      </c>
      <c r="CTX23" s="92">
        <v>0</v>
      </c>
      <c r="CTY23" s="92">
        <v>0</v>
      </c>
      <c r="CTZ23" s="92">
        <v>0</v>
      </c>
      <c r="CUA23" s="92">
        <v>0</v>
      </c>
      <c r="CUB23" s="92">
        <v>0</v>
      </c>
      <c r="CUC23" s="92">
        <v>0</v>
      </c>
      <c r="CUD23" s="92">
        <v>0</v>
      </c>
      <c r="CUE23" s="92">
        <v>0</v>
      </c>
      <c r="CUF23" s="92">
        <v>0</v>
      </c>
      <c r="CUG23" s="92">
        <v>0</v>
      </c>
      <c r="CUH23" s="92">
        <v>0</v>
      </c>
      <c r="CUI23" s="92">
        <v>0</v>
      </c>
      <c r="CUJ23" s="92">
        <v>0</v>
      </c>
      <c r="CUK23" s="92">
        <v>0</v>
      </c>
      <c r="CUL23" s="92">
        <v>0</v>
      </c>
      <c r="CUM23" s="92">
        <v>0</v>
      </c>
      <c r="CUN23" s="92">
        <v>0</v>
      </c>
      <c r="CUO23" s="92">
        <v>0</v>
      </c>
      <c r="CUP23" s="92">
        <v>0</v>
      </c>
      <c r="CUQ23" s="92">
        <v>0</v>
      </c>
      <c r="CUR23" s="92">
        <v>0</v>
      </c>
      <c r="CUS23" s="92">
        <v>0</v>
      </c>
      <c r="CUT23" s="92">
        <v>0</v>
      </c>
      <c r="CUU23" s="92">
        <v>0</v>
      </c>
      <c r="CUV23" s="92">
        <v>0</v>
      </c>
      <c r="CUW23" s="92">
        <v>0</v>
      </c>
      <c r="CUX23" s="92">
        <v>0</v>
      </c>
      <c r="CUY23" s="92">
        <v>0</v>
      </c>
      <c r="CUZ23" s="92">
        <v>0</v>
      </c>
      <c r="CVA23" s="92">
        <v>0</v>
      </c>
      <c r="CVB23" s="92">
        <v>0</v>
      </c>
      <c r="CVC23" s="92">
        <v>0</v>
      </c>
      <c r="CVD23" s="92">
        <v>0</v>
      </c>
      <c r="CVE23" s="92">
        <v>0</v>
      </c>
      <c r="CVF23" s="92">
        <v>0</v>
      </c>
      <c r="CVG23" s="92">
        <v>0</v>
      </c>
      <c r="CVH23" s="92">
        <v>0</v>
      </c>
      <c r="CVI23" s="92">
        <v>0</v>
      </c>
      <c r="CVJ23" s="92">
        <v>0</v>
      </c>
      <c r="CVK23" s="92">
        <v>0</v>
      </c>
      <c r="CVL23" s="92">
        <v>0</v>
      </c>
      <c r="CVM23" s="92">
        <v>0</v>
      </c>
      <c r="CVN23" s="92">
        <v>0</v>
      </c>
      <c r="CVO23" s="92">
        <v>0</v>
      </c>
      <c r="CVP23" s="92">
        <v>0</v>
      </c>
      <c r="CVQ23" s="92">
        <v>0</v>
      </c>
      <c r="CVR23" s="92">
        <v>0</v>
      </c>
      <c r="CVS23" s="92">
        <v>0</v>
      </c>
      <c r="CVT23" s="92">
        <v>0</v>
      </c>
      <c r="CVU23" s="92">
        <v>0</v>
      </c>
      <c r="CVV23" s="92">
        <v>0</v>
      </c>
      <c r="CVW23" s="92">
        <v>0</v>
      </c>
      <c r="CVX23" s="92">
        <v>0</v>
      </c>
      <c r="CVY23" s="92">
        <v>0</v>
      </c>
      <c r="CVZ23" s="92">
        <v>0</v>
      </c>
      <c r="CWA23" s="92">
        <v>0</v>
      </c>
      <c r="CWB23" s="92">
        <v>0</v>
      </c>
      <c r="CWC23" s="92">
        <v>0</v>
      </c>
      <c r="CWD23" s="92">
        <v>0</v>
      </c>
      <c r="CWE23" s="92">
        <v>0</v>
      </c>
      <c r="CWF23" s="92">
        <v>0</v>
      </c>
      <c r="CWG23" s="92">
        <v>0</v>
      </c>
      <c r="CWH23" s="92">
        <v>0</v>
      </c>
      <c r="CWI23" s="92">
        <v>0</v>
      </c>
      <c r="CWJ23" s="92">
        <v>0</v>
      </c>
      <c r="CWK23" s="92">
        <v>0</v>
      </c>
      <c r="CWL23" s="92">
        <v>0</v>
      </c>
      <c r="CWM23" s="92">
        <v>0</v>
      </c>
      <c r="CWN23" s="92">
        <v>0</v>
      </c>
      <c r="CWO23" s="92">
        <v>0</v>
      </c>
      <c r="CWP23" s="92">
        <v>0</v>
      </c>
      <c r="CWQ23" s="92">
        <v>0</v>
      </c>
      <c r="CWR23" s="92">
        <v>0</v>
      </c>
      <c r="CWS23" s="92">
        <v>0</v>
      </c>
      <c r="CWT23" s="92">
        <v>0</v>
      </c>
      <c r="CWU23" s="92">
        <v>0</v>
      </c>
      <c r="CWV23" s="92">
        <v>0</v>
      </c>
      <c r="CWW23" s="92">
        <v>0</v>
      </c>
      <c r="CWX23" s="92">
        <v>0</v>
      </c>
      <c r="CWY23" s="92">
        <v>0</v>
      </c>
      <c r="CWZ23" s="92">
        <v>0</v>
      </c>
      <c r="CXA23" s="92">
        <v>0</v>
      </c>
      <c r="CXB23" s="92">
        <v>0</v>
      </c>
      <c r="CXC23" s="92">
        <v>0</v>
      </c>
      <c r="CXD23" s="92">
        <v>0</v>
      </c>
      <c r="CXE23" s="92">
        <v>0</v>
      </c>
      <c r="CXF23" s="92">
        <v>0</v>
      </c>
      <c r="CXG23" s="92">
        <v>0</v>
      </c>
      <c r="CXH23" s="92">
        <v>0</v>
      </c>
      <c r="CXI23" s="92">
        <v>0</v>
      </c>
      <c r="CXJ23" s="92">
        <v>0</v>
      </c>
      <c r="CXK23" s="92">
        <v>0</v>
      </c>
      <c r="CXL23" s="92">
        <v>0</v>
      </c>
      <c r="CXM23" s="92">
        <v>0</v>
      </c>
      <c r="CXN23" s="92">
        <v>0</v>
      </c>
      <c r="CXO23" s="92">
        <v>0</v>
      </c>
      <c r="CXP23" s="92">
        <v>0</v>
      </c>
      <c r="CXQ23" s="92">
        <v>0</v>
      </c>
      <c r="CXR23" s="92">
        <v>0</v>
      </c>
      <c r="CXS23" s="92">
        <v>0</v>
      </c>
      <c r="CXT23" s="92">
        <v>0</v>
      </c>
      <c r="CXU23" s="92">
        <v>0</v>
      </c>
      <c r="CXV23" s="92">
        <v>0</v>
      </c>
      <c r="CXW23" s="92">
        <v>0</v>
      </c>
      <c r="CXX23" s="92">
        <v>0</v>
      </c>
      <c r="CXY23" s="92">
        <v>0</v>
      </c>
      <c r="CXZ23" s="92">
        <v>0</v>
      </c>
      <c r="CYA23" s="92">
        <v>0</v>
      </c>
      <c r="CYB23" s="92">
        <v>0</v>
      </c>
      <c r="CYC23" s="92">
        <v>0</v>
      </c>
      <c r="CYD23" s="92">
        <v>0</v>
      </c>
      <c r="CYE23" s="92">
        <v>0</v>
      </c>
      <c r="CYF23" s="92">
        <v>0</v>
      </c>
      <c r="CYG23" s="92">
        <v>0</v>
      </c>
      <c r="CYH23" s="92">
        <v>0</v>
      </c>
      <c r="CYI23" s="92">
        <v>0</v>
      </c>
      <c r="CYJ23" s="92">
        <v>0</v>
      </c>
      <c r="CYK23" s="92">
        <v>0</v>
      </c>
      <c r="CYL23" s="92">
        <v>0</v>
      </c>
      <c r="CYM23" s="92">
        <v>0</v>
      </c>
      <c r="CYN23" s="92">
        <v>0</v>
      </c>
      <c r="CYO23" s="92">
        <v>0</v>
      </c>
      <c r="CYP23" s="92">
        <v>0</v>
      </c>
      <c r="CYQ23" s="92">
        <v>0</v>
      </c>
      <c r="CYR23" s="92">
        <v>0</v>
      </c>
      <c r="CYS23" s="92">
        <v>0</v>
      </c>
      <c r="CYT23" s="92">
        <v>0</v>
      </c>
      <c r="CYU23" s="92">
        <v>0</v>
      </c>
      <c r="CYV23" s="92">
        <v>0</v>
      </c>
      <c r="CYW23" s="92">
        <v>0</v>
      </c>
      <c r="CYX23" s="92">
        <v>0</v>
      </c>
      <c r="CYY23" s="92">
        <v>0</v>
      </c>
      <c r="CYZ23" s="92">
        <v>0</v>
      </c>
      <c r="CZA23" s="92">
        <v>0</v>
      </c>
      <c r="CZB23" s="92">
        <v>0</v>
      </c>
      <c r="CZC23" s="92">
        <v>0</v>
      </c>
      <c r="CZD23" s="92">
        <v>0</v>
      </c>
      <c r="CZE23" s="92">
        <v>0</v>
      </c>
      <c r="CZF23" s="92">
        <v>0</v>
      </c>
      <c r="CZG23" s="92">
        <v>0</v>
      </c>
      <c r="CZH23" s="92">
        <v>0</v>
      </c>
      <c r="CZI23" s="92">
        <v>0</v>
      </c>
      <c r="CZJ23" s="92">
        <v>0</v>
      </c>
      <c r="CZK23" s="92">
        <v>0</v>
      </c>
      <c r="CZL23" s="92">
        <v>0</v>
      </c>
      <c r="CZM23" s="92">
        <v>0</v>
      </c>
      <c r="CZN23" s="92">
        <v>0</v>
      </c>
      <c r="CZO23" s="92">
        <v>0</v>
      </c>
      <c r="CZP23" s="92">
        <v>0</v>
      </c>
      <c r="CZQ23" s="92">
        <v>0</v>
      </c>
      <c r="CZR23" s="92">
        <v>0</v>
      </c>
      <c r="CZS23" s="92">
        <v>0</v>
      </c>
      <c r="CZT23" s="92">
        <v>0</v>
      </c>
      <c r="CZU23" s="92">
        <v>0</v>
      </c>
      <c r="CZV23" s="92">
        <v>0</v>
      </c>
      <c r="CZW23" s="92">
        <v>0</v>
      </c>
      <c r="CZX23" s="92">
        <v>0</v>
      </c>
      <c r="CZY23" s="92">
        <v>0</v>
      </c>
      <c r="CZZ23" s="92">
        <v>0</v>
      </c>
      <c r="DAA23" s="92">
        <v>0</v>
      </c>
      <c r="DAB23" s="92">
        <v>0</v>
      </c>
      <c r="DAC23" s="92">
        <v>0</v>
      </c>
      <c r="DAD23" s="92">
        <v>0</v>
      </c>
      <c r="DAE23" s="92">
        <v>0</v>
      </c>
      <c r="DAF23" s="92">
        <v>0</v>
      </c>
      <c r="DAG23" s="92">
        <v>0</v>
      </c>
      <c r="DAH23" s="92">
        <v>0</v>
      </c>
      <c r="DAI23" s="92">
        <v>0</v>
      </c>
      <c r="DAJ23" s="92">
        <v>0</v>
      </c>
      <c r="DAK23" s="92">
        <v>0</v>
      </c>
      <c r="DAL23" s="92">
        <v>0</v>
      </c>
      <c r="DAM23" s="92">
        <v>0</v>
      </c>
      <c r="DAN23" s="92">
        <v>0</v>
      </c>
      <c r="DAO23" s="92">
        <v>0</v>
      </c>
      <c r="DAP23" s="92">
        <v>0</v>
      </c>
      <c r="DAQ23" s="92">
        <v>0</v>
      </c>
      <c r="DAR23" s="92">
        <v>0</v>
      </c>
      <c r="DAS23" s="92">
        <v>0</v>
      </c>
      <c r="DAT23" s="92">
        <v>0</v>
      </c>
      <c r="DAU23" s="92">
        <v>0</v>
      </c>
      <c r="DAV23" s="92">
        <v>0</v>
      </c>
      <c r="DAW23" s="92">
        <v>0</v>
      </c>
      <c r="DAX23" s="92">
        <v>0</v>
      </c>
      <c r="DAY23" s="92">
        <v>0</v>
      </c>
      <c r="DAZ23" s="92">
        <v>0</v>
      </c>
      <c r="DBA23" s="92">
        <v>0</v>
      </c>
      <c r="DBB23" s="92">
        <v>0</v>
      </c>
      <c r="DBC23" s="92">
        <v>0</v>
      </c>
      <c r="DBD23" s="92">
        <v>0</v>
      </c>
      <c r="DBE23" s="92">
        <v>0</v>
      </c>
      <c r="DBF23" s="92">
        <v>0</v>
      </c>
      <c r="DBG23" s="92">
        <v>0</v>
      </c>
      <c r="DBH23" s="92">
        <v>0</v>
      </c>
      <c r="DBI23" s="92">
        <v>0</v>
      </c>
      <c r="DBJ23" s="92">
        <v>0</v>
      </c>
      <c r="DBK23" s="92">
        <v>0</v>
      </c>
      <c r="DBL23" s="92">
        <v>0</v>
      </c>
      <c r="DBM23" s="92">
        <v>0</v>
      </c>
      <c r="DBN23" s="92">
        <v>0</v>
      </c>
      <c r="DBO23" s="92">
        <v>0</v>
      </c>
      <c r="DBP23" s="92">
        <v>0</v>
      </c>
      <c r="DBQ23" s="92">
        <v>0</v>
      </c>
      <c r="DBR23" s="92">
        <v>0</v>
      </c>
      <c r="DBS23" s="92">
        <v>0</v>
      </c>
      <c r="DBT23" s="92">
        <v>0</v>
      </c>
      <c r="DBU23" s="92">
        <v>0</v>
      </c>
      <c r="DBV23" s="92">
        <v>0</v>
      </c>
      <c r="DBW23" s="92">
        <v>0</v>
      </c>
      <c r="DBX23" s="92">
        <v>0</v>
      </c>
      <c r="DBY23" s="92">
        <v>0</v>
      </c>
      <c r="DBZ23" s="92">
        <v>0</v>
      </c>
      <c r="DCA23" s="92">
        <v>0</v>
      </c>
      <c r="DCB23" s="92">
        <v>0</v>
      </c>
      <c r="DCC23" s="92">
        <v>0</v>
      </c>
      <c r="DCD23" s="92">
        <v>0</v>
      </c>
      <c r="DCE23" s="92">
        <v>0</v>
      </c>
      <c r="DCF23" s="92">
        <v>0</v>
      </c>
      <c r="DCG23" s="92">
        <v>0</v>
      </c>
      <c r="DCH23" s="92">
        <v>0</v>
      </c>
      <c r="DCI23" s="92">
        <v>0</v>
      </c>
      <c r="DCJ23" s="92">
        <v>0</v>
      </c>
      <c r="DCK23" s="92">
        <v>0</v>
      </c>
      <c r="DCL23" s="92">
        <v>0</v>
      </c>
      <c r="DCM23" s="92">
        <v>0</v>
      </c>
      <c r="DCN23" s="92">
        <v>0</v>
      </c>
      <c r="DCO23" s="92">
        <v>0</v>
      </c>
      <c r="DCP23" s="92">
        <v>0</v>
      </c>
      <c r="DCQ23" s="92">
        <v>0</v>
      </c>
      <c r="DCR23" s="92">
        <v>0</v>
      </c>
      <c r="DCS23" s="92">
        <v>0</v>
      </c>
      <c r="DCT23" s="92">
        <v>0</v>
      </c>
      <c r="DCU23" s="92">
        <v>0</v>
      </c>
      <c r="DCV23" s="92">
        <v>0</v>
      </c>
      <c r="DCW23" s="92">
        <v>0</v>
      </c>
      <c r="DCX23" s="92">
        <v>0</v>
      </c>
      <c r="DCY23" s="92">
        <v>0</v>
      </c>
      <c r="DCZ23" s="92">
        <v>0</v>
      </c>
      <c r="DDA23" s="92">
        <v>0</v>
      </c>
      <c r="DDB23" s="92">
        <v>0</v>
      </c>
      <c r="DDC23" s="92">
        <v>0</v>
      </c>
      <c r="DDD23" s="92">
        <v>0</v>
      </c>
      <c r="DDE23" s="92">
        <v>0</v>
      </c>
      <c r="DDF23" s="92">
        <v>0</v>
      </c>
      <c r="DDG23" s="92">
        <v>0</v>
      </c>
      <c r="DDH23" s="92">
        <v>0</v>
      </c>
      <c r="DDI23" s="92">
        <v>0</v>
      </c>
      <c r="DDJ23" s="92">
        <v>0</v>
      </c>
      <c r="DDK23" s="92">
        <v>0</v>
      </c>
      <c r="DDL23" s="92">
        <v>0</v>
      </c>
      <c r="DDM23" s="92">
        <v>0</v>
      </c>
      <c r="DDN23" s="92">
        <v>0</v>
      </c>
      <c r="DDO23" s="92">
        <v>0</v>
      </c>
      <c r="DDP23" s="92">
        <v>0</v>
      </c>
      <c r="DDQ23" s="92">
        <v>0</v>
      </c>
      <c r="DDR23" s="92">
        <v>0</v>
      </c>
      <c r="DDS23" s="92">
        <v>0</v>
      </c>
      <c r="DDT23" s="92">
        <v>0</v>
      </c>
      <c r="DDU23" s="92">
        <v>0</v>
      </c>
      <c r="DDV23" s="92">
        <v>0</v>
      </c>
      <c r="DDW23" s="92">
        <v>0</v>
      </c>
      <c r="DDX23" s="92">
        <v>0</v>
      </c>
      <c r="DDY23" s="92">
        <v>0</v>
      </c>
      <c r="DDZ23" s="92">
        <v>0</v>
      </c>
      <c r="DEA23" s="92">
        <v>0</v>
      </c>
      <c r="DEB23" s="92">
        <v>0</v>
      </c>
      <c r="DEC23" s="92">
        <v>0</v>
      </c>
      <c r="DED23" s="92">
        <v>0</v>
      </c>
      <c r="DEE23" s="92">
        <v>0</v>
      </c>
      <c r="DEF23" s="92">
        <v>0</v>
      </c>
      <c r="DEG23" s="92">
        <v>0</v>
      </c>
      <c r="DEH23" s="92">
        <v>0</v>
      </c>
      <c r="DEI23" s="92">
        <v>0</v>
      </c>
      <c r="DEJ23" s="92">
        <v>0</v>
      </c>
      <c r="DEK23" s="92">
        <v>0</v>
      </c>
      <c r="DEL23" s="92">
        <v>0</v>
      </c>
      <c r="DEM23" s="92">
        <v>0</v>
      </c>
      <c r="DEN23" s="92">
        <v>0</v>
      </c>
      <c r="DEO23" s="92">
        <v>0</v>
      </c>
      <c r="DEP23" s="92">
        <v>0</v>
      </c>
      <c r="DEQ23" s="92">
        <v>0</v>
      </c>
      <c r="DER23" s="92">
        <v>0</v>
      </c>
      <c r="DES23" s="92">
        <v>0</v>
      </c>
      <c r="DET23" s="92">
        <v>0</v>
      </c>
      <c r="DEU23" s="92">
        <v>0</v>
      </c>
      <c r="DEV23" s="92">
        <v>0</v>
      </c>
      <c r="DEW23" s="92">
        <v>0</v>
      </c>
      <c r="DEX23" s="92">
        <v>0</v>
      </c>
      <c r="DEY23" s="92">
        <v>0</v>
      </c>
      <c r="DEZ23" s="92">
        <v>0</v>
      </c>
      <c r="DFA23" s="92">
        <v>0</v>
      </c>
      <c r="DFB23" s="92">
        <v>0</v>
      </c>
      <c r="DFC23" s="92">
        <v>0</v>
      </c>
      <c r="DFD23" s="92">
        <v>0</v>
      </c>
      <c r="DFE23" s="92">
        <v>0</v>
      </c>
      <c r="DFF23" s="92">
        <v>0</v>
      </c>
      <c r="DFG23" s="92">
        <v>0</v>
      </c>
      <c r="DFH23" s="92">
        <v>0</v>
      </c>
      <c r="DFI23" s="92">
        <v>0</v>
      </c>
      <c r="DFJ23" s="92">
        <v>0</v>
      </c>
      <c r="DFK23" s="92">
        <v>0</v>
      </c>
      <c r="DFL23" s="92">
        <v>0</v>
      </c>
      <c r="DFM23" s="92">
        <v>0</v>
      </c>
      <c r="DFN23" s="92">
        <v>0</v>
      </c>
      <c r="DFO23" s="92">
        <v>0</v>
      </c>
      <c r="DFP23" s="92">
        <v>0</v>
      </c>
      <c r="DFQ23" s="92">
        <v>0</v>
      </c>
      <c r="DFR23" s="92">
        <v>0</v>
      </c>
      <c r="DFS23" s="92">
        <v>0</v>
      </c>
      <c r="DFT23" s="92">
        <v>0</v>
      </c>
      <c r="DFU23" s="92">
        <v>0</v>
      </c>
      <c r="DFV23" s="92">
        <v>0</v>
      </c>
      <c r="DFW23" s="92">
        <v>0</v>
      </c>
      <c r="DFX23" s="92">
        <v>0</v>
      </c>
      <c r="DFY23" s="92">
        <v>0</v>
      </c>
      <c r="DFZ23" s="92">
        <v>0</v>
      </c>
      <c r="DGA23" s="92">
        <v>0</v>
      </c>
      <c r="DGB23" s="92">
        <v>0</v>
      </c>
      <c r="DGC23" s="92">
        <v>0</v>
      </c>
      <c r="DGD23" s="92">
        <v>0</v>
      </c>
      <c r="DGE23" s="92">
        <v>0</v>
      </c>
      <c r="DGF23" s="92">
        <v>0</v>
      </c>
      <c r="DGG23" s="92">
        <v>0</v>
      </c>
      <c r="DGH23" s="92">
        <v>0</v>
      </c>
      <c r="DGI23" s="92">
        <v>0</v>
      </c>
      <c r="DGJ23" s="92">
        <v>0</v>
      </c>
      <c r="DGK23" s="92">
        <v>0</v>
      </c>
      <c r="DGL23" s="92">
        <v>0</v>
      </c>
      <c r="DGM23" s="92">
        <v>0</v>
      </c>
      <c r="DGN23" s="92">
        <v>0</v>
      </c>
      <c r="DGO23" s="92">
        <v>0</v>
      </c>
      <c r="DGP23" s="92">
        <v>0</v>
      </c>
      <c r="DGQ23" s="92">
        <v>0</v>
      </c>
      <c r="DGR23" s="92">
        <v>0</v>
      </c>
      <c r="DGS23" s="92">
        <v>0</v>
      </c>
      <c r="DGT23" s="92">
        <v>0</v>
      </c>
      <c r="DGU23" s="92">
        <v>0</v>
      </c>
      <c r="DGV23" s="92">
        <v>0</v>
      </c>
      <c r="DGW23" s="92">
        <v>0</v>
      </c>
      <c r="DGX23" s="92">
        <v>0</v>
      </c>
      <c r="DGY23" s="92">
        <v>0</v>
      </c>
      <c r="DGZ23" s="92">
        <v>0</v>
      </c>
      <c r="DHA23" s="92">
        <v>0</v>
      </c>
      <c r="DHB23" s="92">
        <v>0</v>
      </c>
      <c r="DHC23" s="92">
        <v>0</v>
      </c>
      <c r="DHD23" s="92">
        <v>0</v>
      </c>
      <c r="DHE23" s="92">
        <v>0</v>
      </c>
      <c r="DHF23" s="92">
        <v>0</v>
      </c>
      <c r="DHG23" s="92">
        <v>0</v>
      </c>
      <c r="DHH23" s="92">
        <v>0</v>
      </c>
      <c r="DHI23" s="92">
        <v>0</v>
      </c>
      <c r="DHJ23" s="92">
        <v>0</v>
      </c>
      <c r="DHK23" s="92">
        <v>0</v>
      </c>
      <c r="DHL23" s="92">
        <v>0</v>
      </c>
      <c r="DHM23" s="92">
        <v>0</v>
      </c>
      <c r="DHN23" s="92">
        <v>0</v>
      </c>
      <c r="DHO23" s="92">
        <v>0</v>
      </c>
      <c r="DHP23" s="92">
        <v>0</v>
      </c>
      <c r="DHQ23" s="92">
        <v>0</v>
      </c>
      <c r="DHR23" s="92">
        <v>0</v>
      </c>
      <c r="DHS23" s="92">
        <v>0</v>
      </c>
      <c r="DHT23" s="92">
        <v>0</v>
      </c>
      <c r="DHU23" s="92">
        <v>0</v>
      </c>
      <c r="DHV23" s="92">
        <v>0</v>
      </c>
      <c r="DHW23" s="92">
        <v>0</v>
      </c>
      <c r="DHX23" s="92">
        <v>0</v>
      </c>
      <c r="DHY23" s="92">
        <v>0</v>
      </c>
      <c r="DHZ23" s="92">
        <v>0</v>
      </c>
      <c r="DIA23" s="92">
        <v>0</v>
      </c>
      <c r="DIB23" s="92">
        <v>0</v>
      </c>
      <c r="DIC23" s="92">
        <v>0</v>
      </c>
      <c r="DID23" s="92">
        <v>0</v>
      </c>
      <c r="DIE23" s="92">
        <v>0</v>
      </c>
      <c r="DIF23" s="92">
        <v>0</v>
      </c>
      <c r="DIG23" s="92">
        <v>0</v>
      </c>
      <c r="DIH23" s="92">
        <v>0</v>
      </c>
      <c r="DII23" s="92">
        <v>0</v>
      </c>
      <c r="DIJ23" s="92">
        <v>0</v>
      </c>
      <c r="DIK23" s="92">
        <v>0</v>
      </c>
      <c r="DIL23" s="92">
        <v>0</v>
      </c>
      <c r="DIM23" s="92">
        <v>0</v>
      </c>
      <c r="DIN23" s="92">
        <v>0</v>
      </c>
      <c r="DIO23" s="92">
        <v>0</v>
      </c>
      <c r="DIP23" s="92">
        <v>0</v>
      </c>
      <c r="DIQ23" s="92">
        <v>0</v>
      </c>
      <c r="DIR23" s="92">
        <v>0</v>
      </c>
      <c r="DIS23" s="92">
        <v>0</v>
      </c>
      <c r="DIT23" s="92">
        <v>0</v>
      </c>
      <c r="DIU23" s="92">
        <v>0</v>
      </c>
      <c r="DIV23" s="92">
        <v>0</v>
      </c>
      <c r="DIW23" s="92">
        <v>0</v>
      </c>
      <c r="DIX23" s="92">
        <v>0</v>
      </c>
      <c r="DIY23" s="92">
        <v>0</v>
      </c>
      <c r="DIZ23" s="92">
        <v>0</v>
      </c>
      <c r="DJA23" s="92">
        <v>0</v>
      </c>
      <c r="DJB23" s="92">
        <v>0</v>
      </c>
      <c r="DJC23" s="92">
        <v>0</v>
      </c>
      <c r="DJD23" s="92">
        <v>0</v>
      </c>
      <c r="DJE23" s="92">
        <v>0</v>
      </c>
      <c r="DJF23" s="92">
        <v>0</v>
      </c>
      <c r="DJG23" s="92">
        <v>0</v>
      </c>
      <c r="DJH23" s="92">
        <v>0</v>
      </c>
      <c r="DJI23" s="92">
        <v>0</v>
      </c>
      <c r="DJJ23" s="92">
        <v>0</v>
      </c>
      <c r="DJK23" s="92">
        <v>0</v>
      </c>
      <c r="DJL23" s="92">
        <v>0</v>
      </c>
      <c r="DJM23" s="92">
        <v>0</v>
      </c>
      <c r="DJN23" s="92">
        <v>0</v>
      </c>
      <c r="DJO23" s="92">
        <v>0</v>
      </c>
      <c r="DJP23" s="92">
        <v>0</v>
      </c>
      <c r="DJQ23" s="92">
        <v>0</v>
      </c>
      <c r="DJR23" s="92">
        <v>0</v>
      </c>
      <c r="DJS23" s="92">
        <v>0</v>
      </c>
      <c r="DJT23" s="92">
        <v>0</v>
      </c>
      <c r="DJU23" s="92">
        <v>0</v>
      </c>
      <c r="DJV23" s="92">
        <v>0</v>
      </c>
      <c r="DJW23" s="92">
        <v>0</v>
      </c>
      <c r="DJX23" s="92">
        <v>0</v>
      </c>
      <c r="DJY23" s="92">
        <v>0</v>
      </c>
      <c r="DJZ23" s="92">
        <v>0</v>
      </c>
      <c r="DKA23" s="92">
        <v>0</v>
      </c>
      <c r="DKB23" s="92">
        <v>0</v>
      </c>
      <c r="DKC23" s="92">
        <v>0</v>
      </c>
      <c r="DKD23" s="92">
        <v>0</v>
      </c>
      <c r="DKE23" s="92">
        <v>0</v>
      </c>
      <c r="DKF23" s="92">
        <v>0</v>
      </c>
      <c r="DKG23" s="92">
        <v>0</v>
      </c>
      <c r="DKH23" s="92">
        <v>0</v>
      </c>
      <c r="DKI23" s="92">
        <v>0</v>
      </c>
      <c r="DKJ23" s="92">
        <v>0</v>
      </c>
      <c r="DKK23" s="92">
        <v>0</v>
      </c>
      <c r="DKL23" s="92">
        <v>0</v>
      </c>
      <c r="DKM23" s="92">
        <v>0</v>
      </c>
      <c r="DKN23" s="92">
        <v>0</v>
      </c>
      <c r="DKO23" s="92">
        <v>0</v>
      </c>
      <c r="DKP23" s="92">
        <v>0</v>
      </c>
      <c r="DKQ23" s="92">
        <v>0</v>
      </c>
      <c r="DKR23" s="92">
        <v>0</v>
      </c>
      <c r="DKS23" s="92">
        <v>0</v>
      </c>
      <c r="DKT23" s="92">
        <v>0</v>
      </c>
      <c r="DKU23" s="92">
        <v>0</v>
      </c>
      <c r="DKV23" s="92">
        <v>0</v>
      </c>
      <c r="DKW23" s="92">
        <v>0</v>
      </c>
      <c r="DKX23" s="92">
        <v>0</v>
      </c>
      <c r="DKY23" s="92">
        <v>0</v>
      </c>
      <c r="DKZ23" s="92">
        <v>0</v>
      </c>
      <c r="DLA23" s="92">
        <v>0</v>
      </c>
      <c r="DLB23" s="92">
        <v>0</v>
      </c>
      <c r="DLC23" s="92">
        <v>0</v>
      </c>
      <c r="DLD23" s="92">
        <v>0</v>
      </c>
      <c r="DLE23" s="92">
        <v>0</v>
      </c>
      <c r="DLF23" s="92">
        <v>0</v>
      </c>
      <c r="DLG23" s="92">
        <v>0</v>
      </c>
      <c r="DLH23" s="92">
        <v>0</v>
      </c>
      <c r="DLI23" s="92">
        <v>0</v>
      </c>
      <c r="DLJ23" s="92">
        <v>0</v>
      </c>
      <c r="DLK23" s="92">
        <v>0</v>
      </c>
      <c r="DLL23" s="92">
        <v>0</v>
      </c>
      <c r="DLM23" s="92">
        <v>0</v>
      </c>
      <c r="DLN23" s="92">
        <v>0</v>
      </c>
      <c r="DLO23" s="92">
        <v>0</v>
      </c>
      <c r="DLP23" s="92">
        <v>0</v>
      </c>
      <c r="DLQ23" s="92">
        <v>0</v>
      </c>
      <c r="DLR23" s="92">
        <v>0</v>
      </c>
      <c r="DLS23" s="92">
        <v>0</v>
      </c>
      <c r="DLT23" s="92">
        <v>0</v>
      </c>
      <c r="DLU23" s="92">
        <v>0</v>
      </c>
      <c r="DLV23" s="92">
        <v>0</v>
      </c>
      <c r="DLW23" s="92">
        <v>0</v>
      </c>
      <c r="DLX23" s="92">
        <v>0</v>
      </c>
      <c r="DLY23" s="92">
        <v>0</v>
      </c>
      <c r="DLZ23" s="92">
        <v>0</v>
      </c>
      <c r="DMA23" s="92">
        <v>0</v>
      </c>
      <c r="DMB23" s="92">
        <v>0</v>
      </c>
      <c r="DMC23" s="92">
        <v>0</v>
      </c>
      <c r="DMD23" s="92">
        <v>0</v>
      </c>
      <c r="DME23" s="92">
        <v>0</v>
      </c>
      <c r="DMF23" s="92">
        <v>0</v>
      </c>
      <c r="DMG23" s="92">
        <v>0</v>
      </c>
      <c r="DMH23" s="92">
        <v>0</v>
      </c>
      <c r="DMI23" s="92">
        <v>0</v>
      </c>
      <c r="DMJ23" s="92">
        <v>0</v>
      </c>
      <c r="DMK23" s="92">
        <v>0</v>
      </c>
      <c r="DML23" s="92">
        <v>0</v>
      </c>
      <c r="DMM23" s="92">
        <v>0</v>
      </c>
      <c r="DMN23" s="92">
        <v>0</v>
      </c>
      <c r="DMO23" s="92">
        <v>0</v>
      </c>
      <c r="DMP23" s="92">
        <v>0</v>
      </c>
      <c r="DMQ23" s="92">
        <v>0</v>
      </c>
      <c r="DMR23" s="92">
        <v>0</v>
      </c>
      <c r="DMS23" s="92">
        <v>0</v>
      </c>
      <c r="DMT23" s="92">
        <v>0</v>
      </c>
      <c r="DMU23" s="92">
        <v>0</v>
      </c>
      <c r="DMV23" s="92">
        <v>0</v>
      </c>
      <c r="DMW23" s="92">
        <v>0</v>
      </c>
      <c r="DMX23" s="92">
        <v>0</v>
      </c>
      <c r="DMY23" s="92">
        <v>0</v>
      </c>
      <c r="DMZ23" s="92">
        <v>0</v>
      </c>
      <c r="DNA23" s="92">
        <v>0</v>
      </c>
      <c r="DNB23" s="92">
        <v>0</v>
      </c>
      <c r="DNC23" s="92">
        <v>0</v>
      </c>
      <c r="DND23" s="92">
        <v>0</v>
      </c>
      <c r="DNE23" s="92">
        <v>0</v>
      </c>
      <c r="DNF23" s="92">
        <v>0</v>
      </c>
      <c r="DNG23" s="92">
        <v>0</v>
      </c>
      <c r="DNH23" s="92">
        <v>0</v>
      </c>
      <c r="DNI23" s="92">
        <v>0</v>
      </c>
      <c r="DNJ23" s="92">
        <v>0</v>
      </c>
      <c r="DNK23" s="92">
        <v>0</v>
      </c>
      <c r="DNL23" s="92">
        <v>0</v>
      </c>
      <c r="DNM23" s="92">
        <v>0</v>
      </c>
      <c r="DNN23" s="92">
        <v>0</v>
      </c>
      <c r="DNO23" s="92">
        <v>0</v>
      </c>
      <c r="DNP23" s="92">
        <v>0</v>
      </c>
      <c r="DNQ23" s="92">
        <v>0</v>
      </c>
      <c r="DNR23" s="92">
        <v>0</v>
      </c>
      <c r="DNS23" s="92">
        <v>0</v>
      </c>
      <c r="DNT23" s="92">
        <v>0</v>
      </c>
      <c r="DNU23" s="92">
        <v>0</v>
      </c>
      <c r="DNV23" s="92">
        <v>0</v>
      </c>
      <c r="DNW23" s="92">
        <v>0</v>
      </c>
      <c r="DNX23" s="92">
        <v>0</v>
      </c>
      <c r="DNY23" s="92">
        <v>0</v>
      </c>
      <c r="DNZ23" s="92">
        <v>0</v>
      </c>
      <c r="DOA23" s="92">
        <v>0</v>
      </c>
      <c r="DOB23" s="92">
        <v>0</v>
      </c>
      <c r="DOC23" s="92">
        <v>0</v>
      </c>
      <c r="DOD23" s="92">
        <v>0</v>
      </c>
      <c r="DOE23" s="92">
        <v>0</v>
      </c>
      <c r="DOF23" s="92">
        <v>0</v>
      </c>
      <c r="DOG23" s="92">
        <v>0</v>
      </c>
      <c r="DOH23" s="92">
        <v>0</v>
      </c>
      <c r="DOI23" s="92">
        <v>0</v>
      </c>
      <c r="DOJ23" s="92">
        <v>0</v>
      </c>
      <c r="DOK23" s="92">
        <v>0</v>
      </c>
      <c r="DOL23" s="92">
        <v>0</v>
      </c>
      <c r="DOM23" s="92">
        <v>0</v>
      </c>
      <c r="DON23" s="92">
        <v>0</v>
      </c>
      <c r="DOO23" s="92">
        <v>0</v>
      </c>
      <c r="DOP23" s="92">
        <v>0</v>
      </c>
      <c r="DOQ23" s="92">
        <v>0</v>
      </c>
      <c r="DOR23" s="92">
        <v>0</v>
      </c>
      <c r="DOS23" s="92">
        <v>0</v>
      </c>
      <c r="DOT23" s="92">
        <v>0</v>
      </c>
      <c r="DOU23" s="92">
        <v>0</v>
      </c>
      <c r="DOV23" s="92">
        <v>0</v>
      </c>
      <c r="DOW23" s="92">
        <v>0</v>
      </c>
      <c r="DOX23" s="92">
        <v>0</v>
      </c>
      <c r="DOY23" s="92">
        <v>0</v>
      </c>
      <c r="DOZ23" s="92">
        <v>0</v>
      </c>
      <c r="DPA23" s="92">
        <v>0</v>
      </c>
      <c r="DPB23" s="92">
        <v>0</v>
      </c>
      <c r="DPC23" s="92">
        <v>0</v>
      </c>
      <c r="DPD23" s="92">
        <v>0</v>
      </c>
      <c r="DPE23" s="92">
        <v>0</v>
      </c>
      <c r="DPF23" s="92">
        <v>0</v>
      </c>
      <c r="DPG23" s="92">
        <v>0</v>
      </c>
      <c r="DPH23" s="92">
        <v>0</v>
      </c>
      <c r="DPI23" s="92">
        <v>0</v>
      </c>
      <c r="DPJ23" s="92">
        <v>0</v>
      </c>
      <c r="DPK23" s="92">
        <v>0</v>
      </c>
      <c r="DPL23" s="92">
        <v>0</v>
      </c>
      <c r="DPM23" s="92">
        <v>0</v>
      </c>
      <c r="DPN23" s="92">
        <v>0</v>
      </c>
      <c r="DPO23" s="92">
        <v>0</v>
      </c>
      <c r="DPP23" s="92">
        <v>0</v>
      </c>
      <c r="DPQ23" s="92">
        <v>0</v>
      </c>
      <c r="DPR23" s="92">
        <v>0</v>
      </c>
      <c r="DPS23" s="92">
        <v>0</v>
      </c>
      <c r="DPT23" s="92">
        <v>0</v>
      </c>
      <c r="DPU23" s="92">
        <v>0</v>
      </c>
      <c r="DPV23" s="92">
        <v>0</v>
      </c>
      <c r="DPW23" s="92">
        <v>0</v>
      </c>
      <c r="DPX23" s="92">
        <v>0</v>
      </c>
      <c r="DPY23" s="92">
        <v>0</v>
      </c>
      <c r="DPZ23" s="92">
        <v>0</v>
      </c>
      <c r="DQA23" s="92">
        <v>0</v>
      </c>
      <c r="DQB23" s="92">
        <v>0</v>
      </c>
      <c r="DQC23" s="92">
        <v>0</v>
      </c>
      <c r="DQD23" s="92">
        <v>0</v>
      </c>
      <c r="DQE23" s="92">
        <v>0</v>
      </c>
      <c r="DQF23" s="92">
        <v>0</v>
      </c>
      <c r="DQG23" s="92">
        <v>0</v>
      </c>
      <c r="DQH23" s="92">
        <v>0</v>
      </c>
      <c r="DQI23" s="92">
        <v>0</v>
      </c>
      <c r="DQJ23" s="92">
        <v>0</v>
      </c>
      <c r="DQK23" s="92">
        <v>0</v>
      </c>
      <c r="DQL23" s="92">
        <v>0</v>
      </c>
      <c r="DQM23" s="92">
        <v>0</v>
      </c>
      <c r="DQN23" s="92">
        <v>0</v>
      </c>
      <c r="DQO23" s="92">
        <v>0</v>
      </c>
      <c r="DQP23" s="92">
        <v>0</v>
      </c>
      <c r="DQQ23" s="92">
        <v>0</v>
      </c>
      <c r="DQR23" s="92">
        <v>0</v>
      </c>
      <c r="DQS23" s="92">
        <v>0</v>
      </c>
      <c r="DQT23" s="92">
        <v>0</v>
      </c>
      <c r="DQU23" s="92">
        <v>0</v>
      </c>
      <c r="DQV23" s="92">
        <v>0</v>
      </c>
      <c r="DQW23" s="92">
        <v>0</v>
      </c>
      <c r="DQX23" s="92">
        <v>0</v>
      </c>
      <c r="DQY23" s="92">
        <v>0</v>
      </c>
      <c r="DQZ23" s="92">
        <v>0</v>
      </c>
      <c r="DRA23" s="92">
        <v>0</v>
      </c>
      <c r="DRB23" s="92">
        <v>0</v>
      </c>
      <c r="DRC23" s="92">
        <v>0</v>
      </c>
      <c r="DRD23" s="92">
        <v>0</v>
      </c>
      <c r="DRE23" s="92">
        <v>0</v>
      </c>
      <c r="DRF23" s="92">
        <v>0</v>
      </c>
      <c r="DRG23" s="92">
        <v>0</v>
      </c>
      <c r="DRH23" s="92">
        <v>0</v>
      </c>
      <c r="DRI23" s="92">
        <v>0</v>
      </c>
      <c r="DRJ23" s="92">
        <v>0</v>
      </c>
      <c r="DRK23" s="92">
        <v>0</v>
      </c>
      <c r="DRL23" s="92">
        <v>0</v>
      </c>
      <c r="DRM23" s="92">
        <v>0</v>
      </c>
      <c r="DRN23" s="92">
        <v>0</v>
      </c>
      <c r="DRO23" s="92">
        <v>0</v>
      </c>
      <c r="DRP23" s="92">
        <v>0</v>
      </c>
      <c r="DRQ23" s="92">
        <v>0</v>
      </c>
      <c r="DRR23" s="92">
        <v>0</v>
      </c>
      <c r="DRS23" s="92">
        <v>0</v>
      </c>
      <c r="DRT23" s="92">
        <v>0</v>
      </c>
      <c r="DRU23" s="92">
        <v>0</v>
      </c>
      <c r="DRV23" s="92">
        <v>0</v>
      </c>
      <c r="DRW23" s="92">
        <v>0</v>
      </c>
      <c r="DRX23" s="92">
        <v>0</v>
      </c>
      <c r="DRY23" s="92">
        <v>0</v>
      </c>
      <c r="DRZ23" s="92">
        <v>0</v>
      </c>
      <c r="DSA23" s="92">
        <v>0</v>
      </c>
      <c r="DSB23" s="92">
        <v>0</v>
      </c>
      <c r="DSC23" s="92">
        <v>0</v>
      </c>
      <c r="DSD23" s="92">
        <v>0</v>
      </c>
      <c r="DSE23" s="92">
        <v>0</v>
      </c>
      <c r="DSF23" s="92">
        <v>0</v>
      </c>
      <c r="DSG23" s="92">
        <v>0</v>
      </c>
      <c r="DSH23" s="92">
        <v>0</v>
      </c>
      <c r="DSI23" s="92">
        <v>0</v>
      </c>
      <c r="DSJ23" s="92">
        <v>0</v>
      </c>
      <c r="DSK23" s="92">
        <v>0</v>
      </c>
      <c r="DSL23" s="92">
        <v>0</v>
      </c>
      <c r="DSM23" s="92">
        <v>0</v>
      </c>
      <c r="DSN23" s="92">
        <v>0</v>
      </c>
      <c r="DSO23" s="92">
        <v>0</v>
      </c>
      <c r="DSP23" s="92">
        <v>0</v>
      </c>
      <c r="DSQ23" s="92">
        <v>0</v>
      </c>
      <c r="DSR23" s="92">
        <v>0</v>
      </c>
      <c r="DSS23" s="92">
        <v>0</v>
      </c>
      <c r="DST23" s="92">
        <v>0</v>
      </c>
      <c r="DSU23" s="92">
        <v>0</v>
      </c>
      <c r="DSV23" s="92">
        <v>0</v>
      </c>
      <c r="DSW23" s="92">
        <v>0</v>
      </c>
      <c r="DSX23" s="92">
        <v>0</v>
      </c>
      <c r="DSY23" s="92">
        <v>0</v>
      </c>
      <c r="DSZ23" s="92">
        <v>0</v>
      </c>
      <c r="DTA23" s="92">
        <v>0</v>
      </c>
      <c r="DTB23" s="92">
        <v>0</v>
      </c>
      <c r="DTC23" s="92">
        <v>0</v>
      </c>
      <c r="DTD23" s="92">
        <v>0</v>
      </c>
      <c r="DTE23" s="92">
        <v>0</v>
      </c>
      <c r="DTF23" s="92">
        <v>0</v>
      </c>
      <c r="DTG23" s="92">
        <v>0</v>
      </c>
      <c r="DTH23" s="92">
        <v>0</v>
      </c>
      <c r="DTI23" s="92">
        <v>0</v>
      </c>
      <c r="DTJ23" s="92">
        <v>0</v>
      </c>
      <c r="DTK23" s="92">
        <v>0</v>
      </c>
      <c r="DTL23" s="92">
        <v>0</v>
      </c>
      <c r="DTM23" s="92">
        <v>0</v>
      </c>
      <c r="DTN23" s="92">
        <v>0</v>
      </c>
      <c r="DTO23" s="92">
        <v>0</v>
      </c>
      <c r="DTP23" s="92">
        <v>0</v>
      </c>
      <c r="DTQ23" s="92">
        <v>0</v>
      </c>
      <c r="DTR23" s="92">
        <v>0</v>
      </c>
      <c r="DTS23" s="92">
        <v>0</v>
      </c>
      <c r="DTT23" s="92">
        <v>0</v>
      </c>
      <c r="DTU23" s="92">
        <v>0</v>
      </c>
      <c r="DTV23" s="92">
        <v>0</v>
      </c>
      <c r="DTW23" s="92">
        <v>0</v>
      </c>
      <c r="DTX23" s="92">
        <v>0</v>
      </c>
      <c r="DTY23" s="92">
        <v>0</v>
      </c>
      <c r="DTZ23" s="92">
        <v>0</v>
      </c>
      <c r="DUA23" s="92">
        <v>0</v>
      </c>
      <c r="DUB23" s="92">
        <v>0</v>
      </c>
      <c r="DUC23" s="92">
        <v>0</v>
      </c>
      <c r="DUD23" s="92">
        <v>0</v>
      </c>
      <c r="DUE23" s="92">
        <v>0</v>
      </c>
      <c r="DUF23" s="92">
        <v>0</v>
      </c>
      <c r="DUG23" s="92">
        <v>0</v>
      </c>
      <c r="DUH23" s="92">
        <v>0</v>
      </c>
      <c r="DUI23" s="92">
        <v>0</v>
      </c>
      <c r="DUJ23" s="92">
        <v>0</v>
      </c>
      <c r="DUK23" s="92">
        <v>0</v>
      </c>
      <c r="DUL23" s="92">
        <v>0</v>
      </c>
      <c r="DUM23" s="92">
        <v>0</v>
      </c>
      <c r="DUN23" s="92">
        <v>0</v>
      </c>
      <c r="DUO23" s="92">
        <v>0</v>
      </c>
      <c r="DUP23" s="92">
        <v>0</v>
      </c>
      <c r="DUQ23" s="92">
        <v>0</v>
      </c>
      <c r="DUR23" s="92">
        <v>0</v>
      </c>
      <c r="DUS23" s="92">
        <v>0</v>
      </c>
      <c r="DUT23" s="92">
        <v>0</v>
      </c>
      <c r="DUU23" s="92">
        <v>0</v>
      </c>
      <c r="DUV23" s="92">
        <v>0</v>
      </c>
      <c r="DUW23" s="92">
        <v>0</v>
      </c>
      <c r="DUX23" s="92">
        <v>0</v>
      </c>
      <c r="DUY23" s="92">
        <v>0</v>
      </c>
      <c r="DUZ23" s="92">
        <v>0</v>
      </c>
      <c r="DVA23" s="92">
        <v>0</v>
      </c>
      <c r="DVB23" s="92">
        <v>0</v>
      </c>
      <c r="DVC23" s="92">
        <v>0</v>
      </c>
      <c r="DVD23" s="92">
        <v>0</v>
      </c>
      <c r="DVE23" s="92">
        <v>0</v>
      </c>
      <c r="DVF23" s="92">
        <v>0</v>
      </c>
      <c r="DVG23" s="92">
        <v>0</v>
      </c>
      <c r="DVH23" s="92">
        <v>0</v>
      </c>
      <c r="DVI23" s="92">
        <v>0</v>
      </c>
      <c r="DVJ23" s="92">
        <v>0</v>
      </c>
      <c r="DVK23" s="92">
        <v>0</v>
      </c>
      <c r="DVL23" s="92">
        <v>0</v>
      </c>
      <c r="DVM23" s="92">
        <v>0</v>
      </c>
      <c r="DVN23" s="92">
        <v>0</v>
      </c>
      <c r="DVO23" s="92">
        <v>0</v>
      </c>
      <c r="DVP23" s="92">
        <v>0</v>
      </c>
      <c r="DVQ23" s="92">
        <v>0</v>
      </c>
      <c r="DVR23" s="92">
        <v>0</v>
      </c>
      <c r="DVS23" s="92">
        <v>0</v>
      </c>
      <c r="DVT23" s="92">
        <v>0</v>
      </c>
      <c r="DVU23" s="92">
        <v>0</v>
      </c>
      <c r="DVV23" s="92">
        <v>0</v>
      </c>
      <c r="DVW23" s="92">
        <v>0</v>
      </c>
      <c r="DVX23" s="92">
        <v>0</v>
      </c>
      <c r="DVY23" s="92">
        <v>0</v>
      </c>
      <c r="DVZ23" s="92">
        <v>0</v>
      </c>
      <c r="DWA23" s="92">
        <v>0</v>
      </c>
      <c r="DWB23" s="92">
        <v>0</v>
      </c>
      <c r="DWC23" s="92">
        <v>0</v>
      </c>
      <c r="DWD23" s="92">
        <v>0</v>
      </c>
      <c r="DWE23" s="92">
        <v>0</v>
      </c>
      <c r="DWF23" s="92">
        <v>0</v>
      </c>
      <c r="DWG23" s="92">
        <v>0</v>
      </c>
      <c r="DWH23" s="92">
        <v>0</v>
      </c>
      <c r="DWI23" s="92">
        <v>0</v>
      </c>
      <c r="DWJ23" s="92">
        <v>0</v>
      </c>
      <c r="DWK23" s="92">
        <v>0</v>
      </c>
      <c r="DWL23" s="92">
        <v>0</v>
      </c>
      <c r="DWM23" s="92">
        <v>0</v>
      </c>
      <c r="DWN23" s="92">
        <v>0</v>
      </c>
      <c r="DWO23" s="92">
        <v>0</v>
      </c>
      <c r="DWP23" s="92">
        <v>0</v>
      </c>
      <c r="DWQ23" s="92">
        <v>0</v>
      </c>
      <c r="DWR23" s="92">
        <v>0</v>
      </c>
      <c r="DWS23" s="92">
        <v>0</v>
      </c>
      <c r="DWT23" s="92">
        <v>0</v>
      </c>
      <c r="DWU23" s="92">
        <v>0</v>
      </c>
      <c r="DWV23" s="92">
        <v>0</v>
      </c>
      <c r="DWW23" s="92">
        <v>0</v>
      </c>
      <c r="DWX23" s="92">
        <v>0</v>
      </c>
      <c r="DWY23" s="92">
        <v>0</v>
      </c>
      <c r="DWZ23" s="92">
        <v>0</v>
      </c>
      <c r="DXA23" s="92">
        <v>0</v>
      </c>
      <c r="DXB23" s="92">
        <v>0</v>
      </c>
      <c r="DXC23" s="92">
        <v>0</v>
      </c>
      <c r="DXD23" s="92">
        <v>0</v>
      </c>
      <c r="DXE23" s="92">
        <v>0</v>
      </c>
      <c r="DXF23" s="92">
        <v>0</v>
      </c>
      <c r="DXG23" s="92">
        <v>0</v>
      </c>
      <c r="DXH23" s="92">
        <v>0</v>
      </c>
      <c r="DXI23" s="92">
        <v>0</v>
      </c>
      <c r="DXJ23" s="92">
        <v>0</v>
      </c>
      <c r="DXK23" s="92">
        <v>0</v>
      </c>
      <c r="DXL23" s="92">
        <v>0</v>
      </c>
      <c r="DXM23" s="92">
        <v>0</v>
      </c>
      <c r="DXN23" s="92">
        <v>0</v>
      </c>
      <c r="DXO23" s="92">
        <v>0</v>
      </c>
      <c r="DXP23" s="92">
        <v>0</v>
      </c>
      <c r="DXQ23" s="92">
        <v>0</v>
      </c>
      <c r="DXR23" s="92">
        <v>0</v>
      </c>
      <c r="DXS23" s="92">
        <v>0</v>
      </c>
      <c r="DXT23" s="92">
        <v>0</v>
      </c>
      <c r="DXU23" s="92">
        <v>0</v>
      </c>
      <c r="DXV23" s="92">
        <v>0</v>
      </c>
      <c r="DXW23" s="92">
        <v>0</v>
      </c>
      <c r="DXX23" s="92">
        <v>0</v>
      </c>
      <c r="DXY23" s="92">
        <v>0</v>
      </c>
      <c r="DXZ23" s="92">
        <v>0</v>
      </c>
      <c r="DYA23" s="92">
        <v>0</v>
      </c>
      <c r="DYB23" s="92">
        <v>0</v>
      </c>
      <c r="DYC23" s="92">
        <v>0</v>
      </c>
      <c r="DYD23" s="92">
        <v>0</v>
      </c>
      <c r="DYE23" s="92">
        <v>0</v>
      </c>
      <c r="DYF23" s="92">
        <v>0</v>
      </c>
      <c r="DYG23" s="92">
        <v>0</v>
      </c>
      <c r="DYH23" s="92">
        <v>0</v>
      </c>
      <c r="DYI23" s="92">
        <v>0</v>
      </c>
      <c r="DYJ23" s="92">
        <v>0</v>
      </c>
      <c r="DYK23" s="92">
        <v>0</v>
      </c>
      <c r="DYL23" s="92">
        <v>0</v>
      </c>
      <c r="DYM23" s="92">
        <v>0</v>
      </c>
      <c r="DYN23" s="92">
        <v>0</v>
      </c>
      <c r="DYO23" s="92">
        <v>0</v>
      </c>
      <c r="DYP23" s="92">
        <v>0</v>
      </c>
      <c r="DYQ23" s="92">
        <v>0</v>
      </c>
      <c r="DYR23" s="92">
        <v>0</v>
      </c>
      <c r="DYS23" s="92">
        <v>0</v>
      </c>
      <c r="DYT23" s="92">
        <v>0</v>
      </c>
      <c r="DYU23" s="92">
        <v>0</v>
      </c>
      <c r="DYV23" s="92">
        <v>0</v>
      </c>
      <c r="DYW23" s="92">
        <v>0</v>
      </c>
      <c r="DYX23" s="92">
        <v>0</v>
      </c>
      <c r="DYY23" s="92">
        <v>0</v>
      </c>
      <c r="DYZ23" s="92">
        <v>0</v>
      </c>
      <c r="DZA23" s="92">
        <v>0</v>
      </c>
      <c r="DZB23" s="92">
        <v>0</v>
      </c>
      <c r="DZC23" s="92">
        <v>0</v>
      </c>
      <c r="DZD23" s="92">
        <v>0</v>
      </c>
      <c r="DZE23" s="92">
        <v>0</v>
      </c>
      <c r="DZF23" s="92">
        <v>0</v>
      </c>
      <c r="DZG23" s="92">
        <v>0</v>
      </c>
      <c r="DZH23" s="92">
        <v>0</v>
      </c>
      <c r="DZI23" s="92">
        <v>0</v>
      </c>
      <c r="DZJ23" s="92">
        <v>0</v>
      </c>
      <c r="DZK23" s="92">
        <v>0</v>
      </c>
      <c r="DZL23" s="92">
        <v>0</v>
      </c>
      <c r="DZM23" s="92">
        <v>0</v>
      </c>
      <c r="DZN23" s="92">
        <v>0</v>
      </c>
      <c r="DZO23" s="92">
        <v>0</v>
      </c>
      <c r="DZP23" s="92">
        <v>0</v>
      </c>
      <c r="DZQ23" s="92">
        <v>0</v>
      </c>
      <c r="DZR23" s="92">
        <v>0</v>
      </c>
      <c r="DZS23" s="92">
        <v>0</v>
      </c>
      <c r="DZT23" s="92">
        <v>0</v>
      </c>
      <c r="DZU23" s="92">
        <v>0</v>
      </c>
      <c r="DZV23" s="92">
        <v>0</v>
      </c>
      <c r="DZW23" s="92">
        <v>0</v>
      </c>
      <c r="DZX23" s="92">
        <v>0</v>
      </c>
      <c r="DZY23" s="92">
        <v>0</v>
      </c>
      <c r="DZZ23" s="92">
        <v>0</v>
      </c>
      <c r="EAA23" s="92">
        <v>0</v>
      </c>
      <c r="EAB23" s="92">
        <v>0</v>
      </c>
      <c r="EAC23" s="92">
        <v>0</v>
      </c>
      <c r="EAD23" s="92">
        <v>0</v>
      </c>
      <c r="EAE23" s="92">
        <v>0</v>
      </c>
      <c r="EAF23" s="92">
        <v>0</v>
      </c>
      <c r="EAG23" s="92">
        <v>0</v>
      </c>
      <c r="EAH23" s="92">
        <v>0</v>
      </c>
      <c r="EAI23" s="92">
        <v>0</v>
      </c>
      <c r="EAJ23" s="92">
        <v>0</v>
      </c>
      <c r="EAK23" s="92">
        <v>0</v>
      </c>
      <c r="EAL23" s="92">
        <v>0</v>
      </c>
      <c r="EAM23" s="92">
        <v>0</v>
      </c>
      <c r="EAN23" s="92">
        <v>0</v>
      </c>
      <c r="EAO23" s="92">
        <v>0</v>
      </c>
      <c r="EAP23" s="92">
        <v>0</v>
      </c>
      <c r="EAQ23" s="92">
        <v>0</v>
      </c>
      <c r="EAR23" s="92">
        <v>0</v>
      </c>
      <c r="EAS23" s="92">
        <v>0</v>
      </c>
      <c r="EAT23" s="92">
        <v>0</v>
      </c>
      <c r="EAU23" s="92">
        <v>0</v>
      </c>
      <c r="EAV23" s="92">
        <v>0</v>
      </c>
      <c r="EAW23" s="92">
        <v>0</v>
      </c>
      <c r="EAX23" s="92">
        <v>0</v>
      </c>
      <c r="EAY23" s="92">
        <v>0</v>
      </c>
      <c r="EAZ23" s="92">
        <v>0</v>
      </c>
      <c r="EBA23" s="92">
        <v>0</v>
      </c>
      <c r="EBB23" s="92">
        <v>0</v>
      </c>
      <c r="EBC23" s="92">
        <v>0</v>
      </c>
      <c r="EBD23" s="92">
        <v>0</v>
      </c>
      <c r="EBE23" s="92">
        <v>0</v>
      </c>
      <c r="EBF23" s="92">
        <v>0</v>
      </c>
      <c r="EBG23" s="92">
        <v>0</v>
      </c>
      <c r="EBH23" s="92">
        <v>0</v>
      </c>
      <c r="EBI23" s="92">
        <v>0</v>
      </c>
      <c r="EBJ23" s="92">
        <v>0</v>
      </c>
      <c r="EBK23" s="92">
        <v>0</v>
      </c>
      <c r="EBL23" s="92">
        <v>0</v>
      </c>
      <c r="EBM23" s="92">
        <v>0</v>
      </c>
      <c r="EBN23" s="92">
        <v>0</v>
      </c>
      <c r="EBO23" s="92">
        <v>0</v>
      </c>
      <c r="EBP23" s="92">
        <v>0</v>
      </c>
      <c r="EBQ23" s="92">
        <v>0</v>
      </c>
      <c r="EBR23" s="92">
        <v>0</v>
      </c>
      <c r="EBS23" s="92">
        <v>0</v>
      </c>
      <c r="EBT23" s="92">
        <v>0</v>
      </c>
      <c r="EBU23" s="92">
        <v>0</v>
      </c>
      <c r="EBV23" s="92">
        <v>0</v>
      </c>
      <c r="EBW23" s="92">
        <v>0</v>
      </c>
      <c r="EBX23" s="92">
        <v>0</v>
      </c>
      <c r="EBY23" s="92">
        <v>0</v>
      </c>
      <c r="EBZ23" s="92">
        <v>0</v>
      </c>
      <c r="ECA23" s="92">
        <v>0</v>
      </c>
      <c r="ECB23" s="92">
        <v>0</v>
      </c>
      <c r="ECC23" s="92">
        <v>0</v>
      </c>
      <c r="ECD23" s="92">
        <v>0</v>
      </c>
      <c r="ECE23" s="92">
        <v>0</v>
      </c>
      <c r="ECF23" s="92">
        <v>0</v>
      </c>
      <c r="ECG23" s="92">
        <v>0</v>
      </c>
      <c r="ECH23" s="92">
        <v>0</v>
      </c>
      <c r="ECI23" s="92">
        <v>0</v>
      </c>
      <c r="ECJ23" s="92">
        <v>0</v>
      </c>
      <c r="ECK23" s="92">
        <v>0</v>
      </c>
      <c r="ECL23" s="92">
        <v>0</v>
      </c>
      <c r="ECM23" s="92">
        <v>0</v>
      </c>
      <c r="ECN23" s="92">
        <v>0</v>
      </c>
      <c r="ECO23" s="92">
        <v>0</v>
      </c>
      <c r="ECP23" s="92">
        <v>0</v>
      </c>
      <c r="ECQ23" s="92">
        <v>0</v>
      </c>
      <c r="ECR23" s="92">
        <v>0</v>
      </c>
      <c r="ECS23" s="92">
        <v>0</v>
      </c>
      <c r="ECT23" s="92">
        <v>0</v>
      </c>
      <c r="ECU23" s="92">
        <v>0</v>
      </c>
      <c r="ECV23" s="92">
        <v>0</v>
      </c>
      <c r="ECW23" s="92">
        <v>0</v>
      </c>
      <c r="ECX23" s="92">
        <v>0</v>
      </c>
      <c r="ECY23" s="92">
        <v>0</v>
      </c>
      <c r="ECZ23" s="92">
        <v>0</v>
      </c>
      <c r="EDA23" s="92">
        <v>0</v>
      </c>
      <c r="EDB23" s="92">
        <v>0</v>
      </c>
      <c r="EDC23" s="92">
        <v>0</v>
      </c>
      <c r="EDD23" s="92">
        <v>0</v>
      </c>
      <c r="EDE23" s="92">
        <v>0</v>
      </c>
      <c r="EDF23" s="92">
        <v>0</v>
      </c>
      <c r="EDG23" s="92">
        <v>0</v>
      </c>
      <c r="EDH23" s="92">
        <v>0</v>
      </c>
      <c r="EDI23" s="92">
        <v>0</v>
      </c>
      <c r="EDJ23" s="92">
        <v>0</v>
      </c>
      <c r="EDK23" s="92">
        <v>0</v>
      </c>
      <c r="EDL23" s="92">
        <v>0</v>
      </c>
      <c r="EDM23" s="92">
        <v>0</v>
      </c>
      <c r="EDN23" s="92">
        <v>0</v>
      </c>
      <c r="EDO23" s="92">
        <v>0</v>
      </c>
      <c r="EDP23" s="92">
        <v>0</v>
      </c>
      <c r="EDQ23" s="92">
        <v>0</v>
      </c>
      <c r="EDR23" s="92">
        <v>0</v>
      </c>
      <c r="EDS23" s="92">
        <v>0</v>
      </c>
      <c r="EDT23" s="92">
        <v>0</v>
      </c>
      <c r="EDU23" s="92">
        <v>0</v>
      </c>
      <c r="EDV23" s="92">
        <v>0</v>
      </c>
      <c r="EDW23" s="92">
        <v>0</v>
      </c>
      <c r="EDX23" s="92">
        <v>0</v>
      </c>
      <c r="EDY23" s="92">
        <v>0</v>
      </c>
      <c r="EDZ23" s="92">
        <v>0</v>
      </c>
      <c r="EEA23" s="92">
        <v>0</v>
      </c>
      <c r="EEB23" s="92">
        <v>0</v>
      </c>
      <c r="EEC23" s="92">
        <v>0</v>
      </c>
      <c r="EED23" s="92">
        <v>0</v>
      </c>
      <c r="EEE23" s="92">
        <v>0</v>
      </c>
      <c r="EEF23" s="92">
        <v>0</v>
      </c>
      <c r="EEG23" s="92">
        <v>0</v>
      </c>
      <c r="EEH23" s="92">
        <v>0</v>
      </c>
      <c r="EEI23" s="92">
        <v>0</v>
      </c>
      <c r="EEJ23" s="92">
        <v>0</v>
      </c>
      <c r="EEK23" s="92">
        <v>0</v>
      </c>
      <c r="EEL23" s="92">
        <v>0</v>
      </c>
      <c r="EEM23" s="92">
        <v>0</v>
      </c>
      <c r="EEN23" s="92">
        <v>0</v>
      </c>
      <c r="EEO23" s="92">
        <v>0</v>
      </c>
      <c r="EEP23" s="92">
        <v>0</v>
      </c>
      <c r="EEQ23" s="92">
        <v>0</v>
      </c>
      <c r="EER23" s="92">
        <v>0</v>
      </c>
      <c r="EES23" s="92">
        <v>0</v>
      </c>
      <c r="EET23" s="92">
        <v>0</v>
      </c>
      <c r="EEU23" s="92">
        <v>0</v>
      </c>
      <c r="EEV23" s="92">
        <v>0</v>
      </c>
      <c r="EEW23" s="92">
        <v>0</v>
      </c>
      <c r="EEX23" s="92">
        <v>0</v>
      </c>
      <c r="EEY23" s="92">
        <v>0</v>
      </c>
      <c r="EEZ23" s="92">
        <v>0</v>
      </c>
      <c r="EFA23" s="92">
        <v>0</v>
      </c>
      <c r="EFB23" s="92">
        <v>0</v>
      </c>
      <c r="EFC23" s="92">
        <v>0</v>
      </c>
      <c r="EFD23" s="92">
        <v>0</v>
      </c>
      <c r="EFE23" s="92">
        <v>0</v>
      </c>
      <c r="EFF23" s="92">
        <v>0</v>
      </c>
      <c r="EFG23" s="92">
        <v>0</v>
      </c>
      <c r="EFH23" s="92">
        <v>0</v>
      </c>
      <c r="EFI23" s="92">
        <v>0</v>
      </c>
      <c r="EFJ23" s="92">
        <v>0</v>
      </c>
      <c r="EFK23" s="92">
        <v>0</v>
      </c>
      <c r="EFL23" s="92">
        <v>0</v>
      </c>
      <c r="EFM23" s="92">
        <v>0</v>
      </c>
      <c r="EFN23" s="92">
        <v>0</v>
      </c>
      <c r="EFO23" s="92">
        <v>0</v>
      </c>
      <c r="EFP23" s="92">
        <v>0</v>
      </c>
      <c r="EFQ23" s="92">
        <v>0</v>
      </c>
      <c r="EFR23" s="92">
        <v>0</v>
      </c>
      <c r="EFS23" s="92">
        <v>0</v>
      </c>
      <c r="EFT23" s="92">
        <v>0</v>
      </c>
      <c r="EFU23" s="92">
        <v>0</v>
      </c>
      <c r="EFV23" s="92">
        <v>0</v>
      </c>
      <c r="EFW23" s="92">
        <v>0</v>
      </c>
      <c r="EFX23" s="92">
        <v>0</v>
      </c>
      <c r="EFY23" s="92">
        <v>0</v>
      </c>
      <c r="EFZ23" s="92">
        <v>0</v>
      </c>
      <c r="EGA23" s="92">
        <v>0</v>
      </c>
      <c r="EGB23" s="92">
        <v>0</v>
      </c>
      <c r="EGC23" s="92">
        <v>0</v>
      </c>
      <c r="EGD23" s="92">
        <v>0</v>
      </c>
      <c r="EGE23" s="92">
        <v>0</v>
      </c>
      <c r="EGF23" s="92">
        <v>0</v>
      </c>
      <c r="EGG23" s="92">
        <v>0</v>
      </c>
      <c r="EGH23" s="92">
        <v>0</v>
      </c>
      <c r="EGI23" s="92">
        <v>0</v>
      </c>
      <c r="EGJ23" s="92">
        <v>0</v>
      </c>
      <c r="EGK23" s="92">
        <v>0</v>
      </c>
      <c r="EGL23" s="92">
        <v>0</v>
      </c>
      <c r="EGM23" s="92">
        <v>0</v>
      </c>
      <c r="EGN23" s="92">
        <v>0</v>
      </c>
      <c r="EGO23" s="92">
        <v>0</v>
      </c>
      <c r="EGP23" s="92">
        <v>0</v>
      </c>
      <c r="EGQ23" s="92">
        <v>0</v>
      </c>
      <c r="EGR23" s="92">
        <v>0</v>
      </c>
      <c r="EGS23" s="92">
        <v>0</v>
      </c>
      <c r="EGT23" s="92">
        <v>0</v>
      </c>
      <c r="EGU23" s="92">
        <v>0</v>
      </c>
      <c r="EGV23" s="92">
        <v>0</v>
      </c>
      <c r="EGW23" s="92">
        <v>0</v>
      </c>
      <c r="EGX23" s="92">
        <v>0</v>
      </c>
      <c r="EGY23" s="92">
        <v>0</v>
      </c>
      <c r="EGZ23" s="92">
        <v>0</v>
      </c>
      <c r="EHA23" s="92">
        <v>0</v>
      </c>
      <c r="EHB23" s="92">
        <v>0</v>
      </c>
      <c r="EHC23" s="92">
        <v>0</v>
      </c>
      <c r="EHD23" s="92">
        <v>0</v>
      </c>
      <c r="EHE23" s="92">
        <v>0</v>
      </c>
      <c r="EHF23" s="92">
        <v>0</v>
      </c>
      <c r="EHG23" s="92">
        <v>0</v>
      </c>
      <c r="EHH23" s="92">
        <v>0</v>
      </c>
      <c r="EHI23" s="92">
        <v>0</v>
      </c>
      <c r="EHJ23" s="92">
        <v>0</v>
      </c>
      <c r="EHK23" s="92">
        <v>0</v>
      </c>
      <c r="EHL23" s="92">
        <v>0</v>
      </c>
      <c r="EHM23" s="92">
        <v>0</v>
      </c>
      <c r="EHN23" s="92">
        <v>0</v>
      </c>
      <c r="EHO23" s="92">
        <v>0</v>
      </c>
      <c r="EHP23" s="92">
        <v>0</v>
      </c>
      <c r="EHQ23" s="92">
        <v>0</v>
      </c>
      <c r="EHR23" s="92">
        <v>0</v>
      </c>
      <c r="EHS23" s="92">
        <v>0</v>
      </c>
      <c r="EHT23" s="92">
        <v>0</v>
      </c>
      <c r="EHU23" s="92">
        <v>0</v>
      </c>
      <c r="EHV23" s="92">
        <v>0</v>
      </c>
      <c r="EHW23" s="92">
        <v>0</v>
      </c>
      <c r="EHX23" s="92">
        <v>0</v>
      </c>
      <c r="EHY23" s="92">
        <v>0</v>
      </c>
      <c r="EHZ23" s="92">
        <v>0</v>
      </c>
      <c r="EIA23" s="92">
        <v>0</v>
      </c>
      <c r="EIB23" s="92">
        <v>0</v>
      </c>
      <c r="EIC23" s="92">
        <v>0</v>
      </c>
      <c r="EID23" s="92">
        <v>0</v>
      </c>
      <c r="EIE23" s="92">
        <v>0</v>
      </c>
      <c r="EIF23" s="92">
        <v>0</v>
      </c>
      <c r="EIG23" s="92">
        <v>0</v>
      </c>
      <c r="EIH23" s="92">
        <v>0</v>
      </c>
      <c r="EII23" s="92">
        <v>0</v>
      </c>
      <c r="EIJ23" s="92">
        <v>0</v>
      </c>
      <c r="EIK23" s="92">
        <v>0</v>
      </c>
      <c r="EIL23" s="92">
        <v>0</v>
      </c>
      <c r="EIM23" s="92">
        <v>0</v>
      </c>
      <c r="EIN23" s="92">
        <v>0</v>
      </c>
      <c r="EIO23" s="92">
        <v>0</v>
      </c>
      <c r="EIP23" s="92">
        <v>0</v>
      </c>
      <c r="EIQ23" s="92">
        <v>0</v>
      </c>
      <c r="EIR23" s="92">
        <v>0</v>
      </c>
      <c r="EIS23" s="92">
        <v>0</v>
      </c>
      <c r="EIT23" s="92">
        <v>0</v>
      </c>
      <c r="EIU23" s="92">
        <v>0</v>
      </c>
      <c r="EIV23" s="92">
        <v>0</v>
      </c>
      <c r="EIW23" s="92">
        <v>0</v>
      </c>
      <c r="EIX23" s="92">
        <v>0</v>
      </c>
      <c r="EIY23" s="92">
        <v>0</v>
      </c>
      <c r="EIZ23" s="92">
        <v>0</v>
      </c>
      <c r="EJA23" s="92">
        <v>0</v>
      </c>
      <c r="EJB23" s="92">
        <v>0</v>
      </c>
      <c r="EJC23" s="92">
        <v>0</v>
      </c>
      <c r="EJD23" s="92">
        <v>0</v>
      </c>
      <c r="EJE23" s="92">
        <v>0</v>
      </c>
      <c r="EJF23" s="92">
        <v>0</v>
      </c>
      <c r="EJG23" s="92">
        <v>0</v>
      </c>
      <c r="EJH23" s="92">
        <v>0</v>
      </c>
      <c r="EJI23" s="92">
        <v>0</v>
      </c>
      <c r="EJJ23" s="92">
        <v>0</v>
      </c>
      <c r="EJK23" s="92">
        <v>0</v>
      </c>
      <c r="EJL23" s="92">
        <v>0</v>
      </c>
      <c r="EJM23" s="92">
        <v>0</v>
      </c>
      <c r="EJN23" s="92">
        <v>0</v>
      </c>
      <c r="EJO23" s="92">
        <v>0</v>
      </c>
      <c r="EJP23" s="92">
        <v>0</v>
      </c>
      <c r="EJQ23" s="92">
        <v>0</v>
      </c>
      <c r="EJR23" s="92">
        <v>0</v>
      </c>
      <c r="EJS23" s="92">
        <v>0</v>
      </c>
      <c r="EJT23" s="92">
        <v>0</v>
      </c>
      <c r="EJU23" s="92">
        <v>0</v>
      </c>
      <c r="EJV23" s="92">
        <v>0</v>
      </c>
      <c r="EJW23" s="92">
        <v>0</v>
      </c>
      <c r="EJX23" s="92">
        <v>0</v>
      </c>
      <c r="EJY23" s="92">
        <v>0</v>
      </c>
      <c r="EJZ23" s="92">
        <v>0</v>
      </c>
      <c r="EKA23" s="92">
        <v>0</v>
      </c>
      <c r="EKB23" s="92">
        <v>0</v>
      </c>
      <c r="EKC23" s="92">
        <v>0</v>
      </c>
      <c r="EKD23" s="92">
        <v>0</v>
      </c>
      <c r="EKE23" s="92">
        <v>0</v>
      </c>
      <c r="EKF23" s="92">
        <v>0</v>
      </c>
      <c r="EKG23" s="92">
        <v>0</v>
      </c>
      <c r="EKH23" s="92">
        <v>0</v>
      </c>
      <c r="EKI23" s="92">
        <v>0</v>
      </c>
      <c r="EKJ23" s="92">
        <v>0</v>
      </c>
      <c r="EKK23" s="92">
        <v>0</v>
      </c>
      <c r="EKL23" s="92">
        <v>0</v>
      </c>
      <c r="EKM23" s="92">
        <v>0</v>
      </c>
      <c r="EKN23" s="92">
        <v>0</v>
      </c>
      <c r="EKO23" s="92">
        <v>0</v>
      </c>
      <c r="EKP23" s="92">
        <v>0</v>
      </c>
      <c r="EKQ23" s="92">
        <v>0</v>
      </c>
      <c r="EKR23" s="92">
        <v>0</v>
      </c>
      <c r="EKS23" s="92">
        <v>0</v>
      </c>
      <c r="EKT23" s="92">
        <v>0</v>
      </c>
      <c r="EKU23" s="92">
        <v>0</v>
      </c>
      <c r="EKV23" s="92">
        <v>0</v>
      </c>
      <c r="EKW23" s="92">
        <v>0</v>
      </c>
      <c r="EKX23" s="92">
        <v>0</v>
      </c>
      <c r="EKY23" s="92">
        <v>0</v>
      </c>
      <c r="EKZ23" s="92">
        <v>0</v>
      </c>
      <c r="ELA23" s="92">
        <v>0</v>
      </c>
      <c r="ELB23" s="92">
        <v>0</v>
      </c>
      <c r="ELC23" s="92">
        <v>0</v>
      </c>
      <c r="ELD23" s="92">
        <v>0</v>
      </c>
      <c r="ELE23" s="92">
        <v>0</v>
      </c>
      <c r="ELF23" s="92">
        <v>0</v>
      </c>
      <c r="ELG23" s="92">
        <v>0</v>
      </c>
      <c r="ELH23" s="92">
        <v>0</v>
      </c>
      <c r="ELI23" s="92">
        <v>0</v>
      </c>
      <c r="ELJ23" s="92">
        <v>0</v>
      </c>
      <c r="ELK23" s="92">
        <v>0</v>
      </c>
      <c r="ELL23" s="92">
        <v>0</v>
      </c>
      <c r="ELM23" s="92">
        <v>0</v>
      </c>
      <c r="ELN23" s="92">
        <v>0</v>
      </c>
      <c r="ELO23" s="92">
        <v>0</v>
      </c>
      <c r="ELP23" s="92">
        <v>0</v>
      </c>
      <c r="ELQ23" s="92">
        <v>0</v>
      </c>
      <c r="ELR23" s="92">
        <v>0</v>
      </c>
      <c r="ELS23" s="92">
        <v>0</v>
      </c>
      <c r="ELT23" s="92">
        <v>0</v>
      </c>
      <c r="ELU23" s="92">
        <v>0</v>
      </c>
      <c r="ELV23" s="92">
        <v>0</v>
      </c>
      <c r="ELW23" s="92">
        <v>0</v>
      </c>
      <c r="ELX23" s="92">
        <v>0</v>
      </c>
      <c r="ELY23" s="92">
        <v>0</v>
      </c>
      <c r="ELZ23" s="92">
        <v>0</v>
      </c>
      <c r="EMA23" s="92">
        <v>0</v>
      </c>
      <c r="EMB23" s="92">
        <v>0</v>
      </c>
      <c r="EMC23" s="92">
        <v>0</v>
      </c>
      <c r="EMD23" s="92">
        <v>0</v>
      </c>
      <c r="EME23" s="92">
        <v>0</v>
      </c>
      <c r="EMF23" s="92">
        <v>0</v>
      </c>
      <c r="EMG23" s="92">
        <v>0</v>
      </c>
      <c r="EMH23" s="92">
        <v>0</v>
      </c>
      <c r="EMI23" s="92">
        <v>0</v>
      </c>
      <c r="EMJ23" s="92">
        <v>0</v>
      </c>
      <c r="EMK23" s="92">
        <v>0</v>
      </c>
      <c r="EML23" s="92">
        <v>0</v>
      </c>
      <c r="EMM23" s="92">
        <v>0</v>
      </c>
      <c r="EMN23" s="92">
        <v>0</v>
      </c>
      <c r="EMO23" s="92">
        <v>0</v>
      </c>
      <c r="EMP23" s="92">
        <v>0</v>
      </c>
      <c r="EMQ23" s="92">
        <v>0</v>
      </c>
      <c r="EMR23" s="92">
        <v>0</v>
      </c>
      <c r="EMS23" s="92">
        <v>0</v>
      </c>
      <c r="EMT23" s="92">
        <v>0</v>
      </c>
      <c r="EMU23" s="92">
        <v>0</v>
      </c>
      <c r="EMV23" s="92">
        <v>0</v>
      </c>
      <c r="EMW23" s="92">
        <v>0</v>
      </c>
      <c r="EMX23" s="92">
        <v>0</v>
      </c>
      <c r="EMY23" s="92">
        <v>0</v>
      </c>
      <c r="EMZ23" s="92">
        <v>0</v>
      </c>
      <c r="ENA23" s="92">
        <v>0</v>
      </c>
      <c r="ENB23" s="92">
        <v>0</v>
      </c>
      <c r="ENC23" s="92">
        <v>0</v>
      </c>
      <c r="END23" s="92">
        <v>0</v>
      </c>
      <c r="ENE23" s="92">
        <v>0</v>
      </c>
      <c r="ENF23" s="92">
        <v>0</v>
      </c>
      <c r="ENG23" s="92">
        <v>0</v>
      </c>
      <c r="ENH23" s="92">
        <v>0</v>
      </c>
      <c r="ENI23" s="92">
        <v>0</v>
      </c>
      <c r="ENJ23" s="92">
        <v>0</v>
      </c>
      <c r="ENK23" s="92">
        <v>0</v>
      </c>
      <c r="ENL23" s="92">
        <v>0</v>
      </c>
      <c r="ENM23" s="92">
        <v>0</v>
      </c>
      <c r="ENN23" s="92">
        <v>0</v>
      </c>
      <c r="ENO23" s="92">
        <v>0</v>
      </c>
      <c r="ENP23" s="92">
        <v>0</v>
      </c>
      <c r="ENQ23" s="92">
        <v>0</v>
      </c>
      <c r="ENR23" s="92">
        <v>0</v>
      </c>
      <c r="ENS23" s="92">
        <v>0</v>
      </c>
      <c r="ENT23" s="92">
        <v>0</v>
      </c>
      <c r="ENU23" s="92">
        <v>0</v>
      </c>
      <c r="ENV23" s="92">
        <v>0</v>
      </c>
      <c r="ENW23" s="92">
        <v>0</v>
      </c>
      <c r="ENX23" s="92">
        <v>0</v>
      </c>
      <c r="ENY23" s="92">
        <v>0</v>
      </c>
      <c r="ENZ23" s="92">
        <v>0</v>
      </c>
      <c r="EOA23" s="92">
        <v>0</v>
      </c>
      <c r="EOB23" s="92">
        <v>0</v>
      </c>
      <c r="EOC23" s="92">
        <v>0</v>
      </c>
      <c r="EOD23" s="92">
        <v>0</v>
      </c>
      <c r="EOE23" s="92">
        <v>0</v>
      </c>
      <c r="EOF23" s="92">
        <v>0</v>
      </c>
      <c r="EOG23" s="92">
        <v>0</v>
      </c>
      <c r="EOH23" s="92">
        <v>0</v>
      </c>
      <c r="EOI23" s="92">
        <v>0</v>
      </c>
      <c r="EOJ23" s="92">
        <v>0</v>
      </c>
      <c r="EOK23" s="92">
        <v>0</v>
      </c>
      <c r="EOL23" s="92">
        <v>0</v>
      </c>
      <c r="EOM23" s="92">
        <v>0</v>
      </c>
      <c r="EON23" s="92">
        <v>0</v>
      </c>
      <c r="EOO23" s="92">
        <v>0</v>
      </c>
      <c r="EOP23" s="92">
        <v>0</v>
      </c>
      <c r="EOQ23" s="92">
        <v>0</v>
      </c>
      <c r="EOR23" s="92">
        <v>0</v>
      </c>
      <c r="EOS23" s="92">
        <v>0</v>
      </c>
      <c r="EOT23" s="92">
        <v>0</v>
      </c>
      <c r="EOU23" s="92">
        <v>0</v>
      </c>
      <c r="EOV23" s="92">
        <v>0</v>
      </c>
      <c r="EOW23" s="92">
        <v>0</v>
      </c>
      <c r="EOX23" s="92">
        <v>0</v>
      </c>
      <c r="EOY23" s="92">
        <v>0</v>
      </c>
      <c r="EOZ23" s="92">
        <v>0</v>
      </c>
      <c r="EPA23" s="92">
        <v>0</v>
      </c>
      <c r="EPB23" s="92">
        <v>0</v>
      </c>
      <c r="EPC23" s="92">
        <v>0</v>
      </c>
      <c r="EPD23" s="92">
        <v>0</v>
      </c>
      <c r="EPE23" s="92">
        <v>0</v>
      </c>
      <c r="EPF23" s="92">
        <v>0</v>
      </c>
      <c r="EPG23" s="92">
        <v>0</v>
      </c>
      <c r="EPH23" s="92">
        <v>0</v>
      </c>
      <c r="EPI23" s="92">
        <v>0</v>
      </c>
      <c r="EPJ23" s="92">
        <v>0</v>
      </c>
      <c r="EPK23" s="92">
        <v>0</v>
      </c>
      <c r="EPL23" s="92">
        <v>0</v>
      </c>
      <c r="EPM23" s="92">
        <v>0</v>
      </c>
      <c r="EPN23" s="92">
        <v>0</v>
      </c>
      <c r="EPO23" s="92">
        <v>0</v>
      </c>
      <c r="EPP23" s="92">
        <v>0</v>
      </c>
      <c r="EPQ23" s="92">
        <v>0</v>
      </c>
      <c r="EPR23" s="92">
        <v>0</v>
      </c>
      <c r="EPS23" s="92">
        <v>0</v>
      </c>
      <c r="EPT23" s="92">
        <v>0</v>
      </c>
      <c r="EPU23" s="92">
        <v>0</v>
      </c>
      <c r="EPV23" s="92">
        <v>0</v>
      </c>
      <c r="EPW23" s="92">
        <v>0</v>
      </c>
      <c r="EPX23" s="92">
        <v>0</v>
      </c>
      <c r="EPY23" s="92">
        <v>0</v>
      </c>
      <c r="EPZ23" s="92">
        <v>0</v>
      </c>
      <c r="EQA23" s="92">
        <v>0</v>
      </c>
      <c r="EQB23" s="92">
        <v>0</v>
      </c>
      <c r="EQC23" s="92">
        <v>0</v>
      </c>
      <c r="EQD23" s="92">
        <v>0</v>
      </c>
      <c r="EQE23" s="92">
        <v>0</v>
      </c>
      <c r="EQF23" s="92">
        <v>0</v>
      </c>
      <c r="EQG23" s="92">
        <v>0</v>
      </c>
      <c r="EQH23" s="92">
        <v>0</v>
      </c>
      <c r="EQI23" s="92">
        <v>0</v>
      </c>
      <c r="EQJ23" s="92">
        <v>0</v>
      </c>
      <c r="EQK23" s="92">
        <v>0</v>
      </c>
      <c r="EQL23" s="92">
        <v>0</v>
      </c>
      <c r="EQM23" s="92">
        <v>0</v>
      </c>
      <c r="EQN23" s="92">
        <v>0</v>
      </c>
      <c r="EQO23" s="92">
        <v>0</v>
      </c>
      <c r="EQP23" s="92">
        <v>0</v>
      </c>
      <c r="EQQ23" s="92">
        <v>0</v>
      </c>
      <c r="EQR23" s="92">
        <v>0</v>
      </c>
      <c r="EQS23" s="92">
        <v>0</v>
      </c>
      <c r="EQT23" s="92">
        <v>0</v>
      </c>
      <c r="EQU23" s="92">
        <v>0</v>
      </c>
      <c r="EQV23" s="92">
        <v>0</v>
      </c>
      <c r="EQW23" s="92">
        <v>0</v>
      </c>
      <c r="EQX23" s="92">
        <v>0</v>
      </c>
      <c r="EQY23" s="92">
        <v>0</v>
      </c>
      <c r="EQZ23" s="92">
        <v>0</v>
      </c>
      <c r="ERA23" s="92">
        <v>0</v>
      </c>
      <c r="ERB23" s="92">
        <v>0</v>
      </c>
      <c r="ERC23" s="92">
        <v>0</v>
      </c>
      <c r="ERD23" s="92">
        <v>0</v>
      </c>
      <c r="ERE23" s="92">
        <v>0</v>
      </c>
      <c r="ERF23" s="92">
        <v>0</v>
      </c>
      <c r="ERG23" s="92">
        <v>0</v>
      </c>
      <c r="ERH23" s="92">
        <v>0</v>
      </c>
      <c r="ERI23" s="92">
        <v>0</v>
      </c>
      <c r="ERJ23" s="92">
        <v>0</v>
      </c>
      <c r="ERK23" s="92">
        <v>0</v>
      </c>
      <c r="ERL23" s="92">
        <v>0</v>
      </c>
      <c r="ERM23" s="92">
        <v>0</v>
      </c>
      <c r="ERN23" s="92">
        <v>0</v>
      </c>
      <c r="ERO23" s="92">
        <v>0</v>
      </c>
      <c r="ERP23" s="92">
        <v>0</v>
      </c>
      <c r="ERQ23" s="92">
        <v>0</v>
      </c>
      <c r="ERR23" s="92">
        <v>0</v>
      </c>
      <c r="ERS23" s="92">
        <v>0</v>
      </c>
      <c r="ERT23" s="92">
        <v>0</v>
      </c>
      <c r="ERU23" s="92">
        <v>0</v>
      </c>
      <c r="ERV23" s="92">
        <v>0</v>
      </c>
      <c r="ERW23" s="92">
        <v>0</v>
      </c>
      <c r="ERX23" s="92">
        <v>0</v>
      </c>
      <c r="ERY23" s="92">
        <v>0</v>
      </c>
      <c r="ERZ23" s="92">
        <v>0</v>
      </c>
      <c r="ESA23" s="92">
        <v>0</v>
      </c>
      <c r="ESB23" s="92">
        <v>0</v>
      </c>
      <c r="ESC23" s="92">
        <v>0</v>
      </c>
      <c r="ESD23" s="92">
        <v>0</v>
      </c>
      <c r="ESE23" s="92">
        <v>0</v>
      </c>
      <c r="ESF23" s="92">
        <v>0</v>
      </c>
      <c r="ESG23" s="92">
        <v>0</v>
      </c>
      <c r="ESH23" s="92">
        <v>0</v>
      </c>
      <c r="ESI23" s="92">
        <v>0</v>
      </c>
      <c r="ESJ23" s="92">
        <v>0</v>
      </c>
      <c r="ESK23" s="92">
        <v>0</v>
      </c>
      <c r="ESL23" s="92">
        <v>0</v>
      </c>
      <c r="ESM23" s="92">
        <v>0</v>
      </c>
      <c r="ESN23" s="92">
        <v>0</v>
      </c>
      <c r="ESO23" s="92">
        <v>0</v>
      </c>
      <c r="ESP23" s="92">
        <v>0</v>
      </c>
      <c r="ESQ23" s="92">
        <v>0</v>
      </c>
      <c r="ESR23" s="92">
        <v>0</v>
      </c>
      <c r="ESS23" s="92">
        <v>0</v>
      </c>
      <c r="EST23" s="92">
        <v>0</v>
      </c>
      <c r="ESU23" s="92">
        <v>0</v>
      </c>
      <c r="ESV23" s="92">
        <v>0</v>
      </c>
      <c r="ESW23" s="92">
        <v>0</v>
      </c>
      <c r="ESX23" s="92">
        <v>0</v>
      </c>
      <c r="ESY23" s="92">
        <v>0</v>
      </c>
      <c r="ESZ23" s="92">
        <v>0</v>
      </c>
      <c r="ETA23" s="92">
        <v>0</v>
      </c>
      <c r="ETB23" s="92">
        <v>0</v>
      </c>
      <c r="ETC23" s="92">
        <v>0</v>
      </c>
      <c r="ETD23" s="92">
        <v>0</v>
      </c>
      <c r="ETE23" s="92">
        <v>0</v>
      </c>
      <c r="ETF23" s="92">
        <v>0</v>
      </c>
      <c r="ETG23" s="92">
        <v>0</v>
      </c>
      <c r="ETH23" s="92">
        <v>0</v>
      </c>
      <c r="ETI23" s="92">
        <v>0</v>
      </c>
      <c r="ETJ23" s="92">
        <v>0</v>
      </c>
      <c r="ETK23" s="92">
        <v>0</v>
      </c>
      <c r="ETL23" s="92">
        <v>0</v>
      </c>
      <c r="ETM23" s="92">
        <v>0</v>
      </c>
      <c r="ETN23" s="92">
        <v>0</v>
      </c>
      <c r="ETO23" s="92">
        <v>0</v>
      </c>
      <c r="ETP23" s="92">
        <v>0</v>
      </c>
      <c r="ETQ23" s="92">
        <v>0</v>
      </c>
      <c r="ETR23" s="92">
        <v>0</v>
      </c>
      <c r="ETS23" s="92">
        <v>0</v>
      </c>
      <c r="ETT23" s="92">
        <v>0</v>
      </c>
      <c r="ETU23" s="92">
        <v>0</v>
      </c>
      <c r="ETV23" s="92">
        <v>0</v>
      </c>
      <c r="ETW23" s="92">
        <v>0</v>
      </c>
      <c r="ETX23" s="92">
        <v>0</v>
      </c>
      <c r="ETY23" s="92">
        <v>0</v>
      </c>
      <c r="ETZ23" s="92">
        <v>0</v>
      </c>
      <c r="EUA23" s="92">
        <v>0</v>
      </c>
      <c r="EUB23" s="92">
        <v>0</v>
      </c>
      <c r="EUC23" s="92">
        <v>0</v>
      </c>
      <c r="EUD23" s="92">
        <v>0</v>
      </c>
      <c r="EUE23" s="92">
        <v>0</v>
      </c>
      <c r="EUF23" s="92">
        <v>0</v>
      </c>
      <c r="EUG23" s="92">
        <v>0</v>
      </c>
      <c r="EUH23" s="92">
        <v>0</v>
      </c>
      <c r="EUI23" s="92">
        <v>0</v>
      </c>
      <c r="EUJ23" s="92">
        <v>0</v>
      </c>
      <c r="EUK23" s="92">
        <v>0</v>
      </c>
      <c r="EUL23" s="92">
        <v>0</v>
      </c>
      <c r="EUM23" s="92">
        <v>0</v>
      </c>
      <c r="EUN23" s="92">
        <v>0</v>
      </c>
      <c r="EUO23" s="92">
        <v>0</v>
      </c>
      <c r="EUP23" s="92">
        <v>0</v>
      </c>
      <c r="EUQ23" s="92">
        <v>0</v>
      </c>
      <c r="EUR23" s="92">
        <v>0</v>
      </c>
      <c r="EUS23" s="92">
        <v>0</v>
      </c>
      <c r="EUT23" s="92">
        <v>0</v>
      </c>
      <c r="EUU23" s="92">
        <v>0</v>
      </c>
      <c r="EUV23" s="92">
        <v>0</v>
      </c>
      <c r="EUW23" s="92">
        <v>0</v>
      </c>
      <c r="EUX23" s="92">
        <v>0</v>
      </c>
      <c r="EUY23" s="92">
        <v>0</v>
      </c>
      <c r="EUZ23" s="92">
        <v>0</v>
      </c>
      <c r="EVA23" s="92">
        <v>0</v>
      </c>
      <c r="EVB23" s="92">
        <v>0</v>
      </c>
      <c r="EVC23" s="92">
        <v>0</v>
      </c>
      <c r="EVD23" s="92">
        <v>0</v>
      </c>
      <c r="EVE23" s="92">
        <v>0</v>
      </c>
      <c r="EVF23" s="92">
        <v>0</v>
      </c>
      <c r="EVG23" s="92">
        <v>0</v>
      </c>
      <c r="EVH23" s="92">
        <v>0</v>
      </c>
      <c r="EVI23" s="92">
        <v>0</v>
      </c>
      <c r="EVJ23" s="92">
        <v>0</v>
      </c>
      <c r="EVK23" s="92">
        <v>0</v>
      </c>
      <c r="EVL23" s="92">
        <v>0</v>
      </c>
      <c r="EVM23" s="92">
        <v>0</v>
      </c>
      <c r="EVN23" s="92">
        <v>0</v>
      </c>
      <c r="EVO23" s="92">
        <v>0</v>
      </c>
      <c r="EVP23" s="92">
        <v>0</v>
      </c>
      <c r="EVQ23" s="92">
        <v>0</v>
      </c>
      <c r="EVR23" s="92">
        <v>0</v>
      </c>
      <c r="EVS23" s="92">
        <v>0</v>
      </c>
      <c r="EVT23" s="92">
        <v>0</v>
      </c>
      <c r="EVU23" s="92">
        <v>0</v>
      </c>
      <c r="EVV23" s="92">
        <v>0</v>
      </c>
      <c r="EVW23" s="92">
        <v>0</v>
      </c>
      <c r="EVX23" s="92">
        <v>0</v>
      </c>
      <c r="EVY23" s="92">
        <v>0</v>
      </c>
      <c r="EVZ23" s="92">
        <v>0</v>
      </c>
      <c r="EWA23" s="92">
        <v>0</v>
      </c>
      <c r="EWB23" s="92">
        <v>0</v>
      </c>
      <c r="EWC23" s="92">
        <v>0</v>
      </c>
      <c r="EWD23" s="92">
        <v>0</v>
      </c>
      <c r="EWE23" s="92">
        <v>0</v>
      </c>
      <c r="EWF23" s="92">
        <v>0</v>
      </c>
      <c r="EWG23" s="92">
        <v>0</v>
      </c>
      <c r="EWH23" s="92">
        <v>0</v>
      </c>
      <c r="EWI23" s="92">
        <v>0</v>
      </c>
      <c r="EWJ23" s="92">
        <v>0</v>
      </c>
      <c r="EWK23" s="92">
        <v>0</v>
      </c>
      <c r="EWL23" s="92">
        <v>0</v>
      </c>
      <c r="EWM23" s="92">
        <v>0</v>
      </c>
      <c r="EWN23" s="92">
        <v>0</v>
      </c>
      <c r="EWO23" s="92">
        <v>0</v>
      </c>
      <c r="EWP23" s="92">
        <v>0</v>
      </c>
      <c r="EWQ23" s="92">
        <v>0</v>
      </c>
      <c r="EWR23" s="92">
        <v>0</v>
      </c>
      <c r="EWS23" s="92">
        <v>0</v>
      </c>
      <c r="EWT23" s="92">
        <v>0</v>
      </c>
      <c r="EWU23" s="92">
        <v>0</v>
      </c>
      <c r="EWV23" s="92">
        <v>0</v>
      </c>
      <c r="EWW23" s="92">
        <v>0</v>
      </c>
      <c r="EWX23" s="92">
        <v>0</v>
      </c>
      <c r="EWY23" s="92">
        <v>0</v>
      </c>
      <c r="EWZ23" s="92">
        <v>0</v>
      </c>
      <c r="EXA23" s="92">
        <v>0</v>
      </c>
      <c r="EXB23" s="92">
        <v>0</v>
      </c>
      <c r="EXC23" s="92">
        <v>0</v>
      </c>
      <c r="EXD23" s="92">
        <v>0</v>
      </c>
      <c r="EXE23" s="92">
        <v>0</v>
      </c>
      <c r="EXF23" s="92">
        <v>0</v>
      </c>
      <c r="EXG23" s="92">
        <v>0</v>
      </c>
      <c r="EXH23" s="92">
        <v>0</v>
      </c>
      <c r="EXI23" s="92">
        <v>0</v>
      </c>
      <c r="EXJ23" s="92">
        <v>0</v>
      </c>
      <c r="EXK23" s="92">
        <v>0</v>
      </c>
      <c r="EXL23" s="92">
        <v>0</v>
      </c>
      <c r="EXM23" s="92">
        <v>0</v>
      </c>
      <c r="EXN23" s="92">
        <v>0</v>
      </c>
      <c r="EXO23" s="92">
        <v>0</v>
      </c>
      <c r="EXP23" s="92">
        <v>0</v>
      </c>
      <c r="EXQ23" s="92">
        <v>0</v>
      </c>
      <c r="EXR23" s="92">
        <v>0</v>
      </c>
      <c r="EXS23" s="92">
        <v>0</v>
      </c>
      <c r="EXT23" s="92">
        <v>0</v>
      </c>
      <c r="EXU23" s="92">
        <v>0</v>
      </c>
      <c r="EXV23" s="92">
        <v>0</v>
      </c>
      <c r="EXW23" s="92">
        <v>0</v>
      </c>
      <c r="EXX23" s="92">
        <v>0</v>
      </c>
      <c r="EXY23" s="92">
        <v>0</v>
      </c>
      <c r="EXZ23" s="92">
        <v>0</v>
      </c>
      <c r="EYA23" s="92">
        <v>0</v>
      </c>
      <c r="EYB23" s="92">
        <v>0</v>
      </c>
      <c r="EYC23" s="92">
        <v>0</v>
      </c>
      <c r="EYD23" s="92">
        <v>0</v>
      </c>
      <c r="EYE23" s="92">
        <v>0</v>
      </c>
      <c r="EYF23" s="92">
        <v>0</v>
      </c>
      <c r="EYG23" s="92">
        <v>0</v>
      </c>
      <c r="EYH23" s="92">
        <v>0</v>
      </c>
      <c r="EYI23" s="92">
        <v>0</v>
      </c>
      <c r="EYJ23" s="92">
        <v>0</v>
      </c>
      <c r="EYK23" s="92">
        <v>0</v>
      </c>
      <c r="EYL23" s="92">
        <v>0</v>
      </c>
      <c r="EYM23" s="92">
        <v>0</v>
      </c>
      <c r="EYN23" s="92">
        <v>0</v>
      </c>
      <c r="EYO23" s="92">
        <v>0</v>
      </c>
      <c r="EYP23" s="92">
        <v>0</v>
      </c>
      <c r="EYQ23" s="92">
        <v>0</v>
      </c>
      <c r="EYR23" s="92">
        <v>0</v>
      </c>
      <c r="EYS23" s="92">
        <v>0</v>
      </c>
      <c r="EYT23" s="92">
        <v>0</v>
      </c>
      <c r="EYU23" s="92">
        <v>0</v>
      </c>
      <c r="EYV23" s="92">
        <v>0</v>
      </c>
      <c r="EYW23" s="92">
        <v>0</v>
      </c>
      <c r="EYX23" s="92">
        <v>0</v>
      </c>
      <c r="EYY23" s="92">
        <v>0</v>
      </c>
      <c r="EYZ23" s="92">
        <v>0</v>
      </c>
      <c r="EZA23" s="92">
        <v>0</v>
      </c>
      <c r="EZB23" s="92">
        <v>0</v>
      </c>
      <c r="EZC23" s="92">
        <v>0</v>
      </c>
      <c r="EZD23" s="92">
        <v>0</v>
      </c>
      <c r="EZE23" s="92">
        <v>0</v>
      </c>
      <c r="EZF23" s="92">
        <v>0</v>
      </c>
      <c r="EZG23" s="92">
        <v>0</v>
      </c>
      <c r="EZH23" s="92">
        <v>0</v>
      </c>
      <c r="EZI23" s="92">
        <v>0</v>
      </c>
      <c r="EZJ23" s="92">
        <v>0</v>
      </c>
      <c r="EZK23" s="92">
        <v>0</v>
      </c>
      <c r="EZL23" s="92">
        <v>0</v>
      </c>
      <c r="EZM23" s="92">
        <v>0</v>
      </c>
      <c r="EZN23" s="92">
        <v>0</v>
      </c>
      <c r="EZO23" s="92">
        <v>0</v>
      </c>
      <c r="EZP23" s="92">
        <v>0</v>
      </c>
      <c r="EZQ23" s="92">
        <v>0</v>
      </c>
      <c r="EZR23" s="92">
        <v>0</v>
      </c>
      <c r="EZS23" s="92">
        <v>0</v>
      </c>
      <c r="EZT23" s="92">
        <v>0</v>
      </c>
      <c r="EZU23" s="92">
        <v>0</v>
      </c>
      <c r="EZV23" s="92">
        <v>0</v>
      </c>
      <c r="EZW23" s="92">
        <v>0</v>
      </c>
      <c r="EZX23" s="92">
        <v>0</v>
      </c>
      <c r="EZY23" s="92">
        <v>0</v>
      </c>
      <c r="EZZ23" s="92">
        <v>0</v>
      </c>
      <c r="FAA23" s="92">
        <v>0</v>
      </c>
      <c r="FAB23" s="92">
        <v>0</v>
      </c>
      <c r="FAC23" s="92">
        <v>0</v>
      </c>
      <c r="FAD23" s="92">
        <v>0</v>
      </c>
      <c r="FAE23" s="92">
        <v>0</v>
      </c>
      <c r="FAF23" s="92">
        <v>0</v>
      </c>
      <c r="FAG23" s="92">
        <v>0</v>
      </c>
      <c r="FAH23" s="92">
        <v>0</v>
      </c>
      <c r="FAI23" s="92">
        <v>0</v>
      </c>
      <c r="FAJ23" s="92">
        <v>0</v>
      </c>
      <c r="FAK23" s="92">
        <v>0</v>
      </c>
      <c r="FAL23" s="92">
        <v>0</v>
      </c>
      <c r="FAM23" s="92">
        <v>0</v>
      </c>
      <c r="FAN23" s="92">
        <v>0</v>
      </c>
      <c r="FAO23" s="92">
        <v>0</v>
      </c>
      <c r="FAP23" s="92">
        <v>0</v>
      </c>
      <c r="FAQ23" s="92">
        <v>0</v>
      </c>
      <c r="FAR23" s="92">
        <v>0</v>
      </c>
      <c r="FAS23" s="92">
        <v>0</v>
      </c>
      <c r="FAT23" s="92">
        <v>0</v>
      </c>
      <c r="FAU23" s="92">
        <v>0</v>
      </c>
      <c r="FAV23" s="92">
        <v>0</v>
      </c>
      <c r="FAW23" s="92">
        <v>0</v>
      </c>
      <c r="FAX23" s="92">
        <v>0</v>
      </c>
      <c r="FAY23" s="92">
        <v>0</v>
      </c>
      <c r="FAZ23" s="92">
        <v>0</v>
      </c>
      <c r="FBA23" s="92">
        <v>0</v>
      </c>
      <c r="FBB23" s="92">
        <v>0</v>
      </c>
      <c r="FBC23" s="92">
        <v>0</v>
      </c>
      <c r="FBD23" s="92">
        <v>0</v>
      </c>
      <c r="FBE23" s="92">
        <v>0</v>
      </c>
      <c r="FBF23" s="92">
        <v>0</v>
      </c>
      <c r="FBG23" s="92">
        <v>0</v>
      </c>
      <c r="FBH23" s="92">
        <v>0</v>
      </c>
      <c r="FBI23" s="92">
        <v>0</v>
      </c>
      <c r="FBJ23" s="92">
        <v>0</v>
      </c>
      <c r="FBK23" s="92">
        <v>0</v>
      </c>
      <c r="FBL23" s="92">
        <v>0</v>
      </c>
      <c r="FBM23" s="92">
        <v>0</v>
      </c>
      <c r="FBN23" s="92">
        <v>0</v>
      </c>
      <c r="FBO23" s="92">
        <v>0</v>
      </c>
      <c r="FBP23" s="92">
        <v>0</v>
      </c>
      <c r="FBQ23" s="92">
        <v>0</v>
      </c>
      <c r="FBR23" s="92">
        <v>0</v>
      </c>
      <c r="FBS23" s="92">
        <v>0</v>
      </c>
      <c r="FBT23" s="92">
        <v>0</v>
      </c>
      <c r="FBU23" s="92">
        <v>0</v>
      </c>
      <c r="FBV23" s="92">
        <v>0</v>
      </c>
      <c r="FBW23" s="92">
        <v>0</v>
      </c>
      <c r="FBX23" s="92">
        <v>0</v>
      </c>
      <c r="FBY23" s="92">
        <v>0</v>
      </c>
      <c r="FBZ23" s="92">
        <v>0</v>
      </c>
      <c r="FCA23" s="92">
        <v>0</v>
      </c>
      <c r="FCB23" s="92">
        <v>0</v>
      </c>
      <c r="FCC23" s="92">
        <v>0</v>
      </c>
      <c r="FCD23" s="92">
        <v>0</v>
      </c>
      <c r="FCE23" s="92">
        <v>0</v>
      </c>
      <c r="FCF23" s="92">
        <v>0</v>
      </c>
      <c r="FCG23" s="92">
        <v>0</v>
      </c>
      <c r="FCH23" s="92">
        <v>0</v>
      </c>
      <c r="FCI23" s="92">
        <v>0</v>
      </c>
      <c r="FCJ23" s="92">
        <v>0</v>
      </c>
      <c r="FCK23" s="92">
        <v>0</v>
      </c>
      <c r="FCL23" s="92">
        <v>0</v>
      </c>
      <c r="FCM23" s="92">
        <v>0</v>
      </c>
      <c r="FCN23" s="92">
        <v>0</v>
      </c>
      <c r="FCO23" s="92">
        <v>0</v>
      </c>
      <c r="FCP23" s="92">
        <v>0</v>
      </c>
      <c r="FCQ23" s="92">
        <v>0</v>
      </c>
      <c r="FCR23" s="92">
        <v>0</v>
      </c>
      <c r="FCS23" s="92">
        <v>0</v>
      </c>
      <c r="FCT23" s="92">
        <v>0</v>
      </c>
      <c r="FCU23" s="92">
        <v>0</v>
      </c>
      <c r="FCV23" s="92">
        <v>0</v>
      </c>
      <c r="FCW23" s="92">
        <v>0</v>
      </c>
      <c r="FCX23" s="92">
        <v>0</v>
      </c>
      <c r="FCY23" s="92">
        <v>0</v>
      </c>
      <c r="FCZ23" s="92">
        <v>0</v>
      </c>
      <c r="FDA23" s="92">
        <v>0</v>
      </c>
      <c r="FDB23" s="92">
        <v>0</v>
      </c>
      <c r="FDC23" s="92">
        <v>0</v>
      </c>
      <c r="FDD23" s="92">
        <v>0</v>
      </c>
      <c r="FDE23" s="92">
        <v>0</v>
      </c>
      <c r="FDF23" s="92">
        <v>0</v>
      </c>
      <c r="FDG23" s="92">
        <v>0</v>
      </c>
      <c r="FDH23" s="92">
        <v>0</v>
      </c>
      <c r="FDI23" s="92">
        <v>0</v>
      </c>
      <c r="FDJ23" s="92">
        <v>0</v>
      </c>
      <c r="FDK23" s="92">
        <v>0</v>
      </c>
      <c r="FDL23" s="92">
        <v>0</v>
      </c>
      <c r="FDM23" s="92">
        <v>0</v>
      </c>
      <c r="FDN23" s="92">
        <v>0</v>
      </c>
      <c r="FDO23" s="92">
        <v>0</v>
      </c>
      <c r="FDP23" s="92">
        <v>0</v>
      </c>
      <c r="FDQ23" s="92">
        <v>0</v>
      </c>
      <c r="FDR23" s="92">
        <v>0</v>
      </c>
      <c r="FDS23" s="92">
        <v>0</v>
      </c>
      <c r="FDT23" s="92">
        <v>0</v>
      </c>
      <c r="FDU23" s="92">
        <v>0</v>
      </c>
      <c r="FDV23" s="92">
        <v>0</v>
      </c>
      <c r="FDW23" s="92">
        <v>0</v>
      </c>
      <c r="FDX23" s="92">
        <v>0</v>
      </c>
      <c r="FDY23" s="92">
        <v>0</v>
      </c>
      <c r="FDZ23" s="92">
        <v>0</v>
      </c>
      <c r="FEA23" s="92">
        <v>0</v>
      </c>
      <c r="FEB23" s="92">
        <v>0</v>
      </c>
      <c r="FEC23" s="92">
        <v>0</v>
      </c>
      <c r="FED23" s="92">
        <v>0</v>
      </c>
      <c r="FEE23" s="92">
        <v>0</v>
      </c>
      <c r="FEF23" s="92">
        <v>0</v>
      </c>
      <c r="FEG23" s="92">
        <v>0</v>
      </c>
      <c r="FEH23" s="92">
        <v>0</v>
      </c>
      <c r="FEI23" s="92">
        <v>0</v>
      </c>
      <c r="FEJ23" s="92">
        <v>0</v>
      </c>
      <c r="FEK23" s="92">
        <v>0</v>
      </c>
      <c r="FEL23" s="92">
        <v>0</v>
      </c>
      <c r="FEM23" s="92">
        <v>0</v>
      </c>
      <c r="FEN23" s="92">
        <v>0</v>
      </c>
      <c r="FEO23" s="92">
        <v>0</v>
      </c>
      <c r="FEP23" s="92">
        <v>0</v>
      </c>
      <c r="FEQ23" s="92">
        <v>0</v>
      </c>
      <c r="FER23" s="92">
        <v>0</v>
      </c>
      <c r="FES23" s="92">
        <v>0</v>
      </c>
      <c r="FET23" s="92">
        <v>0</v>
      </c>
      <c r="FEU23" s="92">
        <v>0</v>
      </c>
      <c r="FEV23" s="92">
        <v>0</v>
      </c>
      <c r="FEW23" s="92">
        <v>0</v>
      </c>
      <c r="FEX23" s="92">
        <v>0</v>
      </c>
      <c r="FEY23" s="92">
        <v>0</v>
      </c>
      <c r="FEZ23" s="92">
        <v>0</v>
      </c>
      <c r="FFA23" s="92">
        <v>0</v>
      </c>
      <c r="FFB23" s="92">
        <v>0</v>
      </c>
      <c r="FFC23" s="92">
        <v>0</v>
      </c>
      <c r="FFD23" s="92">
        <v>0</v>
      </c>
      <c r="FFE23" s="92">
        <v>0</v>
      </c>
      <c r="FFF23" s="92">
        <v>0</v>
      </c>
      <c r="FFG23" s="92">
        <v>0</v>
      </c>
      <c r="FFH23" s="92">
        <v>0</v>
      </c>
      <c r="FFI23" s="92">
        <v>0</v>
      </c>
      <c r="FFJ23" s="92">
        <v>0</v>
      </c>
      <c r="FFK23" s="92">
        <v>0</v>
      </c>
      <c r="FFL23" s="92">
        <v>0</v>
      </c>
      <c r="FFM23" s="92">
        <v>0</v>
      </c>
      <c r="FFN23" s="92">
        <v>0</v>
      </c>
      <c r="FFO23" s="92">
        <v>0</v>
      </c>
      <c r="FFP23" s="92">
        <v>0</v>
      </c>
      <c r="FFQ23" s="92">
        <v>0</v>
      </c>
      <c r="FFR23" s="92">
        <v>0</v>
      </c>
      <c r="FFS23" s="92">
        <v>0</v>
      </c>
      <c r="FFT23" s="92">
        <v>0</v>
      </c>
      <c r="FFU23" s="92">
        <v>0</v>
      </c>
      <c r="FFV23" s="92">
        <v>0</v>
      </c>
      <c r="FFW23" s="92">
        <v>0</v>
      </c>
      <c r="FFX23" s="92">
        <v>0</v>
      </c>
      <c r="FFY23" s="92">
        <v>0</v>
      </c>
      <c r="FFZ23" s="92">
        <v>0</v>
      </c>
      <c r="FGA23" s="92">
        <v>0</v>
      </c>
      <c r="FGB23" s="92">
        <v>0</v>
      </c>
      <c r="FGC23" s="92">
        <v>0</v>
      </c>
      <c r="FGD23" s="92">
        <v>0</v>
      </c>
      <c r="FGE23" s="92">
        <v>0</v>
      </c>
      <c r="FGF23" s="92">
        <v>0</v>
      </c>
      <c r="FGG23" s="92">
        <v>0</v>
      </c>
      <c r="FGH23" s="92">
        <v>0</v>
      </c>
      <c r="FGI23" s="92">
        <v>0</v>
      </c>
      <c r="FGJ23" s="92">
        <v>0</v>
      </c>
      <c r="FGK23" s="92">
        <v>0</v>
      </c>
      <c r="FGL23" s="92">
        <v>0</v>
      </c>
      <c r="FGM23" s="92">
        <v>0</v>
      </c>
      <c r="FGN23" s="92">
        <v>0</v>
      </c>
      <c r="FGO23" s="92">
        <v>0</v>
      </c>
      <c r="FGP23" s="92">
        <v>0</v>
      </c>
      <c r="FGQ23" s="92">
        <v>0</v>
      </c>
      <c r="FGR23" s="92">
        <v>0</v>
      </c>
      <c r="FGS23" s="92">
        <v>0</v>
      </c>
      <c r="FGT23" s="92">
        <v>0</v>
      </c>
      <c r="FGU23" s="92">
        <v>0</v>
      </c>
      <c r="FGV23" s="92">
        <v>0</v>
      </c>
      <c r="FGW23" s="92">
        <v>0</v>
      </c>
      <c r="FGX23" s="92">
        <v>0</v>
      </c>
      <c r="FGY23" s="92">
        <v>0</v>
      </c>
      <c r="FGZ23" s="92">
        <v>0</v>
      </c>
      <c r="FHA23" s="92">
        <v>0</v>
      </c>
      <c r="FHB23" s="92">
        <v>0</v>
      </c>
      <c r="FHC23" s="92">
        <v>0</v>
      </c>
      <c r="FHD23" s="92">
        <v>0</v>
      </c>
      <c r="FHE23" s="92">
        <v>0</v>
      </c>
      <c r="FHF23" s="92">
        <v>0</v>
      </c>
      <c r="FHG23" s="92">
        <v>0</v>
      </c>
      <c r="FHH23" s="92">
        <v>0</v>
      </c>
      <c r="FHI23" s="92">
        <v>0</v>
      </c>
      <c r="FHJ23" s="92">
        <v>0</v>
      </c>
      <c r="FHK23" s="92">
        <v>0</v>
      </c>
      <c r="FHL23" s="92">
        <v>0</v>
      </c>
      <c r="FHM23" s="92">
        <v>0</v>
      </c>
      <c r="FHN23" s="92">
        <v>0</v>
      </c>
      <c r="FHO23" s="92">
        <v>0</v>
      </c>
      <c r="FHP23" s="92">
        <v>0</v>
      </c>
      <c r="FHQ23" s="92">
        <v>0</v>
      </c>
      <c r="FHR23" s="92">
        <v>0</v>
      </c>
      <c r="FHS23" s="92">
        <v>0</v>
      </c>
      <c r="FHT23" s="92">
        <v>0</v>
      </c>
      <c r="FHU23" s="92">
        <v>0</v>
      </c>
      <c r="FHV23" s="92">
        <v>0</v>
      </c>
      <c r="FHW23" s="92">
        <v>0</v>
      </c>
      <c r="FHX23" s="92">
        <v>0</v>
      </c>
      <c r="FHY23" s="92">
        <v>0</v>
      </c>
      <c r="FHZ23" s="92">
        <v>0</v>
      </c>
      <c r="FIA23" s="92">
        <v>0</v>
      </c>
      <c r="FIB23" s="92">
        <v>0</v>
      </c>
      <c r="FIC23" s="92">
        <v>0</v>
      </c>
      <c r="FID23" s="92">
        <v>0</v>
      </c>
      <c r="FIE23" s="92">
        <v>0</v>
      </c>
      <c r="FIF23" s="92">
        <v>0</v>
      </c>
      <c r="FIG23" s="92">
        <v>0</v>
      </c>
      <c r="FIH23" s="92">
        <v>0</v>
      </c>
      <c r="FII23" s="92">
        <v>0</v>
      </c>
      <c r="FIJ23" s="92">
        <v>0</v>
      </c>
      <c r="FIK23" s="92">
        <v>0</v>
      </c>
      <c r="FIL23" s="92">
        <v>0</v>
      </c>
      <c r="FIM23" s="92">
        <v>0</v>
      </c>
      <c r="FIN23" s="92">
        <v>0</v>
      </c>
      <c r="FIO23" s="92">
        <v>0</v>
      </c>
      <c r="FIP23" s="92">
        <v>0</v>
      </c>
      <c r="FIQ23" s="92">
        <v>0</v>
      </c>
      <c r="FIR23" s="92">
        <v>0</v>
      </c>
      <c r="FIS23" s="92">
        <v>0</v>
      </c>
      <c r="FIT23" s="92">
        <v>0</v>
      </c>
      <c r="FIU23" s="92">
        <v>0</v>
      </c>
      <c r="FIV23" s="92">
        <v>0</v>
      </c>
      <c r="FIW23" s="92">
        <v>0</v>
      </c>
      <c r="FIX23" s="92">
        <v>0</v>
      </c>
      <c r="FIY23" s="92">
        <v>0</v>
      </c>
      <c r="FIZ23" s="92">
        <v>0</v>
      </c>
      <c r="FJA23" s="92">
        <v>0</v>
      </c>
      <c r="FJB23" s="92">
        <v>0</v>
      </c>
      <c r="FJC23" s="92">
        <v>0</v>
      </c>
      <c r="FJD23" s="92">
        <v>0</v>
      </c>
      <c r="FJE23" s="92">
        <v>0</v>
      </c>
      <c r="FJF23" s="92">
        <v>0</v>
      </c>
      <c r="FJG23" s="92">
        <v>0</v>
      </c>
      <c r="FJH23" s="92">
        <v>0</v>
      </c>
      <c r="FJI23" s="92">
        <v>0</v>
      </c>
      <c r="FJJ23" s="92">
        <v>0</v>
      </c>
      <c r="FJK23" s="92">
        <v>0</v>
      </c>
      <c r="FJL23" s="92">
        <v>0</v>
      </c>
      <c r="FJM23" s="92">
        <v>0</v>
      </c>
      <c r="FJN23" s="92">
        <v>0</v>
      </c>
      <c r="FJO23" s="92">
        <v>0</v>
      </c>
      <c r="FJP23" s="92">
        <v>0</v>
      </c>
      <c r="FJQ23" s="92">
        <v>0</v>
      </c>
      <c r="FJR23" s="92">
        <v>0</v>
      </c>
      <c r="FJS23" s="92">
        <v>0</v>
      </c>
      <c r="FJT23" s="92">
        <v>0</v>
      </c>
      <c r="FJU23" s="92">
        <v>0</v>
      </c>
      <c r="FJV23" s="92">
        <v>0</v>
      </c>
      <c r="FJW23" s="92">
        <v>0</v>
      </c>
      <c r="FJX23" s="92">
        <v>0</v>
      </c>
      <c r="FJY23" s="92">
        <v>0</v>
      </c>
      <c r="FJZ23" s="92">
        <v>0</v>
      </c>
      <c r="FKA23" s="92">
        <v>0</v>
      </c>
      <c r="FKB23" s="92">
        <v>0</v>
      </c>
      <c r="FKC23" s="92">
        <v>0</v>
      </c>
      <c r="FKD23" s="92">
        <v>0</v>
      </c>
      <c r="FKE23" s="92">
        <v>0</v>
      </c>
      <c r="FKF23" s="92">
        <v>0</v>
      </c>
      <c r="FKG23" s="92">
        <v>0</v>
      </c>
      <c r="FKH23" s="92">
        <v>0</v>
      </c>
      <c r="FKI23" s="92">
        <v>0</v>
      </c>
      <c r="FKJ23" s="92">
        <v>0</v>
      </c>
      <c r="FKK23" s="92">
        <v>0</v>
      </c>
      <c r="FKL23" s="92">
        <v>0</v>
      </c>
      <c r="FKM23" s="92">
        <v>0</v>
      </c>
      <c r="FKN23" s="92">
        <v>0</v>
      </c>
      <c r="FKO23" s="92">
        <v>0</v>
      </c>
      <c r="FKP23" s="92">
        <v>0</v>
      </c>
      <c r="FKQ23" s="92">
        <v>0</v>
      </c>
      <c r="FKR23" s="92">
        <v>0</v>
      </c>
      <c r="FKS23" s="92">
        <v>0</v>
      </c>
      <c r="FKT23" s="92">
        <v>0</v>
      </c>
      <c r="FKU23" s="92">
        <v>0</v>
      </c>
      <c r="FKV23" s="92">
        <v>0</v>
      </c>
      <c r="FKW23" s="92">
        <v>0</v>
      </c>
      <c r="FKX23" s="92">
        <v>0</v>
      </c>
      <c r="FKY23" s="92">
        <v>0</v>
      </c>
      <c r="FKZ23" s="92">
        <v>0</v>
      </c>
      <c r="FLA23" s="92">
        <v>0</v>
      </c>
      <c r="FLB23" s="92">
        <v>0</v>
      </c>
      <c r="FLC23" s="92">
        <v>0</v>
      </c>
      <c r="FLD23" s="92">
        <v>0</v>
      </c>
      <c r="FLE23" s="92">
        <v>0</v>
      </c>
      <c r="FLF23" s="92">
        <v>0</v>
      </c>
      <c r="FLG23" s="92">
        <v>0</v>
      </c>
      <c r="FLH23" s="92">
        <v>0</v>
      </c>
      <c r="FLI23" s="92">
        <v>0</v>
      </c>
      <c r="FLJ23" s="92">
        <v>0</v>
      </c>
      <c r="FLK23" s="92">
        <v>0</v>
      </c>
      <c r="FLL23" s="92">
        <v>0</v>
      </c>
      <c r="FLM23" s="92">
        <v>0</v>
      </c>
      <c r="FLN23" s="92">
        <v>0</v>
      </c>
      <c r="FLO23" s="92">
        <v>0</v>
      </c>
      <c r="FLP23" s="92">
        <v>0</v>
      </c>
      <c r="FLQ23" s="92">
        <v>0</v>
      </c>
      <c r="FLR23" s="92">
        <v>0</v>
      </c>
      <c r="FLS23" s="92">
        <v>0</v>
      </c>
      <c r="FLT23" s="92">
        <v>0</v>
      </c>
      <c r="FLU23" s="92">
        <v>0</v>
      </c>
      <c r="FLV23" s="92">
        <v>0</v>
      </c>
      <c r="FLW23" s="92">
        <v>0</v>
      </c>
      <c r="FLX23" s="92">
        <v>0</v>
      </c>
      <c r="FLY23" s="92">
        <v>0</v>
      </c>
      <c r="FLZ23" s="92">
        <v>0</v>
      </c>
      <c r="FMA23" s="92">
        <v>0</v>
      </c>
      <c r="FMB23" s="92">
        <v>0</v>
      </c>
      <c r="FMC23" s="92">
        <v>0</v>
      </c>
      <c r="FMD23" s="92">
        <v>0</v>
      </c>
      <c r="FME23" s="92">
        <v>0</v>
      </c>
      <c r="FMF23" s="92">
        <v>0</v>
      </c>
      <c r="FMG23" s="92">
        <v>0</v>
      </c>
      <c r="FMH23" s="92">
        <v>0</v>
      </c>
      <c r="FMI23" s="92">
        <v>0</v>
      </c>
      <c r="FMJ23" s="92">
        <v>0</v>
      </c>
      <c r="FMK23" s="92">
        <v>0</v>
      </c>
      <c r="FML23" s="92">
        <v>0</v>
      </c>
      <c r="FMM23" s="92">
        <v>0</v>
      </c>
      <c r="FMN23" s="92">
        <v>0</v>
      </c>
      <c r="FMO23" s="92">
        <v>0</v>
      </c>
      <c r="FMP23" s="92">
        <v>0</v>
      </c>
      <c r="FMQ23" s="92">
        <v>0</v>
      </c>
      <c r="FMR23" s="92">
        <v>0</v>
      </c>
      <c r="FMS23" s="92">
        <v>0</v>
      </c>
      <c r="FMT23" s="92">
        <v>0</v>
      </c>
      <c r="FMU23" s="92">
        <v>0</v>
      </c>
      <c r="FMV23" s="92">
        <v>0</v>
      </c>
      <c r="FMW23" s="92">
        <v>0</v>
      </c>
      <c r="FMX23" s="92">
        <v>0</v>
      </c>
      <c r="FMY23" s="92">
        <v>0</v>
      </c>
      <c r="FMZ23" s="92">
        <v>0</v>
      </c>
      <c r="FNA23" s="92">
        <v>0</v>
      </c>
      <c r="FNB23" s="92">
        <v>0</v>
      </c>
      <c r="FNC23" s="92">
        <v>0</v>
      </c>
      <c r="FND23" s="92">
        <v>0</v>
      </c>
      <c r="FNE23" s="92">
        <v>0</v>
      </c>
      <c r="FNF23" s="92">
        <v>0</v>
      </c>
      <c r="FNG23" s="92">
        <v>0</v>
      </c>
      <c r="FNH23" s="92">
        <v>0</v>
      </c>
      <c r="FNI23" s="92">
        <v>0</v>
      </c>
      <c r="FNJ23" s="92">
        <v>0</v>
      </c>
      <c r="FNK23" s="92">
        <v>0</v>
      </c>
      <c r="FNL23" s="92">
        <v>0</v>
      </c>
      <c r="FNM23" s="92">
        <v>0</v>
      </c>
      <c r="FNN23" s="92">
        <v>0</v>
      </c>
      <c r="FNO23" s="92">
        <v>0</v>
      </c>
      <c r="FNP23" s="92">
        <v>0</v>
      </c>
      <c r="FNQ23" s="92">
        <v>0</v>
      </c>
      <c r="FNR23" s="92">
        <v>0</v>
      </c>
      <c r="FNS23" s="92">
        <v>0</v>
      </c>
      <c r="FNT23" s="92">
        <v>0</v>
      </c>
      <c r="FNU23" s="92">
        <v>0</v>
      </c>
      <c r="FNV23" s="92">
        <v>0</v>
      </c>
      <c r="FNW23" s="92">
        <v>0</v>
      </c>
      <c r="FNX23" s="92">
        <v>0</v>
      </c>
      <c r="FNY23" s="92">
        <v>0</v>
      </c>
      <c r="FNZ23" s="92">
        <v>0</v>
      </c>
      <c r="FOA23" s="92">
        <v>0</v>
      </c>
      <c r="FOB23" s="92">
        <v>0</v>
      </c>
      <c r="FOC23" s="92">
        <v>0</v>
      </c>
      <c r="FOD23" s="92">
        <v>0</v>
      </c>
      <c r="FOE23" s="92">
        <v>0</v>
      </c>
      <c r="FOF23" s="92">
        <v>0</v>
      </c>
      <c r="FOG23" s="92">
        <v>0</v>
      </c>
      <c r="FOH23" s="92">
        <v>0</v>
      </c>
      <c r="FOI23" s="92">
        <v>0</v>
      </c>
      <c r="FOJ23" s="92">
        <v>0</v>
      </c>
      <c r="FOK23" s="92">
        <v>0</v>
      </c>
      <c r="FOL23" s="92">
        <v>0</v>
      </c>
      <c r="FOM23" s="92">
        <v>0</v>
      </c>
      <c r="FON23" s="92">
        <v>0</v>
      </c>
      <c r="FOO23" s="92">
        <v>0</v>
      </c>
      <c r="FOP23" s="92">
        <v>0</v>
      </c>
      <c r="FOQ23" s="92">
        <v>0</v>
      </c>
      <c r="FOR23" s="92">
        <v>0</v>
      </c>
      <c r="FOS23" s="92">
        <v>0</v>
      </c>
      <c r="FOT23" s="92">
        <v>0</v>
      </c>
      <c r="FOU23" s="92">
        <v>0</v>
      </c>
      <c r="FOV23" s="92">
        <v>0</v>
      </c>
      <c r="FOW23" s="92">
        <v>0</v>
      </c>
      <c r="FOX23" s="92">
        <v>0</v>
      </c>
      <c r="FOY23" s="92">
        <v>0</v>
      </c>
      <c r="FOZ23" s="92">
        <v>0</v>
      </c>
      <c r="FPA23" s="92">
        <v>0</v>
      </c>
      <c r="FPB23" s="92">
        <v>0</v>
      </c>
      <c r="FPC23" s="92">
        <v>0</v>
      </c>
      <c r="FPD23" s="92">
        <v>0</v>
      </c>
      <c r="FPE23" s="92">
        <v>0</v>
      </c>
      <c r="FPF23" s="92">
        <v>0</v>
      </c>
      <c r="FPG23" s="92">
        <v>0</v>
      </c>
      <c r="FPH23" s="92">
        <v>0</v>
      </c>
      <c r="FPI23" s="92">
        <v>0</v>
      </c>
      <c r="FPJ23" s="92">
        <v>0</v>
      </c>
      <c r="FPK23" s="92">
        <v>0</v>
      </c>
      <c r="FPL23" s="92">
        <v>0</v>
      </c>
      <c r="FPM23" s="92">
        <v>0</v>
      </c>
      <c r="FPN23" s="92">
        <v>0</v>
      </c>
      <c r="FPO23" s="92">
        <v>0</v>
      </c>
      <c r="FPP23" s="92">
        <v>0</v>
      </c>
      <c r="FPQ23" s="92">
        <v>0</v>
      </c>
      <c r="FPR23" s="92">
        <v>0</v>
      </c>
      <c r="FPS23" s="92">
        <v>0</v>
      </c>
      <c r="FPT23" s="92">
        <v>0</v>
      </c>
      <c r="FPU23" s="92">
        <v>0</v>
      </c>
      <c r="FPV23" s="92">
        <v>0</v>
      </c>
      <c r="FPW23" s="92">
        <v>0</v>
      </c>
      <c r="FPX23" s="92">
        <v>0</v>
      </c>
      <c r="FPY23" s="92">
        <v>0</v>
      </c>
      <c r="FPZ23" s="92">
        <v>0</v>
      </c>
      <c r="FQA23" s="92">
        <v>0</v>
      </c>
      <c r="FQB23" s="92">
        <v>0</v>
      </c>
      <c r="FQC23" s="92">
        <v>0</v>
      </c>
      <c r="FQD23" s="92">
        <v>0</v>
      </c>
      <c r="FQE23" s="92">
        <v>0</v>
      </c>
      <c r="FQF23" s="92">
        <v>0</v>
      </c>
      <c r="FQG23" s="92">
        <v>0</v>
      </c>
      <c r="FQH23" s="92">
        <v>0</v>
      </c>
      <c r="FQI23" s="92">
        <v>0</v>
      </c>
      <c r="FQJ23" s="92">
        <v>0</v>
      </c>
      <c r="FQK23" s="92">
        <v>0</v>
      </c>
      <c r="FQL23" s="92">
        <v>0</v>
      </c>
      <c r="FQM23" s="92">
        <v>0</v>
      </c>
      <c r="FQN23" s="92">
        <v>0</v>
      </c>
      <c r="FQO23" s="92">
        <v>0</v>
      </c>
      <c r="FQP23" s="92">
        <v>0</v>
      </c>
      <c r="FQQ23" s="92">
        <v>0</v>
      </c>
      <c r="FQR23" s="92">
        <v>0</v>
      </c>
      <c r="FQS23" s="92">
        <v>0</v>
      </c>
      <c r="FQT23" s="92">
        <v>0</v>
      </c>
      <c r="FQU23" s="92">
        <v>0</v>
      </c>
      <c r="FQV23" s="92">
        <v>0</v>
      </c>
      <c r="FQW23" s="92">
        <v>0</v>
      </c>
      <c r="FQX23" s="92">
        <v>0</v>
      </c>
      <c r="FQY23" s="92">
        <v>0</v>
      </c>
      <c r="FQZ23" s="92">
        <v>0</v>
      </c>
      <c r="FRA23" s="92">
        <v>0</v>
      </c>
      <c r="FRB23" s="92">
        <v>0</v>
      </c>
      <c r="FRC23" s="92">
        <v>0</v>
      </c>
      <c r="FRD23" s="92">
        <v>0</v>
      </c>
      <c r="FRE23" s="92">
        <v>0</v>
      </c>
      <c r="FRF23" s="92">
        <v>0</v>
      </c>
      <c r="FRG23" s="92">
        <v>0</v>
      </c>
      <c r="FRH23" s="92">
        <v>0</v>
      </c>
      <c r="FRI23" s="92">
        <v>0</v>
      </c>
      <c r="FRJ23" s="92">
        <v>0</v>
      </c>
      <c r="FRK23" s="92">
        <v>0</v>
      </c>
      <c r="FRL23" s="92">
        <v>0</v>
      </c>
      <c r="FRM23" s="92">
        <v>0</v>
      </c>
      <c r="FRN23" s="92">
        <v>0</v>
      </c>
      <c r="FRO23" s="92">
        <v>0</v>
      </c>
      <c r="FRP23" s="92">
        <v>0</v>
      </c>
      <c r="FRQ23" s="92">
        <v>0</v>
      </c>
      <c r="FRR23" s="92">
        <v>0</v>
      </c>
      <c r="FRS23" s="92">
        <v>0</v>
      </c>
      <c r="FRT23" s="92">
        <v>0</v>
      </c>
      <c r="FRU23" s="92">
        <v>0</v>
      </c>
      <c r="FRV23" s="92">
        <v>0</v>
      </c>
      <c r="FRW23" s="92">
        <v>0</v>
      </c>
      <c r="FRX23" s="92">
        <v>0</v>
      </c>
      <c r="FRY23" s="92">
        <v>0</v>
      </c>
      <c r="FRZ23" s="92">
        <v>0</v>
      </c>
      <c r="FSA23" s="92">
        <v>0</v>
      </c>
      <c r="FSB23" s="92">
        <v>0</v>
      </c>
      <c r="FSC23" s="92">
        <v>0</v>
      </c>
      <c r="FSD23" s="92">
        <v>0</v>
      </c>
      <c r="FSE23" s="92">
        <v>0</v>
      </c>
      <c r="FSF23" s="92">
        <v>0</v>
      </c>
      <c r="FSG23" s="92">
        <v>0</v>
      </c>
      <c r="FSH23" s="92">
        <v>0</v>
      </c>
      <c r="FSI23" s="92">
        <v>0</v>
      </c>
      <c r="FSJ23" s="92">
        <v>0</v>
      </c>
      <c r="FSK23" s="92">
        <v>0</v>
      </c>
      <c r="FSL23" s="92">
        <v>0</v>
      </c>
      <c r="FSM23" s="92">
        <v>0</v>
      </c>
      <c r="FSN23" s="92">
        <v>0</v>
      </c>
      <c r="FSO23" s="92">
        <v>0</v>
      </c>
      <c r="FSP23" s="92">
        <v>0</v>
      </c>
      <c r="FSQ23" s="92">
        <v>0</v>
      </c>
      <c r="FSR23" s="92">
        <v>0</v>
      </c>
      <c r="FSS23" s="92">
        <v>0</v>
      </c>
      <c r="FST23" s="92">
        <v>0</v>
      </c>
      <c r="FSU23" s="92">
        <v>0</v>
      </c>
      <c r="FSV23" s="92">
        <v>0</v>
      </c>
      <c r="FSW23" s="92">
        <v>0</v>
      </c>
      <c r="FSX23" s="92">
        <v>0</v>
      </c>
      <c r="FSY23" s="92">
        <v>0</v>
      </c>
      <c r="FSZ23" s="92">
        <v>0</v>
      </c>
      <c r="FTA23" s="92">
        <v>0</v>
      </c>
      <c r="FTB23" s="92">
        <v>0</v>
      </c>
      <c r="FTC23" s="92">
        <v>0</v>
      </c>
      <c r="FTD23" s="92">
        <v>0</v>
      </c>
      <c r="FTE23" s="92">
        <v>0</v>
      </c>
      <c r="FTF23" s="92">
        <v>0</v>
      </c>
      <c r="FTG23" s="92">
        <v>0</v>
      </c>
      <c r="FTH23" s="92">
        <v>0</v>
      </c>
      <c r="FTI23" s="92">
        <v>0</v>
      </c>
      <c r="FTJ23" s="92">
        <v>0</v>
      </c>
      <c r="FTK23" s="92">
        <v>0</v>
      </c>
      <c r="FTL23" s="92">
        <v>0</v>
      </c>
      <c r="FTM23" s="92">
        <v>0</v>
      </c>
      <c r="FTN23" s="92">
        <v>0</v>
      </c>
      <c r="FTO23" s="92">
        <v>0</v>
      </c>
      <c r="FTP23" s="92">
        <v>0</v>
      </c>
      <c r="FTQ23" s="92">
        <v>0</v>
      </c>
      <c r="FTR23" s="92">
        <v>0</v>
      </c>
      <c r="FTS23" s="92">
        <v>0</v>
      </c>
      <c r="FTT23" s="92">
        <v>0</v>
      </c>
      <c r="FTU23" s="92">
        <v>0</v>
      </c>
      <c r="FTV23" s="92">
        <v>0</v>
      </c>
      <c r="FTW23" s="92">
        <v>0</v>
      </c>
      <c r="FTX23" s="92">
        <v>0</v>
      </c>
      <c r="FTY23" s="92">
        <v>0</v>
      </c>
      <c r="FTZ23" s="92">
        <v>0</v>
      </c>
      <c r="FUA23" s="92">
        <v>0</v>
      </c>
      <c r="FUB23" s="92">
        <v>0</v>
      </c>
      <c r="FUC23" s="92">
        <v>0</v>
      </c>
      <c r="FUD23" s="92">
        <v>0</v>
      </c>
      <c r="FUE23" s="92">
        <v>0</v>
      </c>
      <c r="FUF23" s="92">
        <v>0</v>
      </c>
      <c r="FUG23" s="92">
        <v>0</v>
      </c>
      <c r="FUH23" s="92">
        <v>0</v>
      </c>
      <c r="FUI23" s="92">
        <v>0</v>
      </c>
      <c r="FUJ23" s="92">
        <v>0</v>
      </c>
      <c r="FUK23" s="92">
        <v>0</v>
      </c>
      <c r="FUL23" s="92">
        <v>0</v>
      </c>
      <c r="FUM23" s="92">
        <v>0</v>
      </c>
      <c r="FUN23" s="92">
        <v>0</v>
      </c>
      <c r="FUO23" s="92">
        <v>0</v>
      </c>
      <c r="FUP23" s="92">
        <v>0</v>
      </c>
      <c r="FUQ23" s="92">
        <v>0</v>
      </c>
      <c r="FUR23" s="92">
        <v>0</v>
      </c>
      <c r="FUS23" s="92">
        <v>0</v>
      </c>
      <c r="FUT23" s="92">
        <v>0</v>
      </c>
      <c r="FUU23" s="92">
        <v>0</v>
      </c>
      <c r="FUV23" s="92">
        <v>0</v>
      </c>
      <c r="FUW23" s="92">
        <v>0</v>
      </c>
      <c r="FUX23" s="92">
        <v>0</v>
      </c>
      <c r="FUY23" s="92">
        <v>0</v>
      </c>
      <c r="FUZ23" s="92">
        <v>0</v>
      </c>
      <c r="FVA23" s="92">
        <v>0</v>
      </c>
      <c r="FVB23" s="92">
        <v>0</v>
      </c>
      <c r="FVC23" s="92">
        <v>0</v>
      </c>
      <c r="FVD23" s="92">
        <v>0</v>
      </c>
      <c r="FVE23" s="92">
        <v>0</v>
      </c>
      <c r="FVF23" s="92">
        <v>0</v>
      </c>
      <c r="FVG23" s="92">
        <v>0</v>
      </c>
      <c r="FVH23" s="92">
        <v>0</v>
      </c>
      <c r="FVI23" s="92">
        <v>0</v>
      </c>
      <c r="FVJ23" s="92">
        <v>0</v>
      </c>
      <c r="FVK23" s="92">
        <v>0</v>
      </c>
      <c r="FVL23" s="92">
        <v>0</v>
      </c>
      <c r="FVM23" s="92">
        <v>0</v>
      </c>
      <c r="FVN23" s="92">
        <v>0</v>
      </c>
      <c r="FVO23" s="92">
        <v>0</v>
      </c>
      <c r="FVP23" s="92">
        <v>0</v>
      </c>
      <c r="FVQ23" s="92">
        <v>0</v>
      </c>
      <c r="FVR23" s="92">
        <v>0</v>
      </c>
      <c r="FVS23" s="92">
        <v>0</v>
      </c>
      <c r="FVT23" s="92">
        <v>0</v>
      </c>
      <c r="FVU23" s="92">
        <v>0</v>
      </c>
      <c r="FVV23" s="92">
        <v>0</v>
      </c>
      <c r="FVW23" s="92">
        <v>0</v>
      </c>
      <c r="FVX23" s="92">
        <v>0</v>
      </c>
      <c r="FVY23" s="92">
        <v>0</v>
      </c>
      <c r="FVZ23" s="92">
        <v>0</v>
      </c>
      <c r="FWA23" s="92">
        <v>0</v>
      </c>
      <c r="FWB23" s="92">
        <v>0</v>
      </c>
      <c r="FWC23" s="92">
        <v>0</v>
      </c>
      <c r="FWD23" s="92">
        <v>0</v>
      </c>
      <c r="FWE23" s="92">
        <v>0</v>
      </c>
      <c r="FWF23" s="92">
        <v>0</v>
      </c>
      <c r="FWG23" s="92">
        <v>0</v>
      </c>
      <c r="FWH23" s="92">
        <v>0</v>
      </c>
      <c r="FWI23" s="92">
        <v>0</v>
      </c>
      <c r="FWJ23" s="92">
        <v>0</v>
      </c>
      <c r="FWK23" s="92">
        <v>0</v>
      </c>
      <c r="FWL23" s="92">
        <v>0</v>
      </c>
      <c r="FWM23" s="92">
        <v>0</v>
      </c>
      <c r="FWN23" s="92">
        <v>0</v>
      </c>
      <c r="FWO23" s="92">
        <v>0</v>
      </c>
      <c r="FWP23" s="92">
        <v>0</v>
      </c>
      <c r="FWQ23" s="92">
        <v>0</v>
      </c>
      <c r="FWR23" s="92">
        <v>0</v>
      </c>
      <c r="FWS23" s="92">
        <v>0</v>
      </c>
      <c r="FWT23" s="92">
        <v>0</v>
      </c>
      <c r="FWU23" s="92">
        <v>0</v>
      </c>
      <c r="FWV23" s="92">
        <v>0</v>
      </c>
      <c r="FWW23" s="92">
        <v>0</v>
      </c>
      <c r="FWX23" s="92">
        <v>0</v>
      </c>
      <c r="FWY23" s="92">
        <v>0</v>
      </c>
      <c r="FWZ23" s="92">
        <v>0</v>
      </c>
      <c r="FXA23" s="92">
        <v>0</v>
      </c>
      <c r="FXB23" s="92">
        <v>0</v>
      </c>
      <c r="FXC23" s="92">
        <v>0</v>
      </c>
      <c r="FXD23" s="92">
        <v>0</v>
      </c>
      <c r="FXE23" s="92">
        <v>0</v>
      </c>
      <c r="FXF23" s="92">
        <v>0</v>
      </c>
      <c r="FXG23" s="92">
        <v>0</v>
      </c>
      <c r="FXH23" s="92">
        <v>0</v>
      </c>
      <c r="FXI23" s="92">
        <v>0</v>
      </c>
      <c r="FXJ23" s="92">
        <v>0</v>
      </c>
      <c r="FXK23" s="92">
        <v>0</v>
      </c>
      <c r="FXL23" s="92">
        <v>0</v>
      </c>
      <c r="FXM23" s="92">
        <v>0</v>
      </c>
      <c r="FXN23" s="92">
        <v>0</v>
      </c>
      <c r="FXO23" s="92">
        <v>0</v>
      </c>
      <c r="FXP23" s="92">
        <v>0</v>
      </c>
      <c r="FXQ23" s="92">
        <v>0</v>
      </c>
      <c r="FXR23" s="92">
        <v>0</v>
      </c>
      <c r="FXS23" s="92">
        <v>0</v>
      </c>
      <c r="FXT23" s="92">
        <v>0</v>
      </c>
      <c r="FXU23" s="92">
        <v>0</v>
      </c>
      <c r="FXV23" s="92">
        <v>0</v>
      </c>
      <c r="FXW23" s="92">
        <v>0</v>
      </c>
      <c r="FXX23" s="92">
        <v>0</v>
      </c>
      <c r="FXY23" s="92">
        <v>0</v>
      </c>
      <c r="FXZ23" s="92">
        <v>0</v>
      </c>
      <c r="FYA23" s="92">
        <v>0</v>
      </c>
      <c r="FYB23" s="92">
        <v>0</v>
      </c>
      <c r="FYC23" s="92">
        <v>0</v>
      </c>
      <c r="FYD23" s="92">
        <v>0</v>
      </c>
      <c r="FYE23" s="92">
        <v>0</v>
      </c>
      <c r="FYF23" s="92">
        <v>0</v>
      </c>
      <c r="FYG23" s="92">
        <v>0</v>
      </c>
      <c r="FYH23" s="92">
        <v>0</v>
      </c>
      <c r="FYI23" s="92">
        <v>0</v>
      </c>
      <c r="FYJ23" s="92">
        <v>0</v>
      </c>
      <c r="FYK23" s="92">
        <v>0</v>
      </c>
      <c r="FYL23" s="92">
        <v>0</v>
      </c>
      <c r="FYM23" s="92">
        <v>0</v>
      </c>
      <c r="FYN23" s="92">
        <v>0</v>
      </c>
      <c r="FYO23" s="92">
        <v>0</v>
      </c>
      <c r="FYP23" s="92">
        <v>0</v>
      </c>
      <c r="FYQ23" s="92">
        <v>0</v>
      </c>
      <c r="FYR23" s="92">
        <v>0</v>
      </c>
      <c r="FYS23" s="92">
        <v>0</v>
      </c>
      <c r="FYT23" s="92">
        <v>0</v>
      </c>
      <c r="FYU23" s="92">
        <v>0</v>
      </c>
      <c r="FYV23" s="92">
        <v>0</v>
      </c>
      <c r="FYW23" s="92">
        <v>0</v>
      </c>
      <c r="FYX23" s="92">
        <v>0</v>
      </c>
      <c r="FYY23" s="92">
        <v>0</v>
      </c>
      <c r="FYZ23" s="92">
        <v>0</v>
      </c>
      <c r="FZA23" s="92">
        <v>0</v>
      </c>
      <c r="FZB23" s="92">
        <v>0</v>
      </c>
      <c r="FZC23" s="92">
        <v>0</v>
      </c>
      <c r="FZD23" s="92">
        <v>0</v>
      </c>
      <c r="FZE23" s="92">
        <v>0</v>
      </c>
      <c r="FZF23" s="92">
        <v>0</v>
      </c>
      <c r="FZG23" s="92">
        <v>0</v>
      </c>
      <c r="FZH23" s="92">
        <v>0</v>
      </c>
      <c r="FZI23" s="92">
        <v>0</v>
      </c>
      <c r="FZJ23" s="92">
        <v>0</v>
      </c>
      <c r="FZK23" s="92">
        <v>0</v>
      </c>
      <c r="FZL23" s="92">
        <v>0</v>
      </c>
      <c r="FZM23" s="92">
        <v>0</v>
      </c>
      <c r="FZN23" s="92">
        <v>0</v>
      </c>
      <c r="FZO23" s="92">
        <v>0</v>
      </c>
      <c r="FZP23" s="92">
        <v>0</v>
      </c>
      <c r="FZQ23" s="92">
        <v>0</v>
      </c>
      <c r="FZR23" s="92">
        <v>0</v>
      </c>
      <c r="FZS23" s="92">
        <v>0</v>
      </c>
      <c r="FZT23" s="92">
        <v>0</v>
      </c>
      <c r="FZU23" s="92">
        <v>0</v>
      </c>
      <c r="FZV23" s="92">
        <v>0</v>
      </c>
      <c r="FZW23" s="92">
        <v>0</v>
      </c>
      <c r="FZX23" s="92">
        <v>0</v>
      </c>
      <c r="FZY23" s="92">
        <v>0</v>
      </c>
      <c r="FZZ23" s="92">
        <v>0</v>
      </c>
      <c r="GAA23" s="92">
        <v>0</v>
      </c>
      <c r="GAB23" s="92">
        <v>0</v>
      </c>
      <c r="GAC23" s="92">
        <v>0</v>
      </c>
      <c r="GAD23" s="92">
        <v>0</v>
      </c>
      <c r="GAE23" s="92">
        <v>0</v>
      </c>
      <c r="GAF23" s="92">
        <v>0</v>
      </c>
      <c r="GAG23" s="92">
        <v>0</v>
      </c>
      <c r="GAH23" s="92">
        <v>0</v>
      </c>
      <c r="GAI23" s="92">
        <v>0</v>
      </c>
      <c r="GAJ23" s="92">
        <v>0</v>
      </c>
      <c r="GAK23" s="92">
        <v>0</v>
      </c>
      <c r="GAL23" s="92">
        <v>0</v>
      </c>
      <c r="GAM23" s="92">
        <v>0</v>
      </c>
      <c r="GAN23" s="92">
        <v>0</v>
      </c>
      <c r="GAO23" s="92">
        <v>0</v>
      </c>
      <c r="GAP23" s="92">
        <v>0</v>
      </c>
      <c r="GAQ23" s="92">
        <v>0</v>
      </c>
      <c r="GAR23" s="92">
        <v>0</v>
      </c>
      <c r="GAS23" s="92">
        <v>0</v>
      </c>
      <c r="GAT23" s="92">
        <v>0</v>
      </c>
      <c r="GAU23" s="92">
        <v>0</v>
      </c>
      <c r="GAV23" s="92">
        <v>0</v>
      </c>
      <c r="GAW23" s="92">
        <v>0</v>
      </c>
      <c r="GAX23" s="92">
        <v>0</v>
      </c>
      <c r="GAY23" s="92">
        <v>0</v>
      </c>
      <c r="GAZ23" s="92">
        <v>0</v>
      </c>
      <c r="GBA23" s="92">
        <v>0</v>
      </c>
      <c r="GBB23" s="92">
        <v>0</v>
      </c>
      <c r="GBC23" s="92">
        <v>0</v>
      </c>
      <c r="GBD23" s="92">
        <v>0</v>
      </c>
      <c r="GBE23" s="92">
        <v>0</v>
      </c>
      <c r="GBF23" s="92">
        <v>0</v>
      </c>
      <c r="GBG23" s="92">
        <v>0</v>
      </c>
      <c r="GBH23" s="92">
        <v>0</v>
      </c>
      <c r="GBI23" s="92">
        <v>0</v>
      </c>
      <c r="GBJ23" s="92">
        <v>0</v>
      </c>
      <c r="GBK23" s="92">
        <v>0</v>
      </c>
      <c r="GBL23" s="92">
        <v>0</v>
      </c>
      <c r="GBM23" s="92">
        <v>0</v>
      </c>
      <c r="GBN23" s="92">
        <v>0</v>
      </c>
      <c r="GBO23" s="92">
        <v>0</v>
      </c>
      <c r="GBP23" s="92">
        <v>0</v>
      </c>
      <c r="GBQ23" s="92">
        <v>0</v>
      </c>
      <c r="GBR23" s="92">
        <v>0</v>
      </c>
      <c r="GBS23" s="92">
        <v>0</v>
      </c>
      <c r="GBT23" s="92">
        <v>0</v>
      </c>
      <c r="GBU23" s="92">
        <v>0</v>
      </c>
      <c r="GBV23" s="92">
        <v>0</v>
      </c>
      <c r="GBW23" s="92">
        <v>0</v>
      </c>
      <c r="GBX23" s="92">
        <v>0</v>
      </c>
      <c r="GBY23" s="92">
        <v>0</v>
      </c>
      <c r="GBZ23" s="92">
        <v>0</v>
      </c>
      <c r="GCA23" s="92">
        <v>0</v>
      </c>
      <c r="GCB23" s="92">
        <v>0</v>
      </c>
      <c r="GCC23" s="92">
        <v>0</v>
      </c>
      <c r="GCD23" s="92">
        <v>0</v>
      </c>
      <c r="GCE23" s="92">
        <v>0</v>
      </c>
      <c r="GCF23" s="92">
        <v>0</v>
      </c>
      <c r="GCG23" s="92">
        <v>0</v>
      </c>
      <c r="GCH23" s="92">
        <v>0</v>
      </c>
      <c r="GCI23" s="92">
        <v>0</v>
      </c>
      <c r="GCJ23" s="92">
        <v>0</v>
      </c>
      <c r="GCK23" s="92">
        <v>0</v>
      </c>
      <c r="GCL23" s="92">
        <v>0</v>
      </c>
      <c r="GCM23" s="92">
        <v>0</v>
      </c>
      <c r="GCN23" s="92">
        <v>0</v>
      </c>
      <c r="GCO23" s="92">
        <v>0</v>
      </c>
      <c r="GCP23" s="92">
        <v>0</v>
      </c>
      <c r="GCQ23" s="92">
        <v>0</v>
      </c>
      <c r="GCR23" s="92">
        <v>0</v>
      </c>
      <c r="GCS23" s="92">
        <v>0</v>
      </c>
      <c r="GCT23" s="92">
        <v>0</v>
      </c>
      <c r="GCU23" s="92">
        <v>0</v>
      </c>
      <c r="GCV23" s="92">
        <v>0</v>
      </c>
      <c r="GCW23" s="92">
        <v>0</v>
      </c>
      <c r="GCX23" s="92">
        <v>0</v>
      </c>
      <c r="GCY23" s="92">
        <v>0</v>
      </c>
      <c r="GCZ23" s="92">
        <v>0</v>
      </c>
      <c r="GDA23" s="92">
        <v>0</v>
      </c>
      <c r="GDB23" s="92">
        <v>0</v>
      </c>
      <c r="GDC23" s="92">
        <v>0</v>
      </c>
      <c r="GDD23" s="92">
        <v>0</v>
      </c>
      <c r="GDE23" s="92">
        <v>0</v>
      </c>
      <c r="GDF23" s="92">
        <v>0</v>
      </c>
      <c r="GDG23" s="92">
        <v>0</v>
      </c>
      <c r="GDH23" s="92">
        <v>0</v>
      </c>
      <c r="GDI23" s="92">
        <v>0</v>
      </c>
      <c r="GDJ23" s="92">
        <v>0</v>
      </c>
      <c r="GDK23" s="92">
        <v>0</v>
      </c>
      <c r="GDL23" s="92">
        <v>0</v>
      </c>
      <c r="GDM23" s="92">
        <v>0</v>
      </c>
      <c r="GDN23" s="92">
        <v>0</v>
      </c>
      <c r="GDO23" s="92">
        <v>0</v>
      </c>
      <c r="GDP23" s="92">
        <v>0</v>
      </c>
      <c r="GDQ23" s="92">
        <v>0</v>
      </c>
      <c r="GDR23" s="92">
        <v>0</v>
      </c>
      <c r="GDS23" s="92">
        <v>0</v>
      </c>
      <c r="GDT23" s="92">
        <v>0</v>
      </c>
      <c r="GDU23" s="92">
        <v>0</v>
      </c>
      <c r="GDV23" s="92">
        <v>0</v>
      </c>
      <c r="GDW23" s="92">
        <v>0</v>
      </c>
      <c r="GDX23" s="92">
        <v>0</v>
      </c>
      <c r="GDY23" s="92">
        <v>0</v>
      </c>
      <c r="GDZ23" s="92">
        <v>0</v>
      </c>
      <c r="GEA23" s="92">
        <v>0</v>
      </c>
      <c r="GEB23" s="92">
        <v>0</v>
      </c>
      <c r="GEC23" s="92">
        <v>0</v>
      </c>
      <c r="GED23" s="92">
        <v>0</v>
      </c>
      <c r="GEE23" s="92">
        <v>0</v>
      </c>
      <c r="GEF23" s="92">
        <v>0</v>
      </c>
      <c r="GEG23" s="92">
        <v>0</v>
      </c>
      <c r="GEH23" s="92">
        <v>0</v>
      </c>
      <c r="GEI23" s="92">
        <v>0</v>
      </c>
      <c r="GEJ23" s="92">
        <v>0</v>
      </c>
      <c r="GEK23" s="92">
        <v>0</v>
      </c>
      <c r="GEL23" s="92">
        <v>0</v>
      </c>
      <c r="GEM23" s="92">
        <v>0</v>
      </c>
      <c r="GEN23" s="92">
        <v>0</v>
      </c>
      <c r="GEO23" s="92">
        <v>0</v>
      </c>
      <c r="GEP23" s="92">
        <v>0</v>
      </c>
      <c r="GEQ23" s="92">
        <v>0</v>
      </c>
      <c r="GER23" s="92">
        <v>0</v>
      </c>
      <c r="GES23" s="92">
        <v>0</v>
      </c>
      <c r="GET23" s="92">
        <v>0</v>
      </c>
      <c r="GEU23" s="92">
        <v>0</v>
      </c>
      <c r="GEV23" s="92">
        <v>0</v>
      </c>
      <c r="GEW23" s="92">
        <v>0</v>
      </c>
      <c r="GEX23" s="92">
        <v>0</v>
      </c>
      <c r="GEY23" s="92">
        <v>0</v>
      </c>
      <c r="GEZ23" s="92">
        <v>0</v>
      </c>
      <c r="GFA23" s="92">
        <v>0</v>
      </c>
      <c r="GFB23" s="92">
        <v>0</v>
      </c>
      <c r="GFC23" s="92">
        <v>0</v>
      </c>
      <c r="GFD23" s="92">
        <v>0</v>
      </c>
      <c r="GFE23" s="92">
        <v>0</v>
      </c>
      <c r="GFF23" s="92">
        <v>0</v>
      </c>
      <c r="GFG23" s="92">
        <v>0</v>
      </c>
      <c r="GFH23" s="92">
        <v>0</v>
      </c>
      <c r="GFI23" s="92">
        <v>0</v>
      </c>
      <c r="GFJ23" s="92">
        <v>0</v>
      </c>
      <c r="GFK23" s="92">
        <v>0</v>
      </c>
      <c r="GFL23" s="92">
        <v>0</v>
      </c>
      <c r="GFM23" s="92">
        <v>0</v>
      </c>
      <c r="GFN23" s="92">
        <v>0</v>
      </c>
      <c r="GFO23" s="92">
        <v>0</v>
      </c>
      <c r="GFP23" s="92">
        <v>0</v>
      </c>
      <c r="GFQ23" s="92">
        <v>0</v>
      </c>
      <c r="GFR23" s="92">
        <v>0</v>
      </c>
      <c r="GFS23" s="92">
        <v>0</v>
      </c>
      <c r="GFT23" s="92">
        <v>0</v>
      </c>
      <c r="GFU23" s="92">
        <v>0</v>
      </c>
      <c r="GFV23" s="92">
        <v>0</v>
      </c>
      <c r="GFW23" s="92">
        <v>0</v>
      </c>
      <c r="GFX23" s="92">
        <v>0</v>
      </c>
      <c r="GFY23" s="92">
        <v>0</v>
      </c>
      <c r="GFZ23" s="92">
        <v>0</v>
      </c>
      <c r="GGA23" s="92">
        <v>0</v>
      </c>
      <c r="GGB23" s="92">
        <v>0</v>
      </c>
      <c r="GGC23" s="92">
        <v>0</v>
      </c>
      <c r="GGD23" s="92">
        <v>0</v>
      </c>
      <c r="GGE23" s="92">
        <v>0</v>
      </c>
      <c r="GGF23" s="92">
        <v>0</v>
      </c>
      <c r="GGG23" s="92">
        <v>0</v>
      </c>
      <c r="GGH23" s="92">
        <v>0</v>
      </c>
      <c r="GGI23" s="92">
        <v>0</v>
      </c>
      <c r="GGJ23" s="92">
        <v>0</v>
      </c>
      <c r="GGK23" s="92">
        <v>0</v>
      </c>
      <c r="GGL23" s="92">
        <v>0</v>
      </c>
      <c r="GGM23" s="92">
        <v>0</v>
      </c>
      <c r="GGN23" s="92">
        <v>0</v>
      </c>
      <c r="GGO23" s="92">
        <v>0</v>
      </c>
      <c r="GGP23" s="92">
        <v>0</v>
      </c>
      <c r="GGQ23" s="92">
        <v>0</v>
      </c>
      <c r="GGR23" s="92">
        <v>0</v>
      </c>
      <c r="GGS23" s="92">
        <v>0</v>
      </c>
      <c r="GGT23" s="92">
        <v>0</v>
      </c>
      <c r="GGU23" s="92">
        <v>0</v>
      </c>
      <c r="GGV23" s="92">
        <v>0</v>
      </c>
      <c r="GGW23" s="92">
        <v>0</v>
      </c>
      <c r="GGX23" s="92">
        <v>0</v>
      </c>
      <c r="GGY23" s="92">
        <v>0</v>
      </c>
      <c r="GGZ23" s="92">
        <v>0</v>
      </c>
      <c r="GHA23" s="92">
        <v>0</v>
      </c>
      <c r="GHB23" s="92">
        <v>0</v>
      </c>
      <c r="GHC23" s="92">
        <v>0</v>
      </c>
      <c r="GHD23" s="92">
        <v>0</v>
      </c>
      <c r="GHE23" s="92">
        <v>0</v>
      </c>
      <c r="GHF23" s="92">
        <v>0</v>
      </c>
      <c r="GHG23" s="92">
        <v>0</v>
      </c>
      <c r="GHH23" s="92">
        <v>0</v>
      </c>
      <c r="GHI23" s="92">
        <v>0</v>
      </c>
      <c r="GHJ23" s="92">
        <v>0</v>
      </c>
      <c r="GHK23" s="92">
        <v>0</v>
      </c>
      <c r="GHL23" s="92">
        <v>0</v>
      </c>
      <c r="GHM23" s="92">
        <v>0</v>
      </c>
      <c r="GHN23" s="92">
        <v>0</v>
      </c>
      <c r="GHO23" s="92">
        <v>0</v>
      </c>
      <c r="GHP23" s="92">
        <v>0</v>
      </c>
      <c r="GHQ23" s="92">
        <v>0</v>
      </c>
      <c r="GHR23" s="92">
        <v>0</v>
      </c>
      <c r="GHS23" s="92">
        <v>0</v>
      </c>
      <c r="GHT23" s="92">
        <v>0</v>
      </c>
      <c r="GHU23" s="92">
        <v>0</v>
      </c>
      <c r="GHV23" s="92">
        <v>0</v>
      </c>
      <c r="GHW23" s="92">
        <v>0</v>
      </c>
      <c r="GHX23" s="92">
        <v>0</v>
      </c>
      <c r="GHY23" s="92">
        <v>0</v>
      </c>
      <c r="GHZ23" s="92">
        <v>0</v>
      </c>
      <c r="GIA23" s="92">
        <v>0</v>
      </c>
      <c r="GIB23" s="92">
        <v>0</v>
      </c>
      <c r="GIC23" s="92">
        <v>0</v>
      </c>
      <c r="GID23" s="92">
        <v>0</v>
      </c>
      <c r="GIE23" s="92">
        <v>0</v>
      </c>
      <c r="GIF23" s="92">
        <v>0</v>
      </c>
      <c r="GIG23" s="92">
        <v>0</v>
      </c>
      <c r="GIH23" s="92">
        <v>0</v>
      </c>
      <c r="GII23" s="92">
        <v>0</v>
      </c>
      <c r="GIJ23" s="92">
        <v>0</v>
      </c>
      <c r="GIK23" s="92">
        <v>0</v>
      </c>
      <c r="GIL23" s="92">
        <v>0</v>
      </c>
      <c r="GIM23" s="92">
        <v>0</v>
      </c>
      <c r="GIN23" s="92">
        <v>0</v>
      </c>
      <c r="GIO23" s="92">
        <v>0</v>
      </c>
      <c r="GIP23" s="92">
        <v>0</v>
      </c>
      <c r="GIQ23" s="92">
        <v>0</v>
      </c>
      <c r="GIR23" s="92">
        <v>0</v>
      </c>
      <c r="GIS23" s="92">
        <v>0</v>
      </c>
      <c r="GIT23" s="92">
        <v>0</v>
      </c>
      <c r="GIU23" s="92">
        <v>0</v>
      </c>
      <c r="GIV23" s="92">
        <v>0</v>
      </c>
      <c r="GIW23" s="92">
        <v>0</v>
      </c>
      <c r="GIX23" s="92">
        <v>0</v>
      </c>
      <c r="GIY23" s="92">
        <v>0</v>
      </c>
      <c r="GIZ23" s="92">
        <v>0</v>
      </c>
      <c r="GJA23" s="92">
        <v>0</v>
      </c>
      <c r="GJB23" s="92">
        <v>0</v>
      </c>
      <c r="GJC23" s="92">
        <v>0</v>
      </c>
      <c r="GJD23" s="92">
        <v>0</v>
      </c>
      <c r="GJE23" s="92">
        <v>0</v>
      </c>
      <c r="GJF23" s="92">
        <v>0</v>
      </c>
      <c r="GJG23" s="92">
        <v>0</v>
      </c>
      <c r="GJH23" s="92">
        <v>0</v>
      </c>
      <c r="GJI23" s="92">
        <v>0</v>
      </c>
      <c r="GJJ23" s="92">
        <v>0</v>
      </c>
      <c r="GJK23" s="92">
        <v>0</v>
      </c>
      <c r="GJL23" s="92">
        <v>0</v>
      </c>
      <c r="GJM23" s="92">
        <v>0</v>
      </c>
      <c r="GJN23" s="92">
        <v>0</v>
      </c>
      <c r="GJO23" s="92">
        <v>0</v>
      </c>
      <c r="GJP23" s="92">
        <v>0</v>
      </c>
      <c r="GJQ23" s="92">
        <v>0</v>
      </c>
      <c r="GJR23" s="92">
        <v>0</v>
      </c>
      <c r="GJS23" s="92">
        <v>0</v>
      </c>
      <c r="GJT23" s="92">
        <v>0</v>
      </c>
      <c r="GJU23" s="92">
        <v>0</v>
      </c>
      <c r="GJV23" s="92">
        <v>0</v>
      </c>
      <c r="GJW23" s="92">
        <v>0</v>
      </c>
      <c r="GJX23" s="92">
        <v>0</v>
      </c>
      <c r="GJY23" s="92">
        <v>0</v>
      </c>
      <c r="GJZ23" s="92">
        <v>0</v>
      </c>
      <c r="GKA23" s="92">
        <v>0</v>
      </c>
      <c r="GKB23" s="92">
        <v>0</v>
      </c>
      <c r="GKC23" s="92">
        <v>0</v>
      </c>
      <c r="GKD23" s="92">
        <v>0</v>
      </c>
      <c r="GKE23" s="92">
        <v>0</v>
      </c>
      <c r="GKF23" s="92">
        <v>0</v>
      </c>
      <c r="GKG23" s="92">
        <v>0</v>
      </c>
      <c r="GKH23" s="92">
        <v>0</v>
      </c>
      <c r="GKI23" s="92">
        <v>0</v>
      </c>
      <c r="GKJ23" s="92">
        <v>0</v>
      </c>
      <c r="GKK23" s="92">
        <v>0</v>
      </c>
      <c r="GKL23" s="92">
        <v>0</v>
      </c>
      <c r="GKM23" s="92">
        <v>0</v>
      </c>
      <c r="GKN23" s="92">
        <v>0</v>
      </c>
      <c r="GKO23" s="92">
        <v>0</v>
      </c>
      <c r="GKP23" s="92">
        <v>0</v>
      </c>
      <c r="GKQ23" s="92">
        <v>0</v>
      </c>
      <c r="GKR23" s="92">
        <v>0</v>
      </c>
      <c r="GKS23" s="92">
        <v>0</v>
      </c>
      <c r="GKT23" s="92">
        <v>0</v>
      </c>
      <c r="GKU23" s="92">
        <v>0</v>
      </c>
      <c r="GKV23" s="92">
        <v>0</v>
      </c>
      <c r="GKW23" s="92">
        <v>0</v>
      </c>
      <c r="GKX23" s="92">
        <v>0</v>
      </c>
      <c r="GKY23" s="92">
        <v>0</v>
      </c>
      <c r="GKZ23" s="92">
        <v>0</v>
      </c>
      <c r="GLA23" s="92">
        <v>0</v>
      </c>
      <c r="GLB23" s="92">
        <v>0</v>
      </c>
      <c r="GLC23" s="92">
        <v>0</v>
      </c>
      <c r="GLD23" s="92">
        <v>0</v>
      </c>
      <c r="GLE23" s="92">
        <v>0</v>
      </c>
      <c r="GLF23" s="92">
        <v>0</v>
      </c>
      <c r="GLG23" s="92">
        <v>0</v>
      </c>
      <c r="GLH23" s="92">
        <v>0</v>
      </c>
      <c r="GLI23" s="92">
        <v>0</v>
      </c>
      <c r="GLJ23" s="92">
        <v>0</v>
      </c>
      <c r="GLK23" s="92">
        <v>0</v>
      </c>
      <c r="GLL23" s="92">
        <v>0</v>
      </c>
      <c r="GLM23" s="92">
        <v>0</v>
      </c>
      <c r="GLN23" s="92">
        <v>0</v>
      </c>
      <c r="GLO23" s="92">
        <v>0</v>
      </c>
      <c r="GLP23" s="92">
        <v>0</v>
      </c>
      <c r="GLQ23" s="92">
        <v>0</v>
      </c>
      <c r="GLR23" s="92">
        <v>0</v>
      </c>
      <c r="GLS23" s="92">
        <v>0</v>
      </c>
      <c r="GLT23" s="92">
        <v>0</v>
      </c>
      <c r="GLU23" s="92">
        <v>0</v>
      </c>
      <c r="GLV23" s="92">
        <v>0</v>
      </c>
      <c r="GLW23" s="92">
        <v>0</v>
      </c>
      <c r="GLX23" s="92">
        <v>0</v>
      </c>
      <c r="GLY23" s="92">
        <v>0</v>
      </c>
      <c r="GLZ23" s="92">
        <v>0</v>
      </c>
      <c r="GMA23" s="92">
        <v>0</v>
      </c>
      <c r="GMB23" s="92">
        <v>0</v>
      </c>
      <c r="GMC23" s="92">
        <v>0</v>
      </c>
      <c r="GMD23" s="92">
        <v>0</v>
      </c>
      <c r="GME23" s="92">
        <v>0</v>
      </c>
      <c r="GMF23" s="92">
        <v>0</v>
      </c>
      <c r="GMG23" s="92">
        <v>0</v>
      </c>
      <c r="GMH23" s="92">
        <v>0</v>
      </c>
      <c r="GMI23" s="92">
        <v>0</v>
      </c>
      <c r="GMJ23" s="92">
        <v>0</v>
      </c>
      <c r="GMK23" s="92">
        <v>0</v>
      </c>
      <c r="GML23" s="92">
        <v>0</v>
      </c>
      <c r="GMM23" s="92">
        <v>0</v>
      </c>
      <c r="GMN23" s="92">
        <v>0</v>
      </c>
      <c r="GMO23" s="92">
        <v>0</v>
      </c>
      <c r="GMP23" s="92">
        <v>0</v>
      </c>
      <c r="GMQ23" s="92">
        <v>0</v>
      </c>
      <c r="GMR23" s="92">
        <v>0</v>
      </c>
      <c r="GMS23" s="92">
        <v>0</v>
      </c>
      <c r="GMT23" s="92">
        <v>0</v>
      </c>
      <c r="GMU23" s="92">
        <v>0</v>
      </c>
      <c r="GMV23" s="92">
        <v>0</v>
      </c>
      <c r="GMW23" s="92">
        <v>0</v>
      </c>
      <c r="GMX23" s="92">
        <v>0</v>
      </c>
      <c r="GMY23" s="92">
        <v>0</v>
      </c>
      <c r="GMZ23" s="92">
        <v>0</v>
      </c>
      <c r="GNA23" s="92">
        <v>0</v>
      </c>
      <c r="GNB23" s="92">
        <v>0</v>
      </c>
      <c r="GNC23" s="92">
        <v>0</v>
      </c>
      <c r="GND23" s="92">
        <v>0</v>
      </c>
      <c r="GNE23" s="92">
        <v>0</v>
      </c>
      <c r="GNF23" s="92">
        <v>0</v>
      </c>
      <c r="GNG23" s="92">
        <v>0</v>
      </c>
      <c r="GNH23" s="92">
        <v>0</v>
      </c>
      <c r="GNI23" s="92">
        <v>0</v>
      </c>
      <c r="GNJ23" s="92">
        <v>0</v>
      </c>
      <c r="GNK23" s="92">
        <v>0</v>
      </c>
      <c r="GNL23" s="92">
        <v>0</v>
      </c>
      <c r="GNM23" s="92">
        <v>0</v>
      </c>
      <c r="GNN23" s="92">
        <v>0</v>
      </c>
      <c r="GNO23" s="92">
        <v>0</v>
      </c>
      <c r="GNP23" s="92">
        <v>0</v>
      </c>
      <c r="GNQ23" s="92">
        <v>0</v>
      </c>
      <c r="GNR23" s="92">
        <v>0</v>
      </c>
      <c r="GNS23" s="92">
        <v>0</v>
      </c>
      <c r="GNT23" s="92">
        <v>0</v>
      </c>
      <c r="GNU23" s="92">
        <v>0</v>
      </c>
      <c r="GNV23" s="92">
        <v>0</v>
      </c>
      <c r="GNW23" s="92">
        <v>0</v>
      </c>
      <c r="GNX23" s="92">
        <v>0</v>
      </c>
      <c r="GNY23" s="92">
        <v>0</v>
      </c>
      <c r="GNZ23" s="92">
        <v>0</v>
      </c>
      <c r="GOA23" s="92">
        <v>0</v>
      </c>
      <c r="GOB23" s="92">
        <v>0</v>
      </c>
      <c r="GOC23" s="92">
        <v>0</v>
      </c>
      <c r="GOD23" s="92">
        <v>0</v>
      </c>
      <c r="GOE23" s="92">
        <v>0</v>
      </c>
      <c r="GOF23" s="92">
        <v>0</v>
      </c>
      <c r="GOG23" s="92">
        <v>0</v>
      </c>
      <c r="GOH23" s="92">
        <v>0</v>
      </c>
      <c r="GOI23" s="92">
        <v>0</v>
      </c>
      <c r="GOJ23" s="92">
        <v>0</v>
      </c>
      <c r="GOK23" s="92">
        <v>0</v>
      </c>
      <c r="GOL23" s="92">
        <v>0</v>
      </c>
      <c r="GOM23" s="92">
        <v>0</v>
      </c>
      <c r="GON23" s="92">
        <v>0</v>
      </c>
      <c r="GOO23" s="92">
        <v>0</v>
      </c>
      <c r="GOP23" s="92">
        <v>0</v>
      </c>
      <c r="GOQ23" s="92">
        <v>0</v>
      </c>
      <c r="GOR23" s="92">
        <v>0</v>
      </c>
      <c r="GOS23" s="92">
        <v>0</v>
      </c>
      <c r="GOT23" s="92">
        <v>0</v>
      </c>
      <c r="GOU23" s="92">
        <v>0</v>
      </c>
      <c r="GOV23" s="92">
        <v>0</v>
      </c>
      <c r="GOW23" s="92">
        <v>0</v>
      </c>
      <c r="GOX23" s="92">
        <v>0</v>
      </c>
      <c r="GOY23" s="92">
        <v>0</v>
      </c>
      <c r="GOZ23" s="92">
        <v>0</v>
      </c>
      <c r="GPA23" s="92">
        <v>0</v>
      </c>
      <c r="GPB23" s="92">
        <v>0</v>
      </c>
      <c r="GPC23" s="92">
        <v>0</v>
      </c>
      <c r="GPD23" s="92">
        <v>0</v>
      </c>
      <c r="GPE23" s="92">
        <v>0</v>
      </c>
      <c r="GPF23" s="92">
        <v>0</v>
      </c>
      <c r="GPG23" s="92">
        <v>0</v>
      </c>
      <c r="GPH23" s="92">
        <v>0</v>
      </c>
      <c r="GPI23" s="92">
        <v>0</v>
      </c>
      <c r="GPJ23" s="92">
        <v>0</v>
      </c>
      <c r="GPK23" s="92">
        <v>0</v>
      </c>
      <c r="GPL23" s="92">
        <v>0</v>
      </c>
      <c r="GPM23" s="92">
        <v>0</v>
      </c>
      <c r="GPN23" s="92">
        <v>0</v>
      </c>
      <c r="GPO23" s="92">
        <v>0</v>
      </c>
      <c r="GPP23" s="92">
        <v>0</v>
      </c>
      <c r="GPQ23" s="92">
        <v>0</v>
      </c>
      <c r="GPR23" s="92">
        <v>0</v>
      </c>
      <c r="GPS23" s="92">
        <v>0</v>
      </c>
      <c r="GPT23" s="92">
        <v>0</v>
      </c>
      <c r="GPU23" s="92">
        <v>0</v>
      </c>
      <c r="GPV23" s="92">
        <v>0</v>
      </c>
      <c r="GPW23" s="92">
        <v>0</v>
      </c>
      <c r="GPX23" s="92">
        <v>0</v>
      </c>
      <c r="GPY23" s="92">
        <v>0</v>
      </c>
      <c r="GPZ23" s="92">
        <v>0</v>
      </c>
      <c r="GQA23" s="92">
        <v>0</v>
      </c>
      <c r="GQB23" s="92">
        <v>0</v>
      </c>
      <c r="GQC23" s="92">
        <v>0</v>
      </c>
      <c r="GQD23" s="92">
        <v>0</v>
      </c>
      <c r="GQE23" s="92">
        <v>0</v>
      </c>
      <c r="GQF23" s="92">
        <v>0</v>
      </c>
      <c r="GQG23" s="92">
        <v>0</v>
      </c>
      <c r="GQH23" s="92">
        <v>0</v>
      </c>
      <c r="GQI23" s="92">
        <v>0</v>
      </c>
      <c r="GQJ23" s="92">
        <v>0</v>
      </c>
      <c r="GQK23" s="92">
        <v>0</v>
      </c>
      <c r="GQL23" s="92">
        <v>0</v>
      </c>
      <c r="GQM23" s="92">
        <v>0</v>
      </c>
      <c r="GQN23" s="92">
        <v>0</v>
      </c>
      <c r="GQO23" s="92">
        <v>0</v>
      </c>
      <c r="GQP23" s="92">
        <v>0</v>
      </c>
      <c r="GQQ23" s="92">
        <v>0</v>
      </c>
      <c r="GQR23" s="92">
        <v>0</v>
      </c>
      <c r="GQS23" s="92">
        <v>0</v>
      </c>
      <c r="GQT23" s="92">
        <v>0</v>
      </c>
      <c r="GQU23" s="92">
        <v>0</v>
      </c>
      <c r="GQV23" s="92">
        <v>0</v>
      </c>
      <c r="GQW23" s="92">
        <v>0</v>
      </c>
      <c r="GQX23" s="92">
        <v>0</v>
      </c>
      <c r="GQY23" s="92">
        <v>0</v>
      </c>
      <c r="GQZ23" s="92">
        <v>0</v>
      </c>
      <c r="GRA23" s="92">
        <v>0</v>
      </c>
      <c r="GRB23" s="92">
        <v>0</v>
      </c>
      <c r="GRC23" s="92">
        <v>0</v>
      </c>
      <c r="GRD23" s="92">
        <v>0</v>
      </c>
      <c r="GRE23" s="92">
        <v>0</v>
      </c>
      <c r="GRF23" s="92">
        <v>0</v>
      </c>
      <c r="GRG23" s="92">
        <v>0</v>
      </c>
      <c r="GRH23" s="92">
        <v>0</v>
      </c>
      <c r="GRI23" s="92">
        <v>0</v>
      </c>
      <c r="GRJ23" s="92">
        <v>0</v>
      </c>
      <c r="GRK23" s="92">
        <v>0</v>
      </c>
      <c r="GRL23" s="92">
        <v>0</v>
      </c>
      <c r="GRM23" s="92">
        <v>0</v>
      </c>
      <c r="GRN23" s="92">
        <v>0</v>
      </c>
      <c r="GRO23" s="92">
        <v>0</v>
      </c>
      <c r="GRP23" s="92">
        <v>0</v>
      </c>
      <c r="GRQ23" s="92">
        <v>0</v>
      </c>
      <c r="GRR23" s="92">
        <v>0</v>
      </c>
      <c r="GRS23" s="92">
        <v>0</v>
      </c>
      <c r="GRT23" s="92">
        <v>0</v>
      </c>
      <c r="GRU23" s="92">
        <v>0</v>
      </c>
      <c r="GRV23" s="92">
        <v>0</v>
      </c>
      <c r="GRW23" s="92">
        <v>0</v>
      </c>
      <c r="GRX23" s="92">
        <v>0</v>
      </c>
      <c r="GRY23" s="92">
        <v>0</v>
      </c>
      <c r="GRZ23" s="92">
        <v>0</v>
      </c>
      <c r="GSA23" s="92">
        <v>0</v>
      </c>
      <c r="GSB23" s="92">
        <v>0</v>
      </c>
      <c r="GSC23" s="92">
        <v>0</v>
      </c>
      <c r="GSD23" s="92">
        <v>0</v>
      </c>
      <c r="GSE23" s="92">
        <v>0</v>
      </c>
      <c r="GSF23" s="92">
        <v>0</v>
      </c>
      <c r="GSG23" s="92">
        <v>0</v>
      </c>
      <c r="GSH23" s="92">
        <v>0</v>
      </c>
      <c r="GSI23" s="92">
        <v>0</v>
      </c>
      <c r="GSJ23" s="92">
        <v>0</v>
      </c>
      <c r="GSK23" s="92">
        <v>0</v>
      </c>
      <c r="GSL23" s="92">
        <v>0</v>
      </c>
      <c r="GSM23" s="92">
        <v>0</v>
      </c>
      <c r="GSN23" s="92">
        <v>0</v>
      </c>
      <c r="GSO23" s="92">
        <v>0</v>
      </c>
      <c r="GSP23" s="92">
        <v>0</v>
      </c>
      <c r="GSQ23" s="92">
        <v>0</v>
      </c>
      <c r="GSR23" s="92">
        <v>0</v>
      </c>
      <c r="GSS23" s="92">
        <v>0</v>
      </c>
      <c r="GST23" s="92">
        <v>0</v>
      </c>
      <c r="GSU23" s="92">
        <v>0</v>
      </c>
      <c r="GSV23" s="92">
        <v>0</v>
      </c>
      <c r="GSW23" s="92">
        <v>0</v>
      </c>
      <c r="GSX23" s="92">
        <v>0</v>
      </c>
      <c r="GSY23" s="92">
        <v>0</v>
      </c>
      <c r="GSZ23" s="92">
        <v>0</v>
      </c>
      <c r="GTA23" s="92">
        <v>0</v>
      </c>
      <c r="GTB23" s="92">
        <v>0</v>
      </c>
      <c r="GTC23" s="92">
        <v>0</v>
      </c>
      <c r="GTD23" s="92">
        <v>0</v>
      </c>
      <c r="GTE23" s="92">
        <v>0</v>
      </c>
      <c r="GTF23" s="92">
        <v>0</v>
      </c>
      <c r="GTG23" s="92">
        <v>0</v>
      </c>
      <c r="GTH23" s="92">
        <v>0</v>
      </c>
      <c r="GTI23" s="92">
        <v>0</v>
      </c>
      <c r="GTJ23" s="92">
        <v>0</v>
      </c>
      <c r="GTK23" s="92">
        <v>0</v>
      </c>
      <c r="GTL23" s="92">
        <v>0</v>
      </c>
      <c r="GTM23" s="92">
        <v>0</v>
      </c>
      <c r="GTN23" s="92">
        <v>0</v>
      </c>
      <c r="GTO23" s="92">
        <v>0</v>
      </c>
      <c r="GTP23" s="92">
        <v>0</v>
      </c>
      <c r="GTQ23" s="92">
        <v>0</v>
      </c>
      <c r="GTR23" s="92">
        <v>0</v>
      </c>
      <c r="GTS23" s="92">
        <v>0</v>
      </c>
      <c r="GTT23" s="92">
        <v>0</v>
      </c>
      <c r="GTU23" s="92">
        <v>0</v>
      </c>
      <c r="GTV23" s="92">
        <v>0</v>
      </c>
      <c r="GTW23" s="92">
        <v>0</v>
      </c>
      <c r="GTX23" s="92">
        <v>0</v>
      </c>
      <c r="GTY23" s="92">
        <v>0</v>
      </c>
      <c r="GTZ23" s="92">
        <v>0</v>
      </c>
      <c r="GUA23" s="92">
        <v>0</v>
      </c>
      <c r="GUB23" s="92">
        <v>0</v>
      </c>
      <c r="GUC23" s="92">
        <v>0</v>
      </c>
      <c r="GUD23" s="92">
        <v>0</v>
      </c>
      <c r="GUE23" s="92">
        <v>0</v>
      </c>
      <c r="GUF23" s="92">
        <v>0</v>
      </c>
      <c r="GUG23" s="92">
        <v>0</v>
      </c>
      <c r="GUH23" s="92">
        <v>0</v>
      </c>
      <c r="GUI23" s="92">
        <v>0</v>
      </c>
      <c r="GUJ23" s="92">
        <v>0</v>
      </c>
      <c r="GUK23" s="92">
        <v>0</v>
      </c>
      <c r="GUL23" s="92">
        <v>0</v>
      </c>
      <c r="GUM23" s="92">
        <v>0</v>
      </c>
      <c r="GUN23" s="92">
        <v>0</v>
      </c>
      <c r="GUO23" s="92">
        <v>0</v>
      </c>
      <c r="GUP23" s="92">
        <v>0</v>
      </c>
      <c r="GUQ23" s="92">
        <v>0</v>
      </c>
      <c r="GUR23" s="92">
        <v>0</v>
      </c>
      <c r="GUS23" s="92">
        <v>0</v>
      </c>
      <c r="GUT23" s="92">
        <v>0</v>
      </c>
      <c r="GUU23" s="92">
        <v>0</v>
      </c>
      <c r="GUV23" s="92">
        <v>0</v>
      </c>
      <c r="GUW23" s="92">
        <v>0</v>
      </c>
      <c r="GUX23" s="92">
        <v>0</v>
      </c>
      <c r="GUY23" s="92">
        <v>0</v>
      </c>
      <c r="GUZ23" s="92">
        <v>0</v>
      </c>
      <c r="GVA23" s="92">
        <v>0</v>
      </c>
      <c r="GVB23" s="92">
        <v>0</v>
      </c>
      <c r="GVC23" s="92">
        <v>0</v>
      </c>
      <c r="GVD23" s="92">
        <v>0</v>
      </c>
      <c r="GVE23" s="92">
        <v>0</v>
      </c>
      <c r="GVF23" s="92">
        <v>0</v>
      </c>
      <c r="GVG23" s="92">
        <v>0</v>
      </c>
      <c r="GVH23" s="92">
        <v>0</v>
      </c>
      <c r="GVI23" s="92">
        <v>0</v>
      </c>
      <c r="GVJ23" s="92">
        <v>0</v>
      </c>
      <c r="GVK23" s="92">
        <v>0</v>
      </c>
      <c r="GVL23" s="92">
        <v>0</v>
      </c>
      <c r="GVM23" s="92">
        <v>0</v>
      </c>
      <c r="GVN23" s="92">
        <v>0</v>
      </c>
      <c r="GVO23" s="92">
        <v>0</v>
      </c>
      <c r="GVP23" s="92">
        <v>0</v>
      </c>
      <c r="GVQ23" s="92">
        <v>0</v>
      </c>
      <c r="GVR23" s="92">
        <v>0</v>
      </c>
      <c r="GVS23" s="92">
        <v>0</v>
      </c>
      <c r="GVT23" s="92">
        <v>0</v>
      </c>
      <c r="GVU23" s="92">
        <v>0</v>
      </c>
      <c r="GVV23" s="92">
        <v>0</v>
      </c>
      <c r="GVW23" s="92">
        <v>0</v>
      </c>
      <c r="GVX23" s="92">
        <v>0</v>
      </c>
      <c r="GVY23" s="92">
        <v>0</v>
      </c>
      <c r="GVZ23" s="92">
        <v>0</v>
      </c>
      <c r="GWA23" s="92">
        <v>0</v>
      </c>
      <c r="GWB23" s="92">
        <v>0</v>
      </c>
      <c r="GWC23" s="92">
        <v>0</v>
      </c>
      <c r="GWD23" s="92">
        <v>0</v>
      </c>
      <c r="GWE23" s="92">
        <v>0</v>
      </c>
      <c r="GWF23" s="92">
        <v>0</v>
      </c>
      <c r="GWG23" s="92">
        <v>0</v>
      </c>
      <c r="GWH23" s="92">
        <v>0</v>
      </c>
      <c r="GWI23" s="92">
        <v>0</v>
      </c>
      <c r="GWJ23" s="92">
        <v>0</v>
      </c>
      <c r="GWK23" s="92">
        <v>0</v>
      </c>
      <c r="GWL23" s="92">
        <v>0</v>
      </c>
      <c r="GWM23" s="92">
        <v>0</v>
      </c>
      <c r="GWN23" s="92">
        <v>0</v>
      </c>
      <c r="GWO23" s="92">
        <v>0</v>
      </c>
      <c r="GWP23" s="92">
        <v>0</v>
      </c>
      <c r="GWQ23" s="92">
        <v>0</v>
      </c>
      <c r="GWR23" s="92">
        <v>0</v>
      </c>
      <c r="GWS23" s="92">
        <v>0</v>
      </c>
      <c r="GWT23" s="92">
        <v>0</v>
      </c>
      <c r="GWU23" s="92">
        <v>0</v>
      </c>
      <c r="GWV23" s="92">
        <v>0</v>
      </c>
      <c r="GWW23" s="92">
        <v>0</v>
      </c>
      <c r="GWX23" s="92">
        <v>0</v>
      </c>
      <c r="GWY23" s="92">
        <v>0</v>
      </c>
      <c r="GWZ23" s="92">
        <v>0</v>
      </c>
      <c r="GXA23" s="92">
        <v>0</v>
      </c>
      <c r="GXB23" s="92">
        <v>0</v>
      </c>
      <c r="GXC23" s="92">
        <v>0</v>
      </c>
      <c r="GXD23" s="92">
        <v>0</v>
      </c>
      <c r="GXE23" s="92">
        <v>0</v>
      </c>
      <c r="GXF23" s="92">
        <v>0</v>
      </c>
      <c r="GXG23" s="92">
        <v>0</v>
      </c>
      <c r="GXH23" s="92">
        <v>0</v>
      </c>
      <c r="GXI23" s="92">
        <v>0</v>
      </c>
      <c r="GXJ23" s="92">
        <v>0</v>
      </c>
      <c r="GXK23" s="92">
        <v>0</v>
      </c>
      <c r="GXL23" s="92">
        <v>0</v>
      </c>
      <c r="GXM23" s="92">
        <v>0</v>
      </c>
      <c r="GXN23" s="92">
        <v>0</v>
      </c>
      <c r="GXO23" s="92">
        <v>0</v>
      </c>
      <c r="GXP23" s="92">
        <v>0</v>
      </c>
      <c r="GXQ23" s="92">
        <v>0</v>
      </c>
      <c r="GXR23" s="92">
        <v>0</v>
      </c>
      <c r="GXS23" s="92">
        <v>0</v>
      </c>
      <c r="GXT23" s="92">
        <v>0</v>
      </c>
      <c r="GXU23" s="92">
        <v>0</v>
      </c>
      <c r="GXV23" s="92">
        <v>0</v>
      </c>
      <c r="GXW23" s="92">
        <v>0</v>
      </c>
      <c r="GXX23" s="92">
        <v>0</v>
      </c>
      <c r="GXY23" s="92">
        <v>0</v>
      </c>
      <c r="GXZ23" s="92">
        <v>0</v>
      </c>
      <c r="GYA23" s="92">
        <v>0</v>
      </c>
      <c r="GYB23" s="92">
        <v>0</v>
      </c>
      <c r="GYC23" s="92">
        <v>0</v>
      </c>
      <c r="GYD23" s="92">
        <v>0</v>
      </c>
      <c r="GYE23" s="92">
        <v>0</v>
      </c>
      <c r="GYF23" s="92">
        <v>0</v>
      </c>
      <c r="GYG23" s="92">
        <v>0</v>
      </c>
      <c r="GYH23" s="92">
        <v>0</v>
      </c>
      <c r="GYI23" s="92">
        <v>0</v>
      </c>
      <c r="GYJ23" s="92">
        <v>0</v>
      </c>
      <c r="GYK23" s="92">
        <v>0</v>
      </c>
      <c r="GYL23" s="92">
        <v>0</v>
      </c>
      <c r="GYM23" s="92">
        <v>0</v>
      </c>
      <c r="GYN23" s="92">
        <v>0</v>
      </c>
      <c r="GYO23" s="92">
        <v>0</v>
      </c>
      <c r="GYP23" s="92">
        <v>0</v>
      </c>
      <c r="GYQ23" s="92">
        <v>0</v>
      </c>
      <c r="GYR23" s="92">
        <v>0</v>
      </c>
      <c r="GYS23" s="92">
        <v>0</v>
      </c>
      <c r="GYT23" s="92">
        <v>0</v>
      </c>
      <c r="GYU23" s="92">
        <v>0</v>
      </c>
      <c r="GYV23" s="92">
        <v>0</v>
      </c>
      <c r="GYW23" s="92">
        <v>0</v>
      </c>
      <c r="GYX23" s="92">
        <v>0</v>
      </c>
      <c r="GYY23" s="92">
        <v>0</v>
      </c>
      <c r="GYZ23" s="92">
        <v>0</v>
      </c>
      <c r="GZA23" s="92">
        <v>0</v>
      </c>
      <c r="GZB23" s="92">
        <v>0</v>
      </c>
      <c r="GZC23" s="92">
        <v>0</v>
      </c>
      <c r="GZD23" s="92">
        <v>0</v>
      </c>
      <c r="GZE23" s="92">
        <v>0</v>
      </c>
      <c r="GZF23" s="92">
        <v>0</v>
      </c>
      <c r="GZG23" s="92">
        <v>0</v>
      </c>
      <c r="GZH23" s="92">
        <v>0</v>
      </c>
      <c r="GZI23" s="92">
        <v>0</v>
      </c>
      <c r="GZJ23" s="92">
        <v>0</v>
      </c>
      <c r="GZK23" s="92">
        <v>0</v>
      </c>
      <c r="GZL23" s="92">
        <v>0</v>
      </c>
      <c r="GZM23" s="92">
        <v>0</v>
      </c>
      <c r="GZN23" s="92">
        <v>0</v>
      </c>
      <c r="GZO23" s="92">
        <v>0</v>
      </c>
      <c r="GZP23" s="92">
        <v>0</v>
      </c>
      <c r="GZQ23" s="92">
        <v>0</v>
      </c>
      <c r="GZR23" s="92">
        <v>0</v>
      </c>
      <c r="GZS23" s="92">
        <v>0</v>
      </c>
      <c r="GZT23" s="92">
        <v>0</v>
      </c>
      <c r="GZU23" s="92">
        <v>0</v>
      </c>
      <c r="GZV23" s="92">
        <v>0</v>
      </c>
      <c r="GZW23" s="92">
        <v>0</v>
      </c>
      <c r="GZX23" s="92">
        <v>0</v>
      </c>
      <c r="GZY23" s="92">
        <v>0</v>
      </c>
      <c r="GZZ23" s="92">
        <v>0</v>
      </c>
      <c r="HAA23" s="92">
        <v>0</v>
      </c>
      <c r="HAB23" s="92">
        <v>0</v>
      </c>
      <c r="HAC23" s="92">
        <v>0</v>
      </c>
      <c r="HAD23" s="92">
        <v>0</v>
      </c>
      <c r="HAE23" s="92">
        <v>0</v>
      </c>
      <c r="HAF23" s="92">
        <v>0</v>
      </c>
      <c r="HAG23" s="92">
        <v>0</v>
      </c>
      <c r="HAH23" s="92">
        <v>0</v>
      </c>
      <c r="HAI23" s="92">
        <v>0</v>
      </c>
      <c r="HAJ23" s="92">
        <v>0</v>
      </c>
      <c r="HAK23" s="92">
        <v>0</v>
      </c>
      <c r="HAL23" s="92">
        <v>0</v>
      </c>
      <c r="HAM23" s="92">
        <v>0</v>
      </c>
      <c r="HAN23" s="92">
        <v>0</v>
      </c>
      <c r="HAO23" s="92">
        <v>0</v>
      </c>
      <c r="HAP23" s="92">
        <v>0</v>
      </c>
      <c r="HAQ23" s="92">
        <v>0</v>
      </c>
      <c r="HAR23" s="92">
        <v>0</v>
      </c>
      <c r="HAS23" s="92">
        <v>0</v>
      </c>
      <c r="HAT23" s="92">
        <v>0</v>
      </c>
      <c r="HAU23" s="92">
        <v>0</v>
      </c>
      <c r="HAV23" s="92">
        <v>0</v>
      </c>
      <c r="HAW23" s="92">
        <v>0</v>
      </c>
      <c r="HAX23" s="92">
        <v>0</v>
      </c>
      <c r="HAY23" s="92">
        <v>0</v>
      </c>
      <c r="HAZ23" s="92">
        <v>0</v>
      </c>
      <c r="HBA23" s="92">
        <v>0</v>
      </c>
      <c r="HBB23" s="92">
        <v>0</v>
      </c>
      <c r="HBC23" s="92">
        <v>0</v>
      </c>
      <c r="HBD23" s="92">
        <v>0</v>
      </c>
      <c r="HBE23" s="92">
        <v>0</v>
      </c>
      <c r="HBF23" s="92">
        <v>0</v>
      </c>
      <c r="HBG23" s="92">
        <v>0</v>
      </c>
      <c r="HBH23" s="92">
        <v>0</v>
      </c>
      <c r="HBI23" s="92">
        <v>0</v>
      </c>
      <c r="HBJ23" s="92">
        <v>0</v>
      </c>
      <c r="HBK23" s="92">
        <v>0</v>
      </c>
      <c r="HBL23" s="92">
        <v>0</v>
      </c>
      <c r="HBM23" s="92">
        <v>0</v>
      </c>
      <c r="HBN23" s="92">
        <v>0</v>
      </c>
      <c r="HBO23" s="92">
        <v>0</v>
      </c>
      <c r="HBP23" s="92">
        <v>0</v>
      </c>
      <c r="HBQ23" s="92">
        <v>0</v>
      </c>
      <c r="HBR23" s="92">
        <v>0</v>
      </c>
      <c r="HBS23" s="92">
        <v>0</v>
      </c>
      <c r="HBT23" s="92">
        <v>0</v>
      </c>
      <c r="HBU23" s="92">
        <v>0</v>
      </c>
      <c r="HBV23" s="92">
        <v>0</v>
      </c>
      <c r="HBW23" s="92">
        <v>0</v>
      </c>
      <c r="HBX23" s="92">
        <v>0</v>
      </c>
      <c r="HBY23" s="92">
        <v>0</v>
      </c>
      <c r="HBZ23" s="92">
        <v>0</v>
      </c>
      <c r="HCA23" s="92">
        <v>0</v>
      </c>
      <c r="HCB23" s="92">
        <v>0</v>
      </c>
      <c r="HCC23" s="92">
        <v>0</v>
      </c>
      <c r="HCD23" s="92">
        <v>0</v>
      </c>
      <c r="HCE23" s="92">
        <v>0</v>
      </c>
      <c r="HCF23" s="92">
        <v>0</v>
      </c>
      <c r="HCG23" s="92">
        <v>0</v>
      </c>
      <c r="HCH23" s="92">
        <v>0</v>
      </c>
      <c r="HCI23" s="92">
        <v>0</v>
      </c>
      <c r="HCJ23" s="92">
        <v>0</v>
      </c>
      <c r="HCK23" s="92">
        <v>0</v>
      </c>
      <c r="HCL23" s="92">
        <v>0</v>
      </c>
      <c r="HCM23" s="92">
        <v>0</v>
      </c>
      <c r="HCN23" s="92">
        <v>0</v>
      </c>
      <c r="HCO23" s="92">
        <v>0</v>
      </c>
      <c r="HCP23" s="92">
        <v>0</v>
      </c>
      <c r="HCQ23" s="92">
        <v>0</v>
      </c>
      <c r="HCR23" s="92">
        <v>0</v>
      </c>
      <c r="HCS23" s="92">
        <v>0</v>
      </c>
      <c r="HCT23" s="92">
        <v>0</v>
      </c>
      <c r="HCU23" s="92">
        <v>0</v>
      </c>
      <c r="HCV23" s="92">
        <v>0</v>
      </c>
      <c r="HCW23" s="92">
        <v>0</v>
      </c>
      <c r="HCX23" s="92">
        <v>0</v>
      </c>
      <c r="HCY23" s="92">
        <v>0</v>
      </c>
      <c r="HCZ23" s="92">
        <v>0</v>
      </c>
      <c r="HDA23" s="92">
        <v>0</v>
      </c>
      <c r="HDB23" s="92">
        <v>0</v>
      </c>
      <c r="HDC23" s="92">
        <v>0</v>
      </c>
      <c r="HDD23" s="92">
        <v>0</v>
      </c>
      <c r="HDE23" s="92">
        <v>0</v>
      </c>
      <c r="HDF23" s="92">
        <v>0</v>
      </c>
      <c r="HDG23" s="92">
        <v>0</v>
      </c>
      <c r="HDH23" s="92">
        <v>0</v>
      </c>
      <c r="HDI23" s="92">
        <v>0</v>
      </c>
      <c r="HDJ23" s="92">
        <v>0</v>
      </c>
      <c r="HDK23" s="92">
        <v>0</v>
      </c>
      <c r="HDL23" s="92">
        <v>0</v>
      </c>
      <c r="HDM23" s="92">
        <v>0</v>
      </c>
      <c r="HDN23" s="92">
        <v>0</v>
      </c>
      <c r="HDO23" s="92">
        <v>0</v>
      </c>
      <c r="HDP23" s="92">
        <v>0</v>
      </c>
      <c r="HDQ23" s="92">
        <v>0</v>
      </c>
      <c r="HDR23" s="92">
        <v>0</v>
      </c>
      <c r="HDS23" s="92">
        <v>0</v>
      </c>
      <c r="HDT23" s="92">
        <v>0</v>
      </c>
      <c r="HDU23" s="92">
        <v>0</v>
      </c>
      <c r="HDV23" s="92">
        <v>0</v>
      </c>
      <c r="HDW23" s="92">
        <v>0</v>
      </c>
      <c r="HDX23" s="92">
        <v>0</v>
      </c>
      <c r="HDY23" s="92">
        <v>0</v>
      </c>
      <c r="HDZ23" s="92">
        <v>0</v>
      </c>
      <c r="HEA23" s="92">
        <v>0</v>
      </c>
      <c r="HEB23" s="92">
        <v>0</v>
      </c>
      <c r="HEC23" s="92">
        <v>0</v>
      </c>
      <c r="HED23" s="92">
        <v>0</v>
      </c>
      <c r="HEE23" s="92">
        <v>0</v>
      </c>
      <c r="HEF23" s="92">
        <v>0</v>
      </c>
      <c r="HEG23" s="92">
        <v>0</v>
      </c>
      <c r="HEH23" s="92">
        <v>0</v>
      </c>
      <c r="HEI23" s="92">
        <v>0</v>
      </c>
      <c r="HEJ23" s="92">
        <v>0</v>
      </c>
      <c r="HEK23" s="92">
        <v>0</v>
      </c>
      <c r="HEL23" s="92">
        <v>0</v>
      </c>
      <c r="HEM23" s="92">
        <v>0</v>
      </c>
      <c r="HEN23" s="92">
        <v>0</v>
      </c>
      <c r="HEO23" s="92">
        <v>0</v>
      </c>
      <c r="HEP23" s="92">
        <v>0</v>
      </c>
      <c r="HEQ23" s="92">
        <v>0</v>
      </c>
      <c r="HER23" s="92">
        <v>0</v>
      </c>
      <c r="HES23" s="92">
        <v>0</v>
      </c>
      <c r="HET23" s="92">
        <v>0</v>
      </c>
      <c r="HEU23" s="92">
        <v>0</v>
      </c>
      <c r="HEV23" s="92">
        <v>0</v>
      </c>
      <c r="HEW23" s="92">
        <v>0</v>
      </c>
      <c r="HEX23" s="92">
        <v>0</v>
      </c>
      <c r="HEY23" s="92">
        <v>0</v>
      </c>
      <c r="HEZ23" s="92">
        <v>0</v>
      </c>
      <c r="HFA23" s="92">
        <v>0</v>
      </c>
      <c r="HFB23" s="92">
        <v>0</v>
      </c>
      <c r="HFC23" s="92">
        <v>0</v>
      </c>
      <c r="HFD23" s="92">
        <v>0</v>
      </c>
      <c r="HFE23" s="92">
        <v>0</v>
      </c>
      <c r="HFF23" s="92">
        <v>0</v>
      </c>
      <c r="HFG23" s="92">
        <v>0</v>
      </c>
      <c r="HFH23" s="92">
        <v>0</v>
      </c>
      <c r="HFI23" s="92">
        <v>0</v>
      </c>
      <c r="HFJ23" s="92">
        <v>0</v>
      </c>
      <c r="HFK23" s="92">
        <v>0</v>
      </c>
      <c r="HFL23" s="92">
        <v>0</v>
      </c>
      <c r="HFM23" s="92">
        <v>0</v>
      </c>
      <c r="HFN23" s="92">
        <v>0</v>
      </c>
      <c r="HFO23" s="92">
        <v>0</v>
      </c>
      <c r="HFP23" s="92">
        <v>0</v>
      </c>
      <c r="HFQ23" s="92">
        <v>0</v>
      </c>
      <c r="HFR23" s="92">
        <v>0</v>
      </c>
      <c r="HFS23" s="92">
        <v>0</v>
      </c>
      <c r="HFT23" s="92">
        <v>0</v>
      </c>
      <c r="HFU23" s="92">
        <v>0</v>
      </c>
      <c r="HFV23" s="92">
        <v>0</v>
      </c>
      <c r="HFW23" s="92">
        <v>0</v>
      </c>
      <c r="HFX23" s="92">
        <v>0</v>
      </c>
      <c r="HFY23" s="92">
        <v>0</v>
      </c>
      <c r="HFZ23" s="92">
        <v>0</v>
      </c>
      <c r="HGA23" s="92">
        <v>0</v>
      </c>
      <c r="HGB23" s="92">
        <v>0</v>
      </c>
      <c r="HGC23" s="92">
        <v>0</v>
      </c>
      <c r="HGD23" s="92">
        <v>0</v>
      </c>
      <c r="HGE23" s="92">
        <v>0</v>
      </c>
      <c r="HGF23" s="92">
        <v>0</v>
      </c>
      <c r="HGG23" s="92">
        <v>0</v>
      </c>
      <c r="HGH23" s="92">
        <v>0</v>
      </c>
      <c r="HGI23" s="92">
        <v>0</v>
      </c>
      <c r="HGJ23" s="92">
        <v>0</v>
      </c>
      <c r="HGK23" s="92">
        <v>0</v>
      </c>
      <c r="HGL23" s="92">
        <v>0</v>
      </c>
      <c r="HGM23" s="92">
        <v>0</v>
      </c>
      <c r="HGN23" s="92">
        <v>0</v>
      </c>
      <c r="HGO23" s="92">
        <v>0</v>
      </c>
      <c r="HGP23" s="92">
        <v>0</v>
      </c>
      <c r="HGQ23" s="92">
        <v>0</v>
      </c>
      <c r="HGR23" s="92">
        <v>0</v>
      </c>
      <c r="HGS23" s="92">
        <v>0</v>
      </c>
      <c r="HGT23" s="92">
        <v>0</v>
      </c>
      <c r="HGU23" s="92">
        <v>0</v>
      </c>
      <c r="HGV23" s="92">
        <v>0</v>
      </c>
      <c r="HGW23" s="92">
        <v>0</v>
      </c>
      <c r="HGX23" s="92">
        <v>0</v>
      </c>
      <c r="HGY23" s="92">
        <v>0</v>
      </c>
      <c r="HGZ23" s="92">
        <v>0</v>
      </c>
      <c r="HHA23" s="92">
        <v>0</v>
      </c>
      <c r="HHB23" s="92">
        <v>0</v>
      </c>
      <c r="HHC23" s="92">
        <v>0</v>
      </c>
      <c r="HHD23" s="92">
        <v>0</v>
      </c>
      <c r="HHE23" s="92">
        <v>0</v>
      </c>
      <c r="HHF23" s="92">
        <v>0</v>
      </c>
      <c r="HHG23" s="92">
        <v>0</v>
      </c>
      <c r="HHH23" s="92">
        <v>0</v>
      </c>
      <c r="HHI23" s="92">
        <v>0</v>
      </c>
      <c r="HHJ23" s="92">
        <v>0</v>
      </c>
      <c r="HHK23" s="92">
        <v>0</v>
      </c>
      <c r="HHL23" s="92">
        <v>0</v>
      </c>
      <c r="HHM23" s="92">
        <v>0</v>
      </c>
      <c r="HHN23" s="92">
        <v>0</v>
      </c>
      <c r="HHO23" s="92">
        <v>0</v>
      </c>
      <c r="HHP23" s="92">
        <v>0</v>
      </c>
      <c r="HHQ23" s="92">
        <v>0</v>
      </c>
      <c r="HHR23" s="92">
        <v>0</v>
      </c>
      <c r="HHS23" s="92">
        <v>0</v>
      </c>
      <c r="HHT23" s="92">
        <v>0</v>
      </c>
      <c r="HHU23" s="92">
        <v>0</v>
      </c>
      <c r="HHV23" s="92">
        <v>0</v>
      </c>
      <c r="HHW23" s="92">
        <v>0</v>
      </c>
      <c r="HHX23" s="92">
        <v>0</v>
      </c>
      <c r="HHY23" s="92">
        <v>0</v>
      </c>
      <c r="HHZ23" s="92">
        <v>0</v>
      </c>
      <c r="HIA23" s="92">
        <v>0</v>
      </c>
      <c r="HIB23" s="92">
        <v>0</v>
      </c>
      <c r="HIC23" s="92">
        <v>0</v>
      </c>
      <c r="HID23" s="92">
        <v>0</v>
      </c>
      <c r="HIE23" s="92">
        <v>0</v>
      </c>
      <c r="HIF23" s="92">
        <v>0</v>
      </c>
      <c r="HIG23" s="92">
        <v>0</v>
      </c>
      <c r="HIH23" s="92">
        <v>0</v>
      </c>
      <c r="HII23" s="92">
        <v>0</v>
      </c>
      <c r="HIJ23" s="92">
        <v>0</v>
      </c>
      <c r="HIK23" s="92">
        <v>0</v>
      </c>
      <c r="HIL23" s="92">
        <v>0</v>
      </c>
      <c r="HIM23" s="92">
        <v>0</v>
      </c>
      <c r="HIN23" s="92">
        <v>0</v>
      </c>
      <c r="HIO23" s="92">
        <v>0</v>
      </c>
      <c r="HIP23" s="92">
        <v>0</v>
      </c>
      <c r="HIQ23" s="92">
        <v>0</v>
      </c>
      <c r="HIR23" s="92">
        <v>0</v>
      </c>
      <c r="HIS23" s="92">
        <v>0</v>
      </c>
      <c r="HIT23" s="92">
        <v>0</v>
      </c>
      <c r="HIU23" s="92">
        <v>0</v>
      </c>
      <c r="HIV23" s="92">
        <v>0</v>
      </c>
      <c r="HIW23" s="92">
        <v>0</v>
      </c>
      <c r="HIX23" s="92">
        <v>0</v>
      </c>
      <c r="HIY23" s="92">
        <v>0</v>
      </c>
      <c r="HIZ23" s="92">
        <v>0</v>
      </c>
      <c r="HJA23" s="92">
        <v>0</v>
      </c>
      <c r="HJB23" s="92">
        <v>0</v>
      </c>
      <c r="HJC23" s="92">
        <v>0</v>
      </c>
      <c r="HJD23" s="92">
        <v>0</v>
      </c>
      <c r="HJE23" s="92">
        <v>0</v>
      </c>
      <c r="HJF23" s="92">
        <v>0</v>
      </c>
      <c r="HJG23" s="92">
        <v>0</v>
      </c>
      <c r="HJH23" s="92">
        <v>0</v>
      </c>
      <c r="HJI23" s="92">
        <v>0</v>
      </c>
      <c r="HJJ23" s="92">
        <v>0</v>
      </c>
      <c r="HJK23" s="92">
        <v>0</v>
      </c>
      <c r="HJL23" s="92">
        <v>0</v>
      </c>
      <c r="HJM23" s="92">
        <v>0</v>
      </c>
      <c r="HJN23" s="92">
        <v>0</v>
      </c>
      <c r="HJO23" s="92">
        <v>0</v>
      </c>
      <c r="HJP23" s="92">
        <v>0</v>
      </c>
      <c r="HJQ23" s="92">
        <v>0</v>
      </c>
      <c r="HJR23" s="92">
        <v>0</v>
      </c>
      <c r="HJS23" s="92">
        <v>0</v>
      </c>
      <c r="HJT23" s="92">
        <v>0</v>
      </c>
      <c r="HJU23" s="92">
        <v>0</v>
      </c>
      <c r="HJV23" s="92">
        <v>0</v>
      </c>
      <c r="HJW23" s="92">
        <v>0</v>
      </c>
      <c r="HJX23" s="92">
        <v>0</v>
      </c>
      <c r="HJY23" s="92">
        <v>0</v>
      </c>
      <c r="HJZ23" s="92">
        <v>0</v>
      </c>
      <c r="HKA23" s="92">
        <v>0</v>
      </c>
      <c r="HKB23" s="92">
        <v>0</v>
      </c>
      <c r="HKC23" s="92">
        <v>0</v>
      </c>
      <c r="HKD23" s="92">
        <v>0</v>
      </c>
      <c r="HKE23" s="92">
        <v>0</v>
      </c>
      <c r="HKF23" s="92">
        <v>0</v>
      </c>
      <c r="HKG23" s="92">
        <v>0</v>
      </c>
      <c r="HKH23" s="92">
        <v>0</v>
      </c>
      <c r="HKI23" s="92">
        <v>0</v>
      </c>
      <c r="HKJ23" s="92">
        <v>0</v>
      </c>
      <c r="HKK23" s="92">
        <v>0</v>
      </c>
      <c r="HKL23" s="92">
        <v>0</v>
      </c>
      <c r="HKM23" s="92">
        <v>0</v>
      </c>
      <c r="HKN23" s="92">
        <v>0</v>
      </c>
      <c r="HKO23" s="92">
        <v>0</v>
      </c>
      <c r="HKP23" s="92">
        <v>0</v>
      </c>
      <c r="HKQ23" s="92">
        <v>0</v>
      </c>
      <c r="HKR23" s="92">
        <v>0</v>
      </c>
      <c r="HKS23" s="92">
        <v>0</v>
      </c>
      <c r="HKT23" s="92">
        <v>0</v>
      </c>
      <c r="HKU23" s="92">
        <v>0</v>
      </c>
      <c r="HKV23" s="92">
        <v>0</v>
      </c>
      <c r="HKW23" s="92">
        <v>0</v>
      </c>
      <c r="HKX23" s="92">
        <v>0</v>
      </c>
      <c r="HKY23" s="92">
        <v>0</v>
      </c>
      <c r="HKZ23" s="92">
        <v>0</v>
      </c>
      <c r="HLA23" s="92">
        <v>0</v>
      </c>
      <c r="HLB23" s="92">
        <v>0</v>
      </c>
      <c r="HLC23" s="92">
        <v>0</v>
      </c>
      <c r="HLD23" s="92">
        <v>0</v>
      </c>
      <c r="HLE23" s="92">
        <v>0</v>
      </c>
      <c r="HLF23" s="92">
        <v>0</v>
      </c>
      <c r="HLG23" s="92">
        <v>0</v>
      </c>
      <c r="HLH23" s="92">
        <v>0</v>
      </c>
      <c r="HLI23" s="92">
        <v>0</v>
      </c>
      <c r="HLJ23" s="92">
        <v>0</v>
      </c>
      <c r="HLK23" s="92">
        <v>0</v>
      </c>
      <c r="HLL23" s="92">
        <v>0</v>
      </c>
      <c r="HLM23" s="92">
        <v>0</v>
      </c>
      <c r="HLN23" s="92">
        <v>0</v>
      </c>
      <c r="HLO23" s="92">
        <v>0</v>
      </c>
      <c r="HLP23" s="92">
        <v>0</v>
      </c>
      <c r="HLQ23" s="92">
        <v>0</v>
      </c>
      <c r="HLR23" s="92">
        <v>0</v>
      </c>
      <c r="HLS23" s="92">
        <v>0</v>
      </c>
      <c r="HLT23" s="92">
        <v>0</v>
      </c>
      <c r="HLU23" s="92">
        <v>0</v>
      </c>
      <c r="HLV23" s="92">
        <v>0</v>
      </c>
      <c r="HLW23" s="92">
        <v>0</v>
      </c>
      <c r="HLX23" s="92">
        <v>0</v>
      </c>
      <c r="HLY23" s="92">
        <v>0</v>
      </c>
      <c r="HLZ23" s="92">
        <v>0</v>
      </c>
      <c r="HMA23" s="92">
        <v>0</v>
      </c>
      <c r="HMB23" s="92">
        <v>0</v>
      </c>
      <c r="HMC23" s="92">
        <v>0</v>
      </c>
      <c r="HMD23" s="92">
        <v>0</v>
      </c>
      <c r="HME23" s="92">
        <v>0</v>
      </c>
      <c r="HMF23" s="92">
        <v>0</v>
      </c>
      <c r="HMG23" s="92">
        <v>0</v>
      </c>
      <c r="HMH23" s="92">
        <v>0</v>
      </c>
      <c r="HMI23" s="92">
        <v>0</v>
      </c>
      <c r="HMJ23" s="92">
        <v>0</v>
      </c>
      <c r="HMK23" s="92">
        <v>0</v>
      </c>
      <c r="HML23" s="92">
        <v>0</v>
      </c>
      <c r="HMM23" s="92">
        <v>0</v>
      </c>
      <c r="HMN23" s="92">
        <v>0</v>
      </c>
      <c r="HMO23" s="92">
        <v>0</v>
      </c>
      <c r="HMP23" s="92">
        <v>0</v>
      </c>
      <c r="HMQ23" s="92">
        <v>0</v>
      </c>
      <c r="HMR23" s="92">
        <v>0</v>
      </c>
      <c r="HMS23" s="92">
        <v>0</v>
      </c>
      <c r="HMT23" s="92">
        <v>0</v>
      </c>
      <c r="HMU23" s="92">
        <v>0</v>
      </c>
      <c r="HMV23" s="92">
        <v>0</v>
      </c>
      <c r="HMW23" s="92">
        <v>0</v>
      </c>
      <c r="HMX23" s="92">
        <v>0</v>
      </c>
      <c r="HMY23" s="92">
        <v>0</v>
      </c>
      <c r="HMZ23" s="92">
        <v>0</v>
      </c>
      <c r="HNA23" s="92">
        <v>0</v>
      </c>
      <c r="HNB23" s="92">
        <v>0</v>
      </c>
      <c r="HNC23" s="92">
        <v>0</v>
      </c>
      <c r="HND23" s="92">
        <v>0</v>
      </c>
      <c r="HNE23" s="92">
        <v>0</v>
      </c>
      <c r="HNF23" s="92">
        <v>0</v>
      </c>
      <c r="HNG23" s="92">
        <v>0</v>
      </c>
      <c r="HNH23" s="92">
        <v>0</v>
      </c>
      <c r="HNI23" s="92">
        <v>0</v>
      </c>
      <c r="HNJ23" s="92">
        <v>0</v>
      </c>
      <c r="HNK23" s="92">
        <v>0</v>
      </c>
      <c r="HNL23" s="92">
        <v>0</v>
      </c>
      <c r="HNM23" s="92">
        <v>0</v>
      </c>
      <c r="HNN23" s="92">
        <v>0</v>
      </c>
      <c r="HNO23" s="92">
        <v>0</v>
      </c>
      <c r="HNP23" s="92">
        <v>0</v>
      </c>
      <c r="HNQ23" s="92">
        <v>0</v>
      </c>
      <c r="HNR23" s="92">
        <v>0</v>
      </c>
      <c r="HNS23" s="92">
        <v>0</v>
      </c>
      <c r="HNT23" s="92">
        <v>0</v>
      </c>
      <c r="HNU23" s="92">
        <v>0</v>
      </c>
      <c r="HNV23" s="92">
        <v>0</v>
      </c>
      <c r="HNW23" s="92">
        <v>0</v>
      </c>
      <c r="HNX23" s="92">
        <v>0</v>
      </c>
      <c r="HNY23" s="92">
        <v>0</v>
      </c>
      <c r="HNZ23" s="92">
        <v>0</v>
      </c>
      <c r="HOA23" s="92">
        <v>0</v>
      </c>
      <c r="HOB23" s="92">
        <v>0</v>
      </c>
      <c r="HOC23" s="92">
        <v>0</v>
      </c>
      <c r="HOD23" s="92">
        <v>0</v>
      </c>
      <c r="HOE23" s="92">
        <v>0</v>
      </c>
      <c r="HOF23" s="92">
        <v>0</v>
      </c>
      <c r="HOG23" s="92">
        <v>0</v>
      </c>
      <c r="HOH23" s="92">
        <v>0</v>
      </c>
      <c r="HOI23" s="92">
        <v>0</v>
      </c>
      <c r="HOJ23" s="92">
        <v>0</v>
      </c>
      <c r="HOK23" s="92">
        <v>0</v>
      </c>
      <c r="HOL23" s="92">
        <v>0</v>
      </c>
      <c r="HOM23" s="92">
        <v>0</v>
      </c>
      <c r="HON23" s="92">
        <v>0</v>
      </c>
      <c r="HOO23" s="92">
        <v>0</v>
      </c>
      <c r="HOP23" s="92">
        <v>0</v>
      </c>
      <c r="HOQ23" s="92">
        <v>0</v>
      </c>
      <c r="HOR23" s="92">
        <v>0</v>
      </c>
      <c r="HOS23" s="92">
        <v>0</v>
      </c>
      <c r="HOT23" s="92">
        <v>0</v>
      </c>
      <c r="HOU23" s="92">
        <v>0</v>
      </c>
      <c r="HOV23" s="92">
        <v>0</v>
      </c>
      <c r="HOW23" s="92">
        <v>0</v>
      </c>
      <c r="HOX23" s="92">
        <v>0</v>
      </c>
      <c r="HOY23" s="92">
        <v>0</v>
      </c>
      <c r="HOZ23" s="92">
        <v>0</v>
      </c>
      <c r="HPA23" s="92">
        <v>0</v>
      </c>
      <c r="HPB23" s="92">
        <v>0</v>
      </c>
      <c r="HPC23" s="92">
        <v>0</v>
      </c>
      <c r="HPD23" s="92">
        <v>0</v>
      </c>
      <c r="HPE23" s="92">
        <v>0</v>
      </c>
      <c r="HPF23" s="92">
        <v>0</v>
      </c>
      <c r="HPG23" s="92">
        <v>0</v>
      </c>
      <c r="HPH23" s="92">
        <v>0</v>
      </c>
      <c r="HPI23" s="92">
        <v>0</v>
      </c>
      <c r="HPJ23" s="92">
        <v>0</v>
      </c>
      <c r="HPK23" s="92">
        <v>0</v>
      </c>
      <c r="HPL23" s="92">
        <v>0</v>
      </c>
      <c r="HPM23" s="92">
        <v>0</v>
      </c>
      <c r="HPN23" s="92">
        <v>0</v>
      </c>
      <c r="HPO23" s="92">
        <v>0</v>
      </c>
      <c r="HPP23" s="92">
        <v>0</v>
      </c>
      <c r="HPQ23" s="92">
        <v>0</v>
      </c>
      <c r="HPR23" s="92">
        <v>0</v>
      </c>
      <c r="HPS23" s="92">
        <v>0</v>
      </c>
      <c r="HPT23" s="92">
        <v>0</v>
      </c>
      <c r="HPU23" s="92">
        <v>0</v>
      </c>
      <c r="HPV23" s="92">
        <v>0</v>
      </c>
      <c r="HPW23" s="92">
        <v>0</v>
      </c>
      <c r="HPX23" s="92">
        <v>0</v>
      </c>
      <c r="HPY23" s="92">
        <v>0</v>
      </c>
      <c r="HPZ23" s="92">
        <v>0</v>
      </c>
      <c r="HQA23" s="92">
        <v>0</v>
      </c>
      <c r="HQB23" s="92">
        <v>0</v>
      </c>
      <c r="HQC23" s="92">
        <v>0</v>
      </c>
      <c r="HQD23" s="92">
        <v>0</v>
      </c>
      <c r="HQE23" s="92">
        <v>0</v>
      </c>
      <c r="HQF23" s="92">
        <v>0</v>
      </c>
      <c r="HQG23" s="92">
        <v>0</v>
      </c>
      <c r="HQH23" s="92">
        <v>0</v>
      </c>
      <c r="HQI23" s="92">
        <v>0</v>
      </c>
      <c r="HQJ23" s="92">
        <v>0</v>
      </c>
      <c r="HQK23" s="92">
        <v>0</v>
      </c>
      <c r="HQL23" s="92">
        <v>0</v>
      </c>
      <c r="HQM23" s="92">
        <v>0</v>
      </c>
      <c r="HQN23" s="92">
        <v>0</v>
      </c>
      <c r="HQO23" s="92">
        <v>0</v>
      </c>
      <c r="HQP23" s="92">
        <v>0</v>
      </c>
      <c r="HQQ23" s="92">
        <v>0</v>
      </c>
      <c r="HQR23" s="92">
        <v>0</v>
      </c>
      <c r="HQS23" s="92">
        <v>0</v>
      </c>
      <c r="HQT23" s="92">
        <v>0</v>
      </c>
      <c r="HQU23" s="92">
        <v>0</v>
      </c>
      <c r="HQV23" s="92">
        <v>0</v>
      </c>
      <c r="HQW23" s="92">
        <v>0</v>
      </c>
      <c r="HQX23" s="92">
        <v>0</v>
      </c>
      <c r="HQY23" s="92">
        <v>0</v>
      </c>
      <c r="HQZ23" s="92">
        <v>0</v>
      </c>
      <c r="HRA23" s="92">
        <v>0</v>
      </c>
      <c r="HRB23" s="92">
        <v>0</v>
      </c>
      <c r="HRC23" s="92">
        <v>0</v>
      </c>
      <c r="HRD23" s="92">
        <v>0</v>
      </c>
      <c r="HRE23" s="92">
        <v>0</v>
      </c>
      <c r="HRF23" s="92">
        <v>0</v>
      </c>
      <c r="HRG23" s="92">
        <v>0</v>
      </c>
      <c r="HRH23" s="92">
        <v>0</v>
      </c>
      <c r="HRI23" s="92">
        <v>0</v>
      </c>
      <c r="HRJ23" s="92">
        <v>0</v>
      </c>
      <c r="HRK23" s="92">
        <v>0</v>
      </c>
      <c r="HRL23" s="92">
        <v>0</v>
      </c>
      <c r="HRM23" s="92">
        <v>0</v>
      </c>
      <c r="HRN23" s="92">
        <v>0</v>
      </c>
      <c r="HRO23" s="92">
        <v>0</v>
      </c>
      <c r="HRP23" s="92">
        <v>0</v>
      </c>
      <c r="HRQ23" s="92">
        <v>0</v>
      </c>
      <c r="HRR23" s="92">
        <v>0</v>
      </c>
      <c r="HRS23" s="92">
        <v>0</v>
      </c>
      <c r="HRT23" s="92">
        <v>0</v>
      </c>
      <c r="HRU23" s="92">
        <v>0</v>
      </c>
      <c r="HRV23" s="92">
        <v>0</v>
      </c>
      <c r="HRW23" s="92">
        <v>0</v>
      </c>
      <c r="HRX23" s="92">
        <v>0</v>
      </c>
      <c r="HRY23" s="92">
        <v>0</v>
      </c>
      <c r="HRZ23" s="92">
        <v>0</v>
      </c>
      <c r="HSA23" s="92">
        <v>0</v>
      </c>
      <c r="HSB23" s="92">
        <v>0</v>
      </c>
      <c r="HSC23" s="92">
        <v>0</v>
      </c>
      <c r="HSD23" s="92">
        <v>0</v>
      </c>
      <c r="HSE23" s="92">
        <v>0</v>
      </c>
      <c r="HSF23" s="92">
        <v>0</v>
      </c>
      <c r="HSG23" s="92">
        <v>0</v>
      </c>
      <c r="HSH23" s="92">
        <v>0</v>
      </c>
      <c r="HSI23" s="92">
        <v>0</v>
      </c>
      <c r="HSJ23" s="92">
        <v>0</v>
      </c>
      <c r="HSK23" s="92">
        <v>0</v>
      </c>
      <c r="HSL23" s="92">
        <v>0</v>
      </c>
      <c r="HSM23" s="92">
        <v>0</v>
      </c>
      <c r="HSN23" s="92">
        <v>0</v>
      </c>
      <c r="HSO23" s="92">
        <v>0</v>
      </c>
      <c r="HSP23" s="92">
        <v>0</v>
      </c>
      <c r="HSQ23" s="92">
        <v>0</v>
      </c>
      <c r="HSR23" s="92">
        <v>0</v>
      </c>
      <c r="HSS23" s="92">
        <v>0</v>
      </c>
      <c r="HST23" s="92">
        <v>0</v>
      </c>
      <c r="HSU23" s="92">
        <v>0</v>
      </c>
      <c r="HSV23" s="92">
        <v>0</v>
      </c>
      <c r="HSW23" s="92">
        <v>0</v>
      </c>
      <c r="HSX23" s="92">
        <v>0</v>
      </c>
      <c r="HSY23" s="92">
        <v>0</v>
      </c>
      <c r="HSZ23" s="92">
        <v>0</v>
      </c>
      <c r="HTA23" s="92">
        <v>0</v>
      </c>
      <c r="HTB23" s="92">
        <v>0</v>
      </c>
      <c r="HTC23" s="92">
        <v>0</v>
      </c>
      <c r="HTD23" s="92">
        <v>0</v>
      </c>
      <c r="HTE23" s="92">
        <v>0</v>
      </c>
      <c r="HTF23" s="92">
        <v>0</v>
      </c>
      <c r="HTG23" s="92">
        <v>0</v>
      </c>
      <c r="HTH23" s="92">
        <v>0</v>
      </c>
      <c r="HTI23" s="92">
        <v>0</v>
      </c>
      <c r="HTJ23" s="92">
        <v>0</v>
      </c>
      <c r="HTK23" s="92">
        <v>0</v>
      </c>
      <c r="HTL23" s="92">
        <v>0</v>
      </c>
      <c r="HTM23" s="92">
        <v>0</v>
      </c>
      <c r="HTN23" s="92">
        <v>0</v>
      </c>
      <c r="HTO23" s="92">
        <v>0</v>
      </c>
      <c r="HTP23" s="92">
        <v>0</v>
      </c>
      <c r="HTQ23" s="92">
        <v>0</v>
      </c>
      <c r="HTR23" s="92">
        <v>0</v>
      </c>
      <c r="HTS23" s="92">
        <v>0</v>
      </c>
      <c r="HTT23" s="92">
        <v>0</v>
      </c>
      <c r="HTU23" s="92">
        <v>0</v>
      </c>
      <c r="HTV23" s="92">
        <v>0</v>
      </c>
      <c r="HTW23" s="92">
        <v>0</v>
      </c>
      <c r="HTX23" s="92">
        <v>0</v>
      </c>
      <c r="HTY23" s="92">
        <v>0</v>
      </c>
      <c r="HTZ23" s="92">
        <v>0</v>
      </c>
      <c r="HUA23" s="92">
        <v>0</v>
      </c>
      <c r="HUB23" s="92">
        <v>0</v>
      </c>
      <c r="HUC23" s="92">
        <v>0</v>
      </c>
      <c r="HUD23" s="92">
        <v>0</v>
      </c>
      <c r="HUE23" s="92">
        <v>0</v>
      </c>
      <c r="HUF23" s="92">
        <v>0</v>
      </c>
      <c r="HUG23" s="92">
        <v>0</v>
      </c>
      <c r="HUH23" s="92">
        <v>0</v>
      </c>
      <c r="HUI23" s="92">
        <v>0</v>
      </c>
      <c r="HUJ23" s="92">
        <v>0</v>
      </c>
      <c r="HUK23" s="92">
        <v>0</v>
      </c>
      <c r="HUL23" s="92">
        <v>0</v>
      </c>
      <c r="HUM23" s="92">
        <v>0</v>
      </c>
      <c r="HUN23" s="92">
        <v>0</v>
      </c>
      <c r="HUO23" s="92">
        <v>0</v>
      </c>
      <c r="HUP23" s="92">
        <v>0</v>
      </c>
      <c r="HUQ23" s="92">
        <v>0</v>
      </c>
      <c r="HUR23" s="92">
        <v>0</v>
      </c>
      <c r="HUS23" s="92">
        <v>0</v>
      </c>
      <c r="HUT23" s="92">
        <v>0</v>
      </c>
      <c r="HUU23" s="92">
        <v>0</v>
      </c>
      <c r="HUV23" s="92">
        <v>0</v>
      </c>
      <c r="HUW23" s="92">
        <v>0</v>
      </c>
      <c r="HUX23" s="92">
        <v>0</v>
      </c>
      <c r="HUY23" s="92">
        <v>0</v>
      </c>
      <c r="HUZ23" s="92">
        <v>0</v>
      </c>
      <c r="HVA23" s="92">
        <v>0</v>
      </c>
      <c r="HVB23" s="92">
        <v>0</v>
      </c>
      <c r="HVC23" s="92">
        <v>0</v>
      </c>
      <c r="HVD23" s="92">
        <v>0</v>
      </c>
      <c r="HVE23" s="92">
        <v>0</v>
      </c>
      <c r="HVF23" s="92">
        <v>0</v>
      </c>
      <c r="HVG23" s="92">
        <v>0</v>
      </c>
      <c r="HVH23" s="92">
        <v>0</v>
      </c>
      <c r="HVI23" s="92">
        <v>0</v>
      </c>
      <c r="HVJ23" s="92">
        <v>0</v>
      </c>
      <c r="HVK23" s="92">
        <v>0</v>
      </c>
      <c r="HVL23" s="92">
        <v>0</v>
      </c>
      <c r="HVM23" s="92">
        <v>0</v>
      </c>
      <c r="HVN23" s="92">
        <v>0</v>
      </c>
      <c r="HVO23" s="92">
        <v>0</v>
      </c>
      <c r="HVP23" s="92">
        <v>0</v>
      </c>
      <c r="HVQ23" s="92">
        <v>0</v>
      </c>
      <c r="HVR23" s="92">
        <v>0</v>
      </c>
      <c r="HVS23" s="92">
        <v>0</v>
      </c>
      <c r="HVT23" s="92">
        <v>0</v>
      </c>
      <c r="HVU23" s="92">
        <v>0</v>
      </c>
      <c r="HVV23" s="92">
        <v>0</v>
      </c>
      <c r="HVW23" s="92">
        <v>0</v>
      </c>
      <c r="HVX23" s="92">
        <v>0</v>
      </c>
      <c r="HVY23" s="92">
        <v>0</v>
      </c>
      <c r="HVZ23" s="92">
        <v>0</v>
      </c>
      <c r="HWA23" s="92">
        <v>0</v>
      </c>
      <c r="HWB23" s="92">
        <v>0</v>
      </c>
      <c r="HWC23" s="92">
        <v>0</v>
      </c>
      <c r="HWD23" s="92">
        <v>0</v>
      </c>
      <c r="HWE23" s="92">
        <v>0</v>
      </c>
      <c r="HWF23" s="92">
        <v>0</v>
      </c>
      <c r="HWG23" s="92">
        <v>0</v>
      </c>
      <c r="HWH23" s="92">
        <v>0</v>
      </c>
      <c r="HWI23" s="92">
        <v>0</v>
      </c>
      <c r="HWJ23" s="92">
        <v>0</v>
      </c>
      <c r="HWK23" s="92">
        <v>0</v>
      </c>
      <c r="HWL23" s="92">
        <v>0</v>
      </c>
      <c r="HWM23" s="92">
        <v>0</v>
      </c>
      <c r="HWN23" s="92">
        <v>0</v>
      </c>
      <c r="HWO23" s="92">
        <v>0</v>
      </c>
      <c r="HWP23" s="92">
        <v>0</v>
      </c>
      <c r="HWQ23" s="92">
        <v>0</v>
      </c>
      <c r="HWR23" s="92">
        <v>0</v>
      </c>
      <c r="HWS23" s="92">
        <v>0</v>
      </c>
      <c r="HWT23" s="92">
        <v>0</v>
      </c>
      <c r="HWU23" s="92">
        <v>0</v>
      </c>
      <c r="HWV23" s="92">
        <v>0</v>
      </c>
      <c r="HWW23" s="92">
        <v>0</v>
      </c>
      <c r="HWX23" s="92">
        <v>0</v>
      </c>
      <c r="HWY23" s="92">
        <v>0</v>
      </c>
      <c r="HWZ23" s="92">
        <v>0</v>
      </c>
      <c r="HXA23" s="92">
        <v>0</v>
      </c>
      <c r="HXB23" s="92">
        <v>0</v>
      </c>
      <c r="HXC23" s="92">
        <v>0</v>
      </c>
      <c r="HXD23" s="92">
        <v>0</v>
      </c>
      <c r="HXE23" s="92">
        <v>0</v>
      </c>
      <c r="HXF23" s="92">
        <v>0</v>
      </c>
      <c r="HXG23" s="92">
        <v>0</v>
      </c>
      <c r="HXH23" s="92">
        <v>0</v>
      </c>
      <c r="HXI23" s="92">
        <v>0</v>
      </c>
      <c r="HXJ23" s="92">
        <v>0</v>
      </c>
      <c r="HXK23" s="92">
        <v>0</v>
      </c>
      <c r="HXL23" s="92">
        <v>0</v>
      </c>
      <c r="HXM23" s="92">
        <v>0</v>
      </c>
      <c r="HXN23" s="92">
        <v>0</v>
      </c>
      <c r="HXO23" s="92">
        <v>0</v>
      </c>
      <c r="HXP23" s="92">
        <v>0</v>
      </c>
      <c r="HXQ23" s="92">
        <v>0</v>
      </c>
      <c r="HXR23" s="92">
        <v>0</v>
      </c>
      <c r="HXS23" s="92">
        <v>0</v>
      </c>
      <c r="HXT23" s="92">
        <v>0</v>
      </c>
      <c r="HXU23" s="92">
        <v>0</v>
      </c>
      <c r="HXV23" s="92">
        <v>0</v>
      </c>
      <c r="HXW23" s="92">
        <v>0</v>
      </c>
      <c r="HXX23" s="92">
        <v>0</v>
      </c>
      <c r="HXY23" s="92">
        <v>0</v>
      </c>
      <c r="HXZ23" s="92">
        <v>0</v>
      </c>
      <c r="HYA23" s="92">
        <v>0</v>
      </c>
      <c r="HYB23" s="92">
        <v>0</v>
      </c>
      <c r="HYC23" s="92">
        <v>0</v>
      </c>
      <c r="HYD23" s="92">
        <v>0</v>
      </c>
      <c r="HYE23" s="92">
        <v>0</v>
      </c>
      <c r="HYF23" s="92">
        <v>0</v>
      </c>
      <c r="HYG23" s="92">
        <v>0</v>
      </c>
      <c r="HYH23" s="92">
        <v>0</v>
      </c>
      <c r="HYI23" s="92">
        <v>0</v>
      </c>
      <c r="HYJ23" s="92">
        <v>0</v>
      </c>
      <c r="HYK23" s="92">
        <v>0</v>
      </c>
      <c r="HYL23" s="92">
        <v>0</v>
      </c>
      <c r="HYM23" s="92">
        <v>0</v>
      </c>
      <c r="HYN23" s="92">
        <v>0</v>
      </c>
      <c r="HYO23" s="92">
        <v>0</v>
      </c>
      <c r="HYP23" s="92">
        <v>0</v>
      </c>
      <c r="HYQ23" s="92">
        <v>0</v>
      </c>
      <c r="HYR23" s="92">
        <v>0</v>
      </c>
      <c r="HYS23" s="92">
        <v>0</v>
      </c>
      <c r="HYT23" s="92">
        <v>0</v>
      </c>
      <c r="HYU23" s="92">
        <v>0</v>
      </c>
      <c r="HYV23" s="92">
        <v>0</v>
      </c>
      <c r="HYW23" s="92">
        <v>0</v>
      </c>
      <c r="HYX23" s="92">
        <v>0</v>
      </c>
      <c r="HYY23" s="92">
        <v>0</v>
      </c>
      <c r="HYZ23" s="92">
        <v>0</v>
      </c>
      <c r="HZA23" s="92">
        <v>0</v>
      </c>
      <c r="HZB23" s="92">
        <v>0</v>
      </c>
      <c r="HZC23" s="92">
        <v>0</v>
      </c>
      <c r="HZD23" s="92">
        <v>0</v>
      </c>
      <c r="HZE23" s="92">
        <v>0</v>
      </c>
      <c r="HZF23" s="92">
        <v>0</v>
      </c>
      <c r="HZG23" s="92">
        <v>0</v>
      </c>
      <c r="HZH23" s="92">
        <v>0</v>
      </c>
      <c r="HZI23" s="92">
        <v>0</v>
      </c>
      <c r="HZJ23" s="92">
        <v>0</v>
      </c>
      <c r="HZK23" s="92">
        <v>0</v>
      </c>
      <c r="HZL23" s="92">
        <v>0</v>
      </c>
      <c r="HZM23" s="92">
        <v>0</v>
      </c>
      <c r="HZN23" s="92">
        <v>0</v>
      </c>
      <c r="HZO23" s="92">
        <v>0</v>
      </c>
      <c r="HZP23" s="92">
        <v>0</v>
      </c>
      <c r="HZQ23" s="92">
        <v>0</v>
      </c>
      <c r="HZR23" s="92">
        <v>0</v>
      </c>
      <c r="HZS23" s="92">
        <v>0</v>
      </c>
      <c r="HZT23" s="92">
        <v>0</v>
      </c>
      <c r="HZU23" s="92">
        <v>0</v>
      </c>
      <c r="HZV23" s="92">
        <v>0</v>
      </c>
      <c r="HZW23" s="92">
        <v>0</v>
      </c>
      <c r="HZX23" s="92">
        <v>0</v>
      </c>
      <c r="HZY23" s="92">
        <v>0</v>
      </c>
      <c r="HZZ23" s="92">
        <v>0</v>
      </c>
      <c r="IAA23" s="92">
        <v>0</v>
      </c>
      <c r="IAB23" s="92">
        <v>0</v>
      </c>
      <c r="IAC23" s="92">
        <v>0</v>
      </c>
      <c r="IAD23" s="92">
        <v>0</v>
      </c>
      <c r="IAE23" s="92">
        <v>0</v>
      </c>
      <c r="IAF23" s="92">
        <v>0</v>
      </c>
      <c r="IAG23" s="92">
        <v>0</v>
      </c>
      <c r="IAH23" s="92">
        <v>0</v>
      </c>
      <c r="IAI23" s="92">
        <v>0</v>
      </c>
      <c r="IAJ23" s="92">
        <v>0</v>
      </c>
      <c r="IAK23" s="92">
        <v>0</v>
      </c>
      <c r="IAL23" s="92">
        <v>0</v>
      </c>
      <c r="IAM23" s="92">
        <v>0</v>
      </c>
      <c r="IAN23" s="92">
        <v>0</v>
      </c>
      <c r="IAO23" s="92">
        <v>0</v>
      </c>
      <c r="IAP23" s="92">
        <v>0</v>
      </c>
      <c r="IAQ23" s="92">
        <v>0</v>
      </c>
      <c r="IAR23" s="92">
        <v>0</v>
      </c>
      <c r="IAS23" s="92">
        <v>0</v>
      </c>
      <c r="IAT23" s="92">
        <v>0</v>
      </c>
      <c r="IAU23" s="92">
        <v>0</v>
      </c>
      <c r="IAV23" s="92">
        <v>0</v>
      </c>
      <c r="IAW23" s="92">
        <v>0</v>
      </c>
      <c r="IAX23" s="92">
        <v>0</v>
      </c>
      <c r="IAY23" s="92">
        <v>0</v>
      </c>
      <c r="IAZ23" s="92">
        <v>0</v>
      </c>
      <c r="IBA23" s="92">
        <v>0</v>
      </c>
      <c r="IBB23" s="92">
        <v>0</v>
      </c>
      <c r="IBC23" s="92">
        <v>0</v>
      </c>
      <c r="IBD23" s="92">
        <v>0</v>
      </c>
      <c r="IBE23" s="92">
        <v>0</v>
      </c>
      <c r="IBF23" s="92">
        <v>0</v>
      </c>
      <c r="IBG23" s="92">
        <v>0</v>
      </c>
      <c r="IBH23" s="92">
        <v>0</v>
      </c>
      <c r="IBI23" s="92">
        <v>0</v>
      </c>
      <c r="IBJ23" s="92">
        <v>0</v>
      </c>
      <c r="IBK23" s="92">
        <v>0</v>
      </c>
      <c r="IBL23" s="92">
        <v>0</v>
      </c>
      <c r="IBM23" s="92">
        <v>0</v>
      </c>
      <c r="IBN23" s="92">
        <v>0</v>
      </c>
      <c r="IBO23" s="92">
        <v>0</v>
      </c>
      <c r="IBP23" s="92">
        <v>0</v>
      </c>
      <c r="IBQ23" s="92">
        <v>0</v>
      </c>
      <c r="IBR23" s="92">
        <v>0</v>
      </c>
      <c r="IBS23" s="92">
        <v>0</v>
      </c>
      <c r="IBT23" s="92">
        <v>0</v>
      </c>
      <c r="IBU23" s="92">
        <v>0</v>
      </c>
      <c r="IBV23" s="92">
        <v>0</v>
      </c>
      <c r="IBW23" s="92">
        <v>0</v>
      </c>
      <c r="IBX23" s="92">
        <v>0</v>
      </c>
      <c r="IBY23" s="92">
        <v>0</v>
      </c>
      <c r="IBZ23" s="92">
        <v>0</v>
      </c>
      <c r="ICA23" s="92">
        <v>0</v>
      </c>
      <c r="ICB23" s="92">
        <v>0</v>
      </c>
      <c r="ICC23" s="92">
        <v>0</v>
      </c>
      <c r="ICD23" s="92">
        <v>0</v>
      </c>
      <c r="ICE23" s="92">
        <v>0</v>
      </c>
      <c r="ICF23" s="92">
        <v>0</v>
      </c>
      <c r="ICG23" s="92">
        <v>0</v>
      </c>
      <c r="ICH23" s="92">
        <v>0</v>
      </c>
      <c r="ICI23" s="92">
        <v>0</v>
      </c>
      <c r="ICJ23" s="92">
        <v>0</v>
      </c>
      <c r="ICK23" s="92">
        <v>0</v>
      </c>
      <c r="ICL23" s="92">
        <v>0</v>
      </c>
      <c r="ICM23" s="92">
        <v>0</v>
      </c>
      <c r="ICN23" s="92">
        <v>0</v>
      </c>
      <c r="ICO23" s="92">
        <v>0</v>
      </c>
      <c r="ICP23" s="92">
        <v>0</v>
      </c>
      <c r="ICQ23" s="92">
        <v>0</v>
      </c>
      <c r="ICR23" s="92">
        <v>0</v>
      </c>
      <c r="ICS23" s="92">
        <v>0</v>
      </c>
      <c r="ICT23" s="92">
        <v>0</v>
      </c>
      <c r="ICU23" s="92">
        <v>0</v>
      </c>
      <c r="ICV23" s="92">
        <v>0</v>
      </c>
      <c r="ICW23" s="92">
        <v>0</v>
      </c>
      <c r="ICX23" s="92">
        <v>0</v>
      </c>
      <c r="ICY23" s="92">
        <v>0</v>
      </c>
      <c r="ICZ23" s="92">
        <v>0</v>
      </c>
      <c r="IDA23" s="92">
        <v>0</v>
      </c>
      <c r="IDB23" s="92">
        <v>0</v>
      </c>
      <c r="IDC23" s="92">
        <v>0</v>
      </c>
      <c r="IDD23" s="92">
        <v>0</v>
      </c>
      <c r="IDE23" s="92">
        <v>0</v>
      </c>
      <c r="IDF23" s="92">
        <v>0</v>
      </c>
      <c r="IDG23" s="92">
        <v>0</v>
      </c>
      <c r="IDH23" s="92">
        <v>0</v>
      </c>
      <c r="IDI23" s="92">
        <v>0</v>
      </c>
      <c r="IDJ23" s="92">
        <v>0</v>
      </c>
      <c r="IDK23" s="92">
        <v>0</v>
      </c>
      <c r="IDL23" s="92">
        <v>0</v>
      </c>
      <c r="IDM23" s="92">
        <v>0</v>
      </c>
      <c r="IDN23" s="92">
        <v>0</v>
      </c>
      <c r="IDO23" s="92">
        <v>0</v>
      </c>
      <c r="IDP23" s="92">
        <v>0</v>
      </c>
      <c r="IDQ23" s="92">
        <v>0</v>
      </c>
      <c r="IDR23" s="92">
        <v>0</v>
      </c>
      <c r="IDS23" s="92">
        <v>0</v>
      </c>
      <c r="IDT23" s="92">
        <v>0</v>
      </c>
      <c r="IDU23" s="92">
        <v>0</v>
      </c>
      <c r="IDV23" s="92">
        <v>0</v>
      </c>
      <c r="IDW23" s="92">
        <v>0</v>
      </c>
      <c r="IDX23" s="92">
        <v>0</v>
      </c>
      <c r="IDY23" s="92">
        <v>0</v>
      </c>
      <c r="IDZ23" s="92">
        <v>0</v>
      </c>
      <c r="IEA23" s="92">
        <v>0</v>
      </c>
      <c r="IEB23" s="92">
        <v>0</v>
      </c>
      <c r="IEC23" s="92">
        <v>0</v>
      </c>
      <c r="IED23" s="92">
        <v>0</v>
      </c>
      <c r="IEE23" s="92">
        <v>0</v>
      </c>
      <c r="IEF23" s="92">
        <v>0</v>
      </c>
      <c r="IEG23" s="92">
        <v>0</v>
      </c>
      <c r="IEH23" s="92">
        <v>0</v>
      </c>
      <c r="IEI23" s="92">
        <v>0</v>
      </c>
      <c r="IEJ23" s="92">
        <v>0</v>
      </c>
      <c r="IEK23" s="92">
        <v>0</v>
      </c>
      <c r="IEL23" s="92">
        <v>0</v>
      </c>
      <c r="IEM23" s="92">
        <v>0</v>
      </c>
      <c r="IEN23" s="92">
        <v>0</v>
      </c>
      <c r="IEO23" s="92">
        <v>0</v>
      </c>
      <c r="IEP23" s="92">
        <v>0</v>
      </c>
      <c r="IEQ23" s="92">
        <v>0</v>
      </c>
      <c r="IER23" s="92">
        <v>0</v>
      </c>
      <c r="IES23" s="92">
        <v>0</v>
      </c>
      <c r="IET23" s="92">
        <v>0</v>
      </c>
      <c r="IEU23" s="92">
        <v>0</v>
      </c>
      <c r="IEV23" s="92">
        <v>0</v>
      </c>
      <c r="IEW23" s="92">
        <v>0</v>
      </c>
      <c r="IEX23" s="92">
        <v>0</v>
      </c>
      <c r="IEY23" s="92">
        <v>0</v>
      </c>
      <c r="IEZ23" s="92">
        <v>0</v>
      </c>
      <c r="IFA23" s="92">
        <v>0</v>
      </c>
      <c r="IFB23" s="92">
        <v>0</v>
      </c>
      <c r="IFC23" s="92">
        <v>0</v>
      </c>
      <c r="IFD23" s="92">
        <v>0</v>
      </c>
      <c r="IFE23" s="92">
        <v>0</v>
      </c>
      <c r="IFF23" s="92">
        <v>0</v>
      </c>
      <c r="IFG23" s="92">
        <v>0</v>
      </c>
      <c r="IFH23" s="92">
        <v>0</v>
      </c>
      <c r="IFI23" s="92">
        <v>0</v>
      </c>
      <c r="IFJ23" s="92">
        <v>0</v>
      </c>
      <c r="IFK23" s="92">
        <v>0</v>
      </c>
      <c r="IFL23" s="92">
        <v>0</v>
      </c>
      <c r="IFM23" s="92">
        <v>0</v>
      </c>
      <c r="IFN23" s="92">
        <v>0</v>
      </c>
      <c r="IFO23" s="92">
        <v>0</v>
      </c>
      <c r="IFP23" s="92">
        <v>0</v>
      </c>
      <c r="IFQ23" s="92">
        <v>0</v>
      </c>
      <c r="IFR23" s="92">
        <v>0</v>
      </c>
      <c r="IFS23" s="92">
        <v>0</v>
      </c>
      <c r="IFT23" s="92">
        <v>0</v>
      </c>
      <c r="IFU23" s="92">
        <v>0</v>
      </c>
      <c r="IFV23" s="92">
        <v>0</v>
      </c>
      <c r="IFW23" s="92">
        <v>0</v>
      </c>
      <c r="IFX23" s="92">
        <v>0</v>
      </c>
      <c r="IFY23" s="92">
        <v>0</v>
      </c>
      <c r="IFZ23" s="92">
        <v>0</v>
      </c>
      <c r="IGA23" s="92">
        <v>0</v>
      </c>
      <c r="IGB23" s="92">
        <v>0</v>
      </c>
      <c r="IGC23" s="92">
        <v>0</v>
      </c>
      <c r="IGD23" s="92">
        <v>0</v>
      </c>
      <c r="IGE23" s="92">
        <v>0</v>
      </c>
      <c r="IGF23" s="92">
        <v>0</v>
      </c>
      <c r="IGG23" s="92">
        <v>0</v>
      </c>
      <c r="IGH23" s="92">
        <v>0</v>
      </c>
      <c r="IGI23" s="92">
        <v>0</v>
      </c>
      <c r="IGJ23" s="92">
        <v>0</v>
      </c>
      <c r="IGK23" s="92">
        <v>0</v>
      </c>
      <c r="IGL23" s="92">
        <v>0</v>
      </c>
      <c r="IGM23" s="92">
        <v>0</v>
      </c>
      <c r="IGN23" s="92">
        <v>0</v>
      </c>
      <c r="IGO23" s="92">
        <v>0</v>
      </c>
      <c r="IGP23" s="92">
        <v>0</v>
      </c>
      <c r="IGQ23" s="92">
        <v>0</v>
      </c>
      <c r="IGR23" s="92">
        <v>0</v>
      </c>
      <c r="IGS23" s="92">
        <v>0</v>
      </c>
      <c r="IGT23" s="92">
        <v>0</v>
      </c>
      <c r="IGU23" s="92">
        <v>0</v>
      </c>
      <c r="IGV23" s="92">
        <v>0</v>
      </c>
      <c r="IGW23" s="92">
        <v>0</v>
      </c>
      <c r="IGX23" s="92">
        <v>0</v>
      </c>
      <c r="IGY23" s="92">
        <v>0</v>
      </c>
      <c r="IGZ23" s="92">
        <v>0</v>
      </c>
      <c r="IHA23" s="92">
        <v>0</v>
      </c>
      <c r="IHB23" s="92">
        <v>0</v>
      </c>
      <c r="IHC23" s="92">
        <v>0</v>
      </c>
      <c r="IHD23" s="92">
        <v>0</v>
      </c>
      <c r="IHE23" s="92">
        <v>0</v>
      </c>
      <c r="IHF23" s="92">
        <v>0</v>
      </c>
      <c r="IHG23" s="92">
        <v>0</v>
      </c>
      <c r="IHH23" s="92">
        <v>0</v>
      </c>
      <c r="IHI23" s="92">
        <v>0</v>
      </c>
      <c r="IHJ23" s="92">
        <v>0</v>
      </c>
      <c r="IHK23" s="92">
        <v>0</v>
      </c>
      <c r="IHL23" s="92">
        <v>0</v>
      </c>
      <c r="IHM23" s="92">
        <v>0</v>
      </c>
      <c r="IHN23" s="92">
        <v>0</v>
      </c>
      <c r="IHO23" s="92">
        <v>0</v>
      </c>
      <c r="IHP23" s="92">
        <v>0</v>
      </c>
      <c r="IHQ23" s="92">
        <v>0</v>
      </c>
      <c r="IHR23" s="92">
        <v>0</v>
      </c>
      <c r="IHS23" s="92">
        <v>0</v>
      </c>
      <c r="IHT23" s="92">
        <v>0</v>
      </c>
      <c r="IHU23" s="92">
        <v>0</v>
      </c>
      <c r="IHV23" s="92">
        <v>0</v>
      </c>
      <c r="IHW23" s="92">
        <v>0</v>
      </c>
      <c r="IHX23" s="92">
        <v>0</v>
      </c>
      <c r="IHY23" s="92">
        <v>0</v>
      </c>
      <c r="IHZ23" s="92">
        <v>0</v>
      </c>
      <c r="IIA23" s="92">
        <v>0</v>
      </c>
      <c r="IIB23" s="92">
        <v>0</v>
      </c>
      <c r="IIC23" s="92">
        <v>0</v>
      </c>
      <c r="IID23" s="92">
        <v>0</v>
      </c>
      <c r="IIE23" s="92">
        <v>0</v>
      </c>
      <c r="IIF23" s="92">
        <v>0</v>
      </c>
      <c r="IIG23" s="92">
        <v>0</v>
      </c>
      <c r="IIH23" s="92">
        <v>0</v>
      </c>
      <c r="III23" s="92">
        <v>0</v>
      </c>
      <c r="IIJ23" s="92">
        <v>0</v>
      </c>
      <c r="IIK23" s="92">
        <v>0</v>
      </c>
      <c r="IIL23" s="92">
        <v>0</v>
      </c>
      <c r="IIM23" s="92">
        <v>0</v>
      </c>
      <c r="IIN23" s="92">
        <v>0</v>
      </c>
      <c r="IIO23" s="92">
        <v>0</v>
      </c>
      <c r="IIP23" s="92">
        <v>0</v>
      </c>
      <c r="IIQ23" s="92">
        <v>0</v>
      </c>
      <c r="IIR23" s="92">
        <v>0</v>
      </c>
      <c r="IIS23" s="92">
        <v>0</v>
      </c>
      <c r="IIT23" s="92">
        <v>0</v>
      </c>
      <c r="IIU23" s="92">
        <v>0</v>
      </c>
      <c r="IIV23" s="92">
        <v>0</v>
      </c>
      <c r="IIW23" s="92">
        <v>0</v>
      </c>
      <c r="IIX23" s="92">
        <v>0</v>
      </c>
      <c r="IIY23" s="92">
        <v>0</v>
      </c>
      <c r="IIZ23" s="92">
        <v>0</v>
      </c>
      <c r="IJA23" s="92">
        <v>0</v>
      </c>
      <c r="IJB23" s="92">
        <v>0</v>
      </c>
      <c r="IJC23" s="92">
        <v>0</v>
      </c>
      <c r="IJD23" s="92">
        <v>0</v>
      </c>
      <c r="IJE23" s="92">
        <v>0</v>
      </c>
      <c r="IJF23" s="92">
        <v>0</v>
      </c>
      <c r="IJG23" s="92">
        <v>0</v>
      </c>
      <c r="IJH23" s="92">
        <v>0</v>
      </c>
      <c r="IJI23" s="92">
        <v>0</v>
      </c>
      <c r="IJJ23" s="92">
        <v>0</v>
      </c>
      <c r="IJK23" s="92">
        <v>0</v>
      </c>
      <c r="IJL23" s="92">
        <v>0</v>
      </c>
      <c r="IJM23" s="92">
        <v>0</v>
      </c>
      <c r="IJN23" s="92">
        <v>0</v>
      </c>
      <c r="IJO23" s="92">
        <v>0</v>
      </c>
      <c r="IJP23" s="92">
        <v>0</v>
      </c>
      <c r="IJQ23" s="92">
        <v>0</v>
      </c>
      <c r="IJR23" s="92">
        <v>0</v>
      </c>
      <c r="IJS23" s="92">
        <v>0</v>
      </c>
      <c r="IJT23" s="92">
        <v>0</v>
      </c>
      <c r="IJU23" s="92">
        <v>0</v>
      </c>
      <c r="IJV23" s="92">
        <v>0</v>
      </c>
      <c r="IJW23" s="92">
        <v>0</v>
      </c>
      <c r="IJX23" s="92">
        <v>0</v>
      </c>
      <c r="IJY23" s="92">
        <v>0</v>
      </c>
      <c r="IJZ23" s="92">
        <v>0</v>
      </c>
      <c r="IKA23" s="92">
        <v>0</v>
      </c>
      <c r="IKB23" s="92">
        <v>0</v>
      </c>
      <c r="IKC23" s="92">
        <v>0</v>
      </c>
      <c r="IKD23" s="92">
        <v>0</v>
      </c>
      <c r="IKE23" s="92">
        <v>0</v>
      </c>
      <c r="IKF23" s="92">
        <v>0</v>
      </c>
      <c r="IKG23" s="92">
        <v>0</v>
      </c>
      <c r="IKH23" s="92">
        <v>0</v>
      </c>
      <c r="IKI23" s="92">
        <v>0</v>
      </c>
      <c r="IKJ23" s="92">
        <v>0</v>
      </c>
      <c r="IKK23" s="92">
        <v>0</v>
      </c>
      <c r="IKL23" s="92">
        <v>0</v>
      </c>
      <c r="IKM23" s="92">
        <v>0</v>
      </c>
      <c r="IKN23" s="92">
        <v>0</v>
      </c>
      <c r="IKO23" s="92">
        <v>0</v>
      </c>
      <c r="IKP23" s="92">
        <v>0</v>
      </c>
      <c r="IKQ23" s="92">
        <v>0</v>
      </c>
      <c r="IKR23" s="92">
        <v>0</v>
      </c>
      <c r="IKS23" s="92">
        <v>0</v>
      </c>
      <c r="IKT23" s="92">
        <v>0</v>
      </c>
      <c r="IKU23" s="92">
        <v>0</v>
      </c>
      <c r="IKV23" s="92">
        <v>0</v>
      </c>
      <c r="IKW23" s="92">
        <v>0</v>
      </c>
      <c r="IKX23" s="92">
        <v>0</v>
      </c>
      <c r="IKY23" s="92">
        <v>0</v>
      </c>
      <c r="IKZ23" s="92">
        <v>0</v>
      </c>
      <c r="ILA23" s="92">
        <v>0</v>
      </c>
      <c r="ILB23" s="92">
        <v>0</v>
      </c>
      <c r="ILC23" s="92">
        <v>0</v>
      </c>
      <c r="ILD23" s="92">
        <v>0</v>
      </c>
      <c r="ILE23" s="92">
        <v>0</v>
      </c>
      <c r="ILF23" s="92">
        <v>0</v>
      </c>
      <c r="ILG23" s="92">
        <v>0</v>
      </c>
      <c r="ILH23" s="92">
        <v>0</v>
      </c>
      <c r="ILI23" s="92">
        <v>0</v>
      </c>
      <c r="ILJ23" s="92">
        <v>0</v>
      </c>
      <c r="ILK23" s="92">
        <v>0</v>
      </c>
      <c r="ILL23" s="92">
        <v>0</v>
      </c>
      <c r="ILM23" s="92">
        <v>0</v>
      </c>
      <c r="ILN23" s="92">
        <v>0</v>
      </c>
      <c r="ILO23" s="92">
        <v>0</v>
      </c>
      <c r="ILP23" s="92">
        <v>0</v>
      </c>
      <c r="ILQ23" s="92">
        <v>0</v>
      </c>
      <c r="ILR23" s="92">
        <v>0</v>
      </c>
      <c r="ILS23" s="92">
        <v>0</v>
      </c>
      <c r="ILT23" s="92">
        <v>0</v>
      </c>
      <c r="ILU23" s="92">
        <v>0</v>
      </c>
      <c r="ILV23" s="92">
        <v>0</v>
      </c>
      <c r="ILW23" s="92">
        <v>0</v>
      </c>
      <c r="ILX23" s="92">
        <v>0</v>
      </c>
      <c r="ILY23" s="92">
        <v>0</v>
      </c>
      <c r="ILZ23" s="92">
        <v>0</v>
      </c>
      <c r="IMA23" s="92">
        <v>0</v>
      </c>
      <c r="IMB23" s="92">
        <v>0</v>
      </c>
      <c r="IMC23" s="92">
        <v>0</v>
      </c>
      <c r="IMD23" s="92">
        <v>0</v>
      </c>
      <c r="IME23" s="92">
        <v>0</v>
      </c>
      <c r="IMF23" s="92">
        <v>0</v>
      </c>
      <c r="IMG23" s="92">
        <v>0</v>
      </c>
      <c r="IMH23" s="92">
        <v>0</v>
      </c>
      <c r="IMI23" s="92">
        <v>0</v>
      </c>
      <c r="IMJ23" s="92">
        <v>0</v>
      </c>
      <c r="IMK23" s="92">
        <v>0</v>
      </c>
      <c r="IML23" s="92">
        <v>0</v>
      </c>
      <c r="IMM23" s="92">
        <v>0</v>
      </c>
      <c r="IMN23" s="92">
        <v>0</v>
      </c>
      <c r="IMO23" s="92">
        <v>0</v>
      </c>
      <c r="IMP23" s="92">
        <v>0</v>
      </c>
      <c r="IMQ23" s="92">
        <v>0</v>
      </c>
      <c r="IMR23" s="92">
        <v>0</v>
      </c>
      <c r="IMS23" s="92">
        <v>0</v>
      </c>
      <c r="IMT23" s="92">
        <v>0</v>
      </c>
      <c r="IMU23" s="92">
        <v>0</v>
      </c>
      <c r="IMV23" s="92">
        <v>0</v>
      </c>
      <c r="IMW23" s="92">
        <v>0</v>
      </c>
      <c r="IMX23" s="92">
        <v>0</v>
      </c>
      <c r="IMY23" s="92">
        <v>0</v>
      </c>
      <c r="IMZ23" s="92">
        <v>0</v>
      </c>
      <c r="INA23" s="92">
        <v>0</v>
      </c>
      <c r="INB23" s="92">
        <v>0</v>
      </c>
      <c r="INC23" s="92">
        <v>0</v>
      </c>
      <c r="IND23" s="92">
        <v>0</v>
      </c>
      <c r="INE23" s="92">
        <v>0</v>
      </c>
      <c r="INF23" s="92">
        <v>0</v>
      </c>
      <c r="ING23" s="92">
        <v>0</v>
      </c>
      <c r="INH23" s="92">
        <v>0</v>
      </c>
      <c r="INI23" s="92">
        <v>0</v>
      </c>
      <c r="INJ23" s="92">
        <v>0</v>
      </c>
      <c r="INK23" s="92">
        <v>0</v>
      </c>
      <c r="INL23" s="92">
        <v>0</v>
      </c>
      <c r="INM23" s="92">
        <v>0</v>
      </c>
      <c r="INN23" s="92">
        <v>0</v>
      </c>
      <c r="INO23" s="92">
        <v>0</v>
      </c>
      <c r="INP23" s="92">
        <v>0</v>
      </c>
      <c r="INQ23" s="92">
        <v>0</v>
      </c>
      <c r="INR23" s="92">
        <v>0</v>
      </c>
      <c r="INS23" s="92">
        <v>0</v>
      </c>
      <c r="INT23" s="92">
        <v>0</v>
      </c>
      <c r="INU23" s="92">
        <v>0</v>
      </c>
      <c r="INV23" s="92">
        <v>0</v>
      </c>
      <c r="INW23" s="92">
        <v>0</v>
      </c>
      <c r="INX23" s="92">
        <v>0</v>
      </c>
      <c r="INY23" s="92">
        <v>0</v>
      </c>
      <c r="INZ23" s="92">
        <v>0</v>
      </c>
      <c r="IOA23" s="92">
        <v>0</v>
      </c>
      <c r="IOB23" s="92">
        <v>0</v>
      </c>
      <c r="IOC23" s="92">
        <v>0</v>
      </c>
      <c r="IOD23" s="92">
        <v>0</v>
      </c>
      <c r="IOE23" s="92">
        <v>0</v>
      </c>
      <c r="IOF23" s="92">
        <v>0</v>
      </c>
      <c r="IOG23" s="92">
        <v>0</v>
      </c>
      <c r="IOH23" s="92">
        <v>0</v>
      </c>
      <c r="IOI23" s="92">
        <v>0</v>
      </c>
      <c r="IOJ23" s="92">
        <v>0</v>
      </c>
      <c r="IOK23" s="92">
        <v>0</v>
      </c>
      <c r="IOL23" s="92">
        <v>0</v>
      </c>
      <c r="IOM23" s="92">
        <v>0</v>
      </c>
      <c r="ION23" s="92">
        <v>0</v>
      </c>
      <c r="IOO23" s="92">
        <v>0</v>
      </c>
      <c r="IOP23" s="92">
        <v>0</v>
      </c>
      <c r="IOQ23" s="92">
        <v>0</v>
      </c>
      <c r="IOR23" s="92">
        <v>0</v>
      </c>
      <c r="IOS23" s="92">
        <v>0</v>
      </c>
      <c r="IOT23" s="92">
        <v>0</v>
      </c>
      <c r="IOU23" s="92">
        <v>0</v>
      </c>
      <c r="IOV23" s="92">
        <v>0</v>
      </c>
      <c r="IOW23" s="92">
        <v>0</v>
      </c>
      <c r="IOX23" s="92">
        <v>0</v>
      </c>
      <c r="IOY23" s="92">
        <v>0</v>
      </c>
      <c r="IOZ23" s="92">
        <v>0</v>
      </c>
      <c r="IPA23" s="92">
        <v>0</v>
      </c>
      <c r="IPB23" s="92">
        <v>0</v>
      </c>
      <c r="IPC23" s="92">
        <v>0</v>
      </c>
      <c r="IPD23" s="92">
        <v>0</v>
      </c>
      <c r="IPE23" s="92">
        <v>0</v>
      </c>
      <c r="IPF23" s="92">
        <v>0</v>
      </c>
      <c r="IPG23" s="92">
        <v>0</v>
      </c>
      <c r="IPH23" s="92">
        <v>0</v>
      </c>
      <c r="IPI23" s="92">
        <v>0</v>
      </c>
      <c r="IPJ23" s="92">
        <v>0</v>
      </c>
      <c r="IPK23" s="92">
        <v>0</v>
      </c>
      <c r="IPL23" s="92">
        <v>0</v>
      </c>
      <c r="IPM23" s="92">
        <v>0</v>
      </c>
      <c r="IPN23" s="92">
        <v>0</v>
      </c>
      <c r="IPO23" s="92">
        <v>0</v>
      </c>
      <c r="IPP23" s="92">
        <v>0</v>
      </c>
      <c r="IPQ23" s="92">
        <v>0</v>
      </c>
      <c r="IPR23" s="92">
        <v>0</v>
      </c>
      <c r="IPS23" s="92">
        <v>0</v>
      </c>
      <c r="IPT23" s="92">
        <v>0</v>
      </c>
      <c r="IPU23" s="92">
        <v>0</v>
      </c>
      <c r="IPV23" s="92">
        <v>0</v>
      </c>
      <c r="IPW23" s="92">
        <v>0</v>
      </c>
      <c r="IPX23" s="92">
        <v>0</v>
      </c>
      <c r="IPY23" s="92">
        <v>0</v>
      </c>
      <c r="IPZ23" s="92">
        <v>0</v>
      </c>
      <c r="IQA23" s="92">
        <v>0</v>
      </c>
      <c r="IQB23" s="92">
        <v>0</v>
      </c>
      <c r="IQC23" s="92">
        <v>0</v>
      </c>
      <c r="IQD23" s="92">
        <v>0</v>
      </c>
      <c r="IQE23" s="92">
        <v>0</v>
      </c>
      <c r="IQF23" s="92">
        <v>0</v>
      </c>
      <c r="IQG23" s="92">
        <v>0</v>
      </c>
      <c r="IQH23" s="92">
        <v>0</v>
      </c>
      <c r="IQI23" s="92">
        <v>0</v>
      </c>
      <c r="IQJ23" s="92">
        <v>0</v>
      </c>
      <c r="IQK23" s="92">
        <v>0</v>
      </c>
      <c r="IQL23" s="92">
        <v>0</v>
      </c>
      <c r="IQM23" s="92">
        <v>0</v>
      </c>
      <c r="IQN23" s="92">
        <v>0</v>
      </c>
      <c r="IQO23" s="92">
        <v>0</v>
      </c>
      <c r="IQP23" s="92">
        <v>0</v>
      </c>
      <c r="IQQ23" s="92">
        <v>0</v>
      </c>
      <c r="IQR23" s="92">
        <v>0</v>
      </c>
      <c r="IQS23" s="92">
        <v>0</v>
      </c>
      <c r="IQT23" s="92">
        <v>0</v>
      </c>
      <c r="IQU23" s="92">
        <v>0</v>
      </c>
      <c r="IQV23" s="92">
        <v>0</v>
      </c>
      <c r="IQW23" s="92">
        <v>0</v>
      </c>
      <c r="IQX23" s="92">
        <v>0</v>
      </c>
      <c r="IQY23" s="92">
        <v>0</v>
      </c>
      <c r="IQZ23" s="92">
        <v>0</v>
      </c>
      <c r="IRA23" s="92">
        <v>0</v>
      </c>
      <c r="IRB23" s="92">
        <v>0</v>
      </c>
      <c r="IRC23" s="92">
        <v>0</v>
      </c>
      <c r="IRD23" s="92">
        <v>0</v>
      </c>
      <c r="IRE23" s="92">
        <v>0</v>
      </c>
      <c r="IRF23" s="92">
        <v>0</v>
      </c>
      <c r="IRG23" s="92">
        <v>0</v>
      </c>
      <c r="IRH23" s="92">
        <v>0</v>
      </c>
      <c r="IRI23" s="92">
        <v>0</v>
      </c>
      <c r="IRJ23" s="92">
        <v>0</v>
      </c>
      <c r="IRK23" s="92">
        <v>0</v>
      </c>
      <c r="IRL23" s="92">
        <v>0</v>
      </c>
      <c r="IRM23" s="92">
        <v>0</v>
      </c>
      <c r="IRN23" s="92">
        <v>0</v>
      </c>
      <c r="IRO23" s="92">
        <v>0</v>
      </c>
      <c r="IRP23" s="92">
        <v>0</v>
      </c>
      <c r="IRQ23" s="92">
        <v>0</v>
      </c>
      <c r="IRR23" s="92">
        <v>0</v>
      </c>
      <c r="IRS23" s="92">
        <v>0</v>
      </c>
      <c r="IRT23" s="92">
        <v>0</v>
      </c>
      <c r="IRU23" s="92">
        <v>0</v>
      </c>
      <c r="IRV23" s="92">
        <v>0</v>
      </c>
      <c r="IRW23" s="92">
        <v>0</v>
      </c>
      <c r="IRX23" s="92">
        <v>0</v>
      </c>
      <c r="IRY23" s="92">
        <v>0</v>
      </c>
      <c r="IRZ23" s="92">
        <v>0</v>
      </c>
      <c r="ISA23" s="92">
        <v>0</v>
      </c>
      <c r="ISB23" s="92">
        <v>0</v>
      </c>
      <c r="ISC23" s="92">
        <v>0</v>
      </c>
      <c r="ISD23" s="92">
        <v>0</v>
      </c>
      <c r="ISE23" s="92">
        <v>0</v>
      </c>
      <c r="ISF23" s="92">
        <v>0</v>
      </c>
      <c r="ISG23" s="92">
        <v>0</v>
      </c>
      <c r="ISH23" s="92">
        <v>0</v>
      </c>
      <c r="ISI23" s="92">
        <v>0</v>
      </c>
      <c r="ISJ23" s="92">
        <v>0</v>
      </c>
      <c r="ISK23" s="92">
        <v>0</v>
      </c>
      <c r="ISL23" s="92">
        <v>0</v>
      </c>
      <c r="ISM23" s="92">
        <v>0</v>
      </c>
      <c r="ISN23" s="92">
        <v>0</v>
      </c>
      <c r="ISO23" s="92">
        <v>0</v>
      </c>
      <c r="ISP23" s="92">
        <v>0</v>
      </c>
      <c r="ISQ23" s="92">
        <v>0</v>
      </c>
      <c r="ISR23" s="92">
        <v>0</v>
      </c>
      <c r="ISS23" s="92">
        <v>0</v>
      </c>
      <c r="IST23" s="92">
        <v>0</v>
      </c>
      <c r="ISU23" s="92">
        <v>0</v>
      </c>
      <c r="ISV23" s="92">
        <v>0</v>
      </c>
      <c r="ISW23" s="92">
        <v>0</v>
      </c>
      <c r="ISX23" s="92">
        <v>0</v>
      </c>
      <c r="ISY23" s="92">
        <v>0</v>
      </c>
      <c r="ISZ23" s="92">
        <v>0</v>
      </c>
      <c r="ITA23" s="92">
        <v>0</v>
      </c>
      <c r="ITB23" s="92">
        <v>0</v>
      </c>
      <c r="ITC23" s="92">
        <v>0</v>
      </c>
      <c r="ITD23" s="92">
        <v>0</v>
      </c>
      <c r="ITE23" s="92">
        <v>0</v>
      </c>
      <c r="ITF23" s="92">
        <v>0</v>
      </c>
      <c r="ITG23" s="92">
        <v>0</v>
      </c>
      <c r="ITH23" s="92">
        <v>0</v>
      </c>
      <c r="ITI23" s="92">
        <v>0</v>
      </c>
      <c r="ITJ23" s="92">
        <v>0</v>
      </c>
      <c r="ITK23" s="92">
        <v>0</v>
      </c>
      <c r="ITL23" s="92">
        <v>0</v>
      </c>
      <c r="ITM23" s="92">
        <v>0</v>
      </c>
      <c r="ITN23" s="92">
        <v>0</v>
      </c>
      <c r="ITO23" s="92">
        <v>0</v>
      </c>
      <c r="ITP23" s="92">
        <v>0</v>
      </c>
      <c r="ITQ23" s="92">
        <v>0</v>
      </c>
      <c r="ITR23" s="92">
        <v>0</v>
      </c>
      <c r="ITS23" s="92">
        <v>0</v>
      </c>
      <c r="ITT23" s="92">
        <v>0</v>
      </c>
      <c r="ITU23" s="92">
        <v>0</v>
      </c>
      <c r="ITV23" s="92">
        <v>0</v>
      </c>
      <c r="ITW23" s="92">
        <v>0</v>
      </c>
      <c r="ITX23" s="92">
        <v>0</v>
      </c>
      <c r="ITY23" s="92">
        <v>0</v>
      </c>
      <c r="ITZ23" s="92">
        <v>0</v>
      </c>
      <c r="IUA23" s="92">
        <v>0</v>
      </c>
      <c r="IUB23" s="92">
        <v>0</v>
      </c>
      <c r="IUC23" s="92">
        <v>0</v>
      </c>
      <c r="IUD23" s="92">
        <v>0</v>
      </c>
      <c r="IUE23" s="92">
        <v>0</v>
      </c>
      <c r="IUF23" s="92">
        <v>0</v>
      </c>
      <c r="IUG23" s="92">
        <v>0</v>
      </c>
      <c r="IUH23" s="92">
        <v>0</v>
      </c>
      <c r="IUI23" s="92">
        <v>0</v>
      </c>
      <c r="IUJ23" s="92">
        <v>0</v>
      </c>
      <c r="IUK23" s="92">
        <v>0</v>
      </c>
      <c r="IUL23" s="92">
        <v>0</v>
      </c>
      <c r="IUM23" s="92">
        <v>0</v>
      </c>
      <c r="IUN23" s="92">
        <v>0</v>
      </c>
      <c r="IUO23" s="92">
        <v>0</v>
      </c>
      <c r="IUP23" s="92">
        <v>0</v>
      </c>
      <c r="IUQ23" s="92">
        <v>0</v>
      </c>
      <c r="IUR23" s="92">
        <v>0</v>
      </c>
      <c r="IUS23" s="92">
        <v>0</v>
      </c>
      <c r="IUT23" s="92">
        <v>0</v>
      </c>
      <c r="IUU23" s="92">
        <v>0</v>
      </c>
      <c r="IUV23" s="92">
        <v>0</v>
      </c>
      <c r="IUW23" s="92">
        <v>0</v>
      </c>
      <c r="IUX23" s="92">
        <v>0</v>
      </c>
      <c r="IUY23" s="92">
        <v>0</v>
      </c>
      <c r="IUZ23" s="92">
        <v>0</v>
      </c>
      <c r="IVA23" s="92">
        <v>0</v>
      </c>
      <c r="IVB23" s="92">
        <v>0</v>
      </c>
      <c r="IVC23" s="92">
        <v>0</v>
      </c>
      <c r="IVD23" s="92">
        <v>0</v>
      </c>
      <c r="IVE23" s="92">
        <v>0</v>
      </c>
      <c r="IVF23" s="92">
        <v>0</v>
      </c>
      <c r="IVG23" s="92">
        <v>0</v>
      </c>
      <c r="IVH23" s="92">
        <v>0</v>
      </c>
      <c r="IVI23" s="92">
        <v>0</v>
      </c>
      <c r="IVJ23" s="92">
        <v>0</v>
      </c>
      <c r="IVK23" s="92">
        <v>0</v>
      </c>
      <c r="IVL23" s="92">
        <v>0</v>
      </c>
      <c r="IVM23" s="92">
        <v>0</v>
      </c>
      <c r="IVN23" s="92">
        <v>0</v>
      </c>
      <c r="IVO23" s="92">
        <v>0</v>
      </c>
      <c r="IVP23" s="92">
        <v>0</v>
      </c>
      <c r="IVQ23" s="92">
        <v>0</v>
      </c>
      <c r="IVR23" s="92">
        <v>0</v>
      </c>
      <c r="IVS23" s="92">
        <v>0</v>
      </c>
      <c r="IVT23" s="92">
        <v>0</v>
      </c>
      <c r="IVU23" s="92">
        <v>0</v>
      </c>
      <c r="IVV23" s="92">
        <v>0</v>
      </c>
      <c r="IVW23" s="92">
        <v>0</v>
      </c>
      <c r="IVX23" s="92">
        <v>0</v>
      </c>
      <c r="IVY23" s="92">
        <v>0</v>
      </c>
      <c r="IVZ23" s="92">
        <v>0</v>
      </c>
      <c r="IWA23" s="92">
        <v>0</v>
      </c>
      <c r="IWB23" s="92">
        <v>0</v>
      </c>
      <c r="IWC23" s="92">
        <v>0</v>
      </c>
      <c r="IWD23" s="92">
        <v>0</v>
      </c>
      <c r="IWE23" s="92">
        <v>0</v>
      </c>
      <c r="IWF23" s="92">
        <v>0</v>
      </c>
      <c r="IWG23" s="92">
        <v>0</v>
      </c>
      <c r="IWH23" s="92">
        <v>0</v>
      </c>
      <c r="IWI23" s="92">
        <v>0</v>
      </c>
      <c r="IWJ23" s="92">
        <v>0</v>
      </c>
      <c r="IWK23" s="92">
        <v>0</v>
      </c>
      <c r="IWL23" s="92">
        <v>0</v>
      </c>
      <c r="IWM23" s="92">
        <v>0</v>
      </c>
      <c r="IWN23" s="92">
        <v>0</v>
      </c>
      <c r="IWO23" s="92">
        <v>0</v>
      </c>
      <c r="IWP23" s="92">
        <v>0</v>
      </c>
      <c r="IWQ23" s="92">
        <v>0</v>
      </c>
      <c r="IWR23" s="92">
        <v>0</v>
      </c>
      <c r="IWS23" s="92">
        <v>0</v>
      </c>
      <c r="IWT23" s="92">
        <v>0</v>
      </c>
      <c r="IWU23" s="92">
        <v>0</v>
      </c>
      <c r="IWV23" s="92">
        <v>0</v>
      </c>
      <c r="IWW23" s="92">
        <v>0</v>
      </c>
      <c r="IWX23" s="92">
        <v>0</v>
      </c>
      <c r="IWY23" s="92">
        <v>0</v>
      </c>
      <c r="IWZ23" s="92">
        <v>0</v>
      </c>
      <c r="IXA23" s="92">
        <v>0</v>
      </c>
      <c r="IXB23" s="92">
        <v>0</v>
      </c>
      <c r="IXC23" s="92">
        <v>0</v>
      </c>
      <c r="IXD23" s="92">
        <v>0</v>
      </c>
      <c r="IXE23" s="92">
        <v>0</v>
      </c>
      <c r="IXF23" s="92">
        <v>0</v>
      </c>
      <c r="IXG23" s="92">
        <v>0</v>
      </c>
      <c r="IXH23" s="92">
        <v>0</v>
      </c>
      <c r="IXI23" s="92">
        <v>0</v>
      </c>
      <c r="IXJ23" s="92">
        <v>0</v>
      </c>
      <c r="IXK23" s="92">
        <v>0</v>
      </c>
      <c r="IXL23" s="92">
        <v>0</v>
      </c>
      <c r="IXM23" s="92">
        <v>0</v>
      </c>
      <c r="IXN23" s="92">
        <v>0</v>
      </c>
      <c r="IXO23" s="92">
        <v>0</v>
      </c>
      <c r="IXP23" s="92">
        <v>0</v>
      </c>
      <c r="IXQ23" s="92">
        <v>0</v>
      </c>
      <c r="IXR23" s="92">
        <v>0</v>
      </c>
      <c r="IXS23" s="92">
        <v>0</v>
      </c>
      <c r="IXT23" s="92">
        <v>0</v>
      </c>
      <c r="IXU23" s="92">
        <v>0</v>
      </c>
      <c r="IXV23" s="92">
        <v>0</v>
      </c>
      <c r="IXW23" s="92">
        <v>0</v>
      </c>
      <c r="IXX23" s="92">
        <v>0</v>
      </c>
      <c r="IXY23" s="92">
        <v>0</v>
      </c>
      <c r="IXZ23" s="92">
        <v>0</v>
      </c>
      <c r="IYA23" s="92">
        <v>0</v>
      </c>
      <c r="IYB23" s="92">
        <v>0</v>
      </c>
      <c r="IYC23" s="92">
        <v>0</v>
      </c>
      <c r="IYD23" s="92">
        <v>0</v>
      </c>
      <c r="IYE23" s="92">
        <v>0</v>
      </c>
      <c r="IYF23" s="92">
        <v>0</v>
      </c>
      <c r="IYG23" s="92">
        <v>0</v>
      </c>
      <c r="IYH23" s="92">
        <v>0</v>
      </c>
      <c r="IYI23" s="92">
        <v>0</v>
      </c>
      <c r="IYJ23" s="92">
        <v>0</v>
      </c>
      <c r="IYK23" s="92">
        <v>0</v>
      </c>
      <c r="IYL23" s="92">
        <v>0</v>
      </c>
      <c r="IYM23" s="92">
        <v>0</v>
      </c>
      <c r="IYN23" s="92">
        <v>0</v>
      </c>
      <c r="IYO23" s="92">
        <v>0</v>
      </c>
      <c r="IYP23" s="92">
        <v>0</v>
      </c>
      <c r="IYQ23" s="92">
        <v>0</v>
      </c>
      <c r="IYR23" s="92">
        <v>0</v>
      </c>
      <c r="IYS23" s="92">
        <v>0</v>
      </c>
      <c r="IYT23" s="92">
        <v>0</v>
      </c>
      <c r="IYU23" s="92">
        <v>0</v>
      </c>
      <c r="IYV23" s="92">
        <v>0</v>
      </c>
      <c r="IYW23" s="92">
        <v>0</v>
      </c>
      <c r="IYX23" s="92">
        <v>0</v>
      </c>
      <c r="IYY23" s="92">
        <v>0</v>
      </c>
      <c r="IYZ23" s="92">
        <v>0</v>
      </c>
      <c r="IZA23" s="92">
        <v>0</v>
      </c>
      <c r="IZB23" s="92">
        <v>0</v>
      </c>
      <c r="IZC23" s="92">
        <v>0</v>
      </c>
      <c r="IZD23" s="92">
        <v>0</v>
      </c>
      <c r="IZE23" s="92">
        <v>0</v>
      </c>
      <c r="IZF23" s="92">
        <v>0</v>
      </c>
      <c r="IZG23" s="92">
        <v>0</v>
      </c>
      <c r="IZH23" s="92">
        <v>0</v>
      </c>
      <c r="IZI23" s="92">
        <v>0</v>
      </c>
      <c r="IZJ23" s="92">
        <v>0</v>
      </c>
      <c r="IZK23" s="92">
        <v>0</v>
      </c>
      <c r="IZL23" s="92">
        <v>0</v>
      </c>
      <c r="IZM23" s="92">
        <v>0</v>
      </c>
      <c r="IZN23" s="92">
        <v>0</v>
      </c>
      <c r="IZO23" s="92">
        <v>0</v>
      </c>
      <c r="IZP23" s="92">
        <v>0</v>
      </c>
      <c r="IZQ23" s="92">
        <v>0</v>
      </c>
      <c r="IZR23" s="92">
        <v>0</v>
      </c>
      <c r="IZS23" s="92">
        <v>0</v>
      </c>
      <c r="IZT23" s="92">
        <v>0</v>
      </c>
      <c r="IZU23" s="92">
        <v>0</v>
      </c>
      <c r="IZV23" s="92">
        <v>0</v>
      </c>
      <c r="IZW23" s="92">
        <v>0</v>
      </c>
      <c r="IZX23" s="92">
        <v>0</v>
      </c>
      <c r="IZY23" s="92">
        <v>0</v>
      </c>
      <c r="IZZ23" s="92">
        <v>0</v>
      </c>
      <c r="JAA23" s="92">
        <v>0</v>
      </c>
      <c r="JAB23" s="92">
        <v>0</v>
      </c>
      <c r="JAC23" s="92">
        <v>0</v>
      </c>
      <c r="JAD23" s="92">
        <v>0</v>
      </c>
      <c r="JAE23" s="92">
        <v>0</v>
      </c>
      <c r="JAF23" s="92">
        <v>0</v>
      </c>
      <c r="JAG23" s="92">
        <v>0</v>
      </c>
      <c r="JAH23" s="92">
        <v>0</v>
      </c>
      <c r="JAI23" s="92">
        <v>0</v>
      </c>
      <c r="JAJ23" s="92">
        <v>0</v>
      </c>
      <c r="JAK23" s="92">
        <v>0</v>
      </c>
      <c r="JAL23" s="92">
        <v>0</v>
      </c>
      <c r="JAM23" s="92">
        <v>0</v>
      </c>
      <c r="JAN23" s="92">
        <v>0</v>
      </c>
      <c r="JAO23" s="92">
        <v>0</v>
      </c>
      <c r="JAP23" s="92">
        <v>0</v>
      </c>
      <c r="JAQ23" s="92">
        <v>0</v>
      </c>
      <c r="JAR23" s="92">
        <v>0</v>
      </c>
      <c r="JAS23" s="92">
        <v>0</v>
      </c>
      <c r="JAT23" s="92">
        <v>0</v>
      </c>
      <c r="JAU23" s="92">
        <v>0</v>
      </c>
      <c r="JAV23" s="92">
        <v>0</v>
      </c>
      <c r="JAW23" s="92">
        <v>0</v>
      </c>
      <c r="JAX23" s="92">
        <v>0</v>
      </c>
      <c r="JAY23" s="92">
        <v>0</v>
      </c>
      <c r="JAZ23" s="92">
        <v>0</v>
      </c>
      <c r="JBA23" s="92">
        <v>0</v>
      </c>
      <c r="JBB23" s="92">
        <v>0</v>
      </c>
      <c r="JBC23" s="92">
        <v>0</v>
      </c>
      <c r="JBD23" s="92">
        <v>0</v>
      </c>
      <c r="JBE23" s="92">
        <v>0</v>
      </c>
      <c r="JBF23" s="92">
        <v>0</v>
      </c>
      <c r="JBG23" s="92">
        <v>0</v>
      </c>
      <c r="JBH23" s="92">
        <v>0</v>
      </c>
      <c r="JBI23" s="92">
        <v>0</v>
      </c>
      <c r="JBJ23" s="92">
        <v>0</v>
      </c>
      <c r="JBK23" s="92">
        <v>0</v>
      </c>
      <c r="JBL23" s="92">
        <v>0</v>
      </c>
      <c r="JBM23" s="92">
        <v>0</v>
      </c>
      <c r="JBN23" s="92">
        <v>0</v>
      </c>
      <c r="JBO23" s="92">
        <v>0</v>
      </c>
      <c r="JBP23" s="92">
        <v>0</v>
      </c>
      <c r="JBQ23" s="92">
        <v>0</v>
      </c>
      <c r="JBR23" s="92">
        <v>0</v>
      </c>
      <c r="JBS23" s="92">
        <v>0</v>
      </c>
      <c r="JBT23" s="92">
        <v>0</v>
      </c>
      <c r="JBU23" s="92">
        <v>0</v>
      </c>
      <c r="JBV23" s="92">
        <v>0</v>
      </c>
      <c r="JBW23" s="92">
        <v>0</v>
      </c>
      <c r="JBX23" s="92">
        <v>0</v>
      </c>
      <c r="JBY23" s="92">
        <v>0</v>
      </c>
      <c r="JBZ23" s="92">
        <v>0</v>
      </c>
      <c r="JCA23" s="92">
        <v>0</v>
      </c>
      <c r="JCB23" s="92">
        <v>0</v>
      </c>
      <c r="JCC23" s="92">
        <v>0</v>
      </c>
      <c r="JCD23" s="92">
        <v>0</v>
      </c>
      <c r="JCE23" s="92">
        <v>0</v>
      </c>
      <c r="JCF23" s="92">
        <v>0</v>
      </c>
      <c r="JCG23" s="92">
        <v>0</v>
      </c>
      <c r="JCH23" s="92">
        <v>0</v>
      </c>
      <c r="JCI23" s="92">
        <v>0</v>
      </c>
      <c r="JCJ23" s="92">
        <v>0</v>
      </c>
      <c r="JCK23" s="92">
        <v>0</v>
      </c>
      <c r="JCL23" s="92">
        <v>0</v>
      </c>
      <c r="JCM23" s="92">
        <v>0</v>
      </c>
      <c r="JCN23" s="92">
        <v>0</v>
      </c>
      <c r="JCO23" s="92">
        <v>0</v>
      </c>
      <c r="JCP23" s="92">
        <v>0</v>
      </c>
      <c r="JCQ23" s="92">
        <v>0</v>
      </c>
      <c r="JCR23" s="92">
        <v>0</v>
      </c>
      <c r="JCS23" s="92">
        <v>0</v>
      </c>
      <c r="JCT23" s="92">
        <v>0</v>
      </c>
      <c r="JCU23" s="92">
        <v>0</v>
      </c>
      <c r="JCV23" s="92">
        <v>0</v>
      </c>
      <c r="JCW23" s="92">
        <v>0</v>
      </c>
      <c r="JCX23" s="92">
        <v>0</v>
      </c>
      <c r="JCY23" s="92">
        <v>0</v>
      </c>
      <c r="JCZ23" s="92">
        <v>0</v>
      </c>
      <c r="JDA23" s="92">
        <v>0</v>
      </c>
      <c r="JDB23" s="92">
        <v>0</v>
      </c>
      <c r="JDC23" s="92">
        <v>0</v>
      </c>
      <c r="JDD23" s="92">
        <v>0</v>
      </c>
      <c r="JDE23" s="92">
        <v>0</v>
      </c>
      <c r="JDF23" s="92">
        <v>0</v>
      </c>
      <c r="JDG23" s="92">
        <v>0</v>
      </c>
      <c r="JDH23" s="92">
        <v>0</v>
      </c>
      <c r="JDI23" s="92">
        <v>0</v>
      </c>
      <c r="JDJ23" s="92">
        <v>0</v>
      </c>
      <c r="JDK23" s="92">
        <v>0</v>
      </c>
      <c r="JDL23" s="92">
        <v>0</v>
      </c>
      <c r="JDM23" s="92">
        <v>0</v>
      </c>
      <c r="JDN23" s="92">
        <v>0</v>
      </c>
      <c r="JDO23" s="92">
        <v>0</v>
      </c>
      <c r="JDP23" s="92">
        <v>0</v>
      </c>
      <c r="JDQ23" s="92">
        <v>0</v>
      </c>
      <c r="JDR23" s="92">
        <v>0</v>
      </c>
      <c r="JDS23" s="92">
        <v>0</v>
      </c>
      <c r="JDT23" s="92">
        <v>0</v>
      </c>
      <c r="JDU23" s="92">
        <v>0</v>
      </c>
      <c r="JDV23" s="92">
        <v>0</v>
      </c>
      <c r="JDW23" s="92">
        <v>0</v>
      </c>
      <c r="JDX23" s="92">
        <v>0</v>
      </c>
      <c r="JDY23" s="92">
        <v>0</v>
      </c>
      <c r="JDZ23" s="92">
        <v>0</v>
      </c>
      <c r="JEA23" s="92">
        <v>0</v>
      </c>
      <c r="JEB23" s="92">
        <v>0</v>
      </c>
      <c r="JEC23" s="92">
        <v>0</v>
      </c>
      <c r="JED23" s="92">
        <v>0</v>
      </c>
      <c r="JEE23" s="92">
        <v>0</v>
      </c>
      <c r="JEF23" s="92">
        <v>0</v>
      </c>
      <c r="JEG23" s="92">
        <v>0</v>
      </c>
      <c r="JEH23" s="92">
        <v>0</v>
      </c>
      <c r="JEI23" s="92">
        <v>0</v>
      </c>
      <c r="JEJ23" s="92">
        <v>0</v>
      </c>
      <c r="JEK23" s="92">
        <v>0</v>
      </c>
      <c r="JEL23" s="92">
        <v>0</v>
      </c>
      <c r="JEM23" s="92">
        <v>0</v>
      </c>
      <c r="JEN23" s="92">
        <v>0</v>
      </c>
      <c r="JEO23" s="92">
        <v>0</v>
      </c>
      <c r="JEP23" s="92">
        <v>0</v>
      </c>
      <c r="JEQ23" s="92">
        <v>0</v>
      </c>
      <c r="JER23" s="92">
        <v>0</v>
      </c>
      <c r="JES23" s="92">
        <v>0</v>
      </c>
      <c r="JET23" s="92">
        <v>0</v>
      </c>
      <c r="JEU23" s="92">
        <v>0</v>
      </c>
      <c r="JEV23" s="92">
        <v>0</v>
      </c>
      <c r="JEW23" s="92">
        <v>0</v>
      </c>
      <c r="JEX23" s="92">
        <v>0</v>
      </c>
      <c r="JEY23" s="92">
        <v>0</v>
      </c>
      <c r="JEZ23" s="92">
        <v>0</v>
      </c>
      <c r="JFA23" s="92">
        <v>0</v>
      </c>
      <c r="JFB23" s="92">
        <v>0</v>
      </c>
      <c r="JFC23" s="92">
        <v>0</v>
      </c>
      <c r="JFD23" s="92">
        <v>0</v>
      </c>
      <c r="JFE23" s="92">
        <v>0</v>
      </c>
      <c r="JFF23" s="92">
        <v>0</v>
      </c>
      <c r="JFG23" s="92">
        <v>0</v>
      </c>
      <c r="JFH23" s="92">
        <v>0</v>
      </c>
      <c r="JFI23" s="92">
        <v>0</v>
      </c>
      <c r="JFJ23" s="92">
        <v>0</v>
      </c>
      <c r="JFK23" s="92">
        <v>0</v>
      </c>
      <c r="JFL23" s="92">
        <v>0</v>
      </c>
      <c r="JFM23" s="92">
        <v>0</v>
      </c>
      <c r="JFN23" s="92">
        <v>0</v>
      </c>
      <c r="JFO23" s="92">
        <v>0</v>
      </c>
      <c r="JFP23" s="92">
        <v>0</v>
      </c>
      <c r="JFQ23" s="92">
        <v>0</v>
      </c>
      <c r="JFR23" s="92">
        <v>0</v>
      </c>
      <c r="JFS23" s="92">
        <v>0</v>
      </c>
      <c r="JFT23" s="92">
        <v>0</v>
      </c>
      <c r="JFU23" s="92">
        <v>0</v>
      </c>
      <c r="JFV23" s="92">
        <v>0</v>
      </c>
      <c r="JFW23" s="92">
        <v>0</v>
      </c>
      <c r="JFX23" s="92">
        <v>0</v>
      </c>
      <c r="JFY23" s="92">
        <v>0</v>
      </c>
      <c r="JFZ23" s="92">
        <v>0</v>
      </c>
      <c r="JGA23" s="92">
        <v>0</v>
      </c>
      <c r="JGB23" s="92">
        <v>0</v>
      </c>
      <c r="JGC23" s="92">
        <v>0</v>
      </c>
      <c r="JGD23" s="92">
        <v>0</v>
      </c>
      <c r="JGE23" s="92">
        <v>0</v>
      </c>
      <c r="JGF23" s="92">
        <v>0</v>
      </c>
      <c r="JGG23" s="92">
        <v>0</v>
      </c>
      <c r="JGH23" s="92">
        <v>0</v>
      </c>
      <c r="JGI23" s="92">
        <v>0</v>
      </c>
      <c r="JGJ23" s="92">
        <v>0</v>
      </c>
      <c r="JGK23" s="92">
        <v>0</v>
      </c>
      <c r="JGL23" s="92">
        <v>0</v>
      </c>
      <c r="JGM23" s="92">
        <v>0</v>
      </c>
      <c r="JGN23" s="92">
        <v>0</v>
      </c>
      <c r="JGO23" s="92">
        <v>0</v>
      </c>
      <c r="JGP23" s="92">
        <v>0</v>
      </c>
      <c r="JGQ23" s="92">
        <v>0</v>
      </c>
      <c r="JGR23" s="92">
        <v>0</v>
      </c>
      <c r="JGS23" s="92">
        <v>0</v>
      </c>
      <c r="JGT23" s="92">
        <v>0</v>
      </c>
      <c r="JGU23" s="92">
        <v>0</v>
      </c>
      <c r="JGV23" s="92">
        <v>0</v>
      </c>
      <c r="JGW23" s="92">
        <v>0</v>
      </c>
      <c r="JGX23" s="92">
        <v>0</v>
      </c>
      <c r="JGY23" s="92">
        <v>0</v>
      </c>
      <c r="JGZ23" s="92">
        <v>0</v>
      </c>
      <c r="JHA23" s="92">
        <v>0</v>
      </c>
      <c r="JHB23" s="92">
        <v>0</v>
      </c>
      <c r="JHC23" s="92">
        <v>0</v>
      </c>
      <c r="JHD23" s="92">
        <v>0</v>
      </c>
      <c r="JHE23" s="92">
        <v>0</v>
      </c>
      <c r="JHF23" s="92">
        <v>0</v>
      </c>
      <c r="JHG23" s="92">
        <v>0</v>
      </c>
      <c r="JHH23" s="92">
        <v>0</v>
      </c>
      <c r="JHI23" s="92">
        <v>0</v>
      </c>
      <c r="JHJ23" s="92">
        <v>0</v>
      </c>
      <c r="JHK23" s="92">
        <v>0</v>
      </c>
      <c r="JHL23" s="92">
        <v>0</v>
      </c>
      <c r="JHM23" s="92">
        <v>0</v>
      </c>
      <c r="JHN23" s="92">
        <v>0</v>
      </c>
      <c r="JHO23" s="92">
        <v>0</v>
      </c>
      <c r="JHP23" s="92">
        <v>0</v>
      </c>
      <c r="JHQ23" s="92">
        <v>0</v>
      </c>
      <c r="JHR23" s="92">
        <v>0</v>
      </c>
      <c r="JHS23" s="92">
        <v>0</v>
      </c>
      <c r="JHT23" s="92">
        <v>0</v>
      </c>
      <c r="JHU23" s="92">
        <v>0</v>
      </c>
      <c r="JHV23" s="92">
        <v>0</v>
      </c>
      <c r="JHW23" s="92">
        <v>0</v>
      </c>
      <c r="JHX23" s="92">
        <v>0</v>
      </c>
      <c r="JHY23" s="92">
        <v>0</v>
      </c>
      <c r="JHZ23" s="92">
        <v>0</v>
      </c>
      <c r="JIA23" s="92">
        <v>0</v>
      </c>
      <c r="JIB23" s="92">
        <v>0</v>
      </c>
      <c r="JIC23" s="92">
        <v>0</v>
      </c>
      <c r="JID23" s="92">
        <v>0</v>
      </c>
      <c r="JIE23" s="92">
        <v>0</v>
      </c>
      <c r="JIF23" s="92">
        <v>0</v>
      </c>
      <c r="JIG23" s="92">
        <v>0</v>
      </c>
      <c r="JIH23" s="92">
        <v>0</v>
      </c>
      <c r="JII23" s="92">
        <v>0</v>
      </c>
      <c r="JIJ23" s="92">
        <v>0</v>
      </c>
      <c r="JIK23" s="92">
        <v>0</v>
      </c>
      <c r="JIL23" s="92">
        <v>0</v>
      </c>
      <c r="JIM23" s="92">
        <v>0</v>
      </c>
      <c r="JIN23" s="92">
        <v>0</v>
      </c>
      <c r="JIO23" s="92">
        <v>0</v>
      </c>
      <c r="JIP23" s="92">
        <v>0</v>
      </c>
      <c r="JIQ23" s="92">
        <v>0</v>
      </c>
      <c r="JIR23" s="92">
        <v>0</v>
      </c>
      <c r="JIS23" s="92">
        <v>0</v>
      </c>
      <c r="JIT23" s="92">
        <v>0</v>
      </c>
      <c r="JIU23" s="92">
        <v>0</v>
      </c>
      <c r="JIV23" s="92">
        <v>0</v>
      </c>
      <c r="JIW23" s="92">
        <v>0</v>
      </c>
      <c r="JIX23" s="92">
        <v>0</v>
      </c>
      <c r="JIY23" s="92">
        <v>0</v>
      </c>
      <c r="JIZ23" s="92">
        <v>0</v>
      </c>
      <c r="JJA23" s="92">
        <v>0</v>
      </c>
      <c r="JJB23" s="92">
        <v>0</v>
      </c>
      <c r="JJC23" s="92">
        <v>0</v>
      </c>
      <c r="JJD23" s="92">
        <v>0</v>
      </c>
      <c r="JJE23" s="92">
        <v>0</v>
      </c>
      <c r="JJF23" s="92">
        <v>0</v>
      </c>
      <c r="JJG23" s="92">
        <v>0</v>
      </c>
      <c r="JJH23" s="92">
        <v>0</v>
      </c>
      <c r="JJI23" s="92">
        <v>0</v>
      </c>
      <c r="JJJ23" s="92">
        <v>0</v>
      </c>
      <c r="JJK23" s="92">
        <v>0</v>
      </c>
      <c r="JJL23" s="92">
        <v>0</v>
      </c>
      <c r="JJM23" s="92">
        <v>0</v>
      </c>
      <c r="JJN23" s="92">
        <v>0</v>
      </c>
      <c r="JJO23" s="92">
        <v>0</v>
      </c>
      <c r="JJP23" s="92">
        <v>0</v>
      </c>
      <c r="JJQ23" s="92">
        <v>0</v>
      </c>
      <c r="JJR23" s="92">
        <v>0</v>
      </c>
      <c r="JJS23" s="92">
        <v>0</v>
      </c>
      <c r="JJT23" s="92">
        <v>0</v>
      </c>
      <c r="JJU23" s="92">
        <v>0</v>
      </c>
      <c r="JJV23" s="92">
        <v>0</v>
      </c>
      <c r="JJW23" s="92">
        <v>0</v>
      </c>
      <c r="JJX23" s="92">
        <v>0</v>
      </c>
      <c r="JJY23" s="92">
        <v>0</v>
      </c>
      <c r="JJZ23" s="92">
        <v>0</v>
      </c>
      <c r="JKA23" s="92">
        <v>0</v>
      </c>
      <c r="JKB23" s="92">
        <v>0</v>
      </c>
      <c r="JKC23" s="92">
        <v>0</v>
      </c>
      <c r="JKD23" s="92">
        <v>0</v>
      </c>
      <c r="JKE23" s="92">
        <v>0</v>
      </c>
      <c r="JKF23" s="92">
        <v>0</v>
      </c>
      <c r="JKG23" s="92">
        <v>0</v>
      </c>
      <c r="JKH23" s="92">
        <v>0</v>
      </c>
      <c r="JKI23" s="92">
        <v>0</v>
      </c>
      <c r="JKJ23" s="92">
        <v>0</v>
      </c>
      <c r="JKK23" s="92">
        <v>0</v>
      </c>
      <c r="JKL23" s="92">
        <v>0</v>
      </c>
      <c r="JKM23" s="92">
        <v>0</v>
      </c>
      <c r="JKN23" s="92">
        <v>0</v>
      </c>
      <c r="JKO23" s="92">
        <v>0</v>
      </c>
      <c r="JKP23" s="92">
        <v>0</v>
      </c>
      <c r="JKQ23" s="92">
        <v>0</v>
      </c>
      <c r="JKR23" s="92">
        <v>0</v>
      </c>
      <c r="JKS23" s="92">
        <v>0</v>
      </c>
      <c r="JKT23" s="92">
        <v>0</v>
      </c>
      <c r="JKU23" s="92">
        <v>0</v>
      </c>
      <c r="JKV23" s="92">
        <v>0</v>
      </c>
      <c r="JKW23" s="92">
        <v>0</v>
      </c>
      <c r="JKX23" s="92">
        <v>0</v>
      </c>
      <c r="JKY23" s="92">
        <v>0</v>
      </c>
      <c r="JKZ23" s="92">
        <v>0</v>
      </c>
      <c r="JLA23" s="92">
        <v>0</v>
      </c>
      <c r="JLB23" s="92">
        <v>0</v>
      </c>
      <c r="JLC23" s="92">
        <v>0</v>
      </c>
      <c r="JLD23" s="92">
        <v>0</v>
      </c>
      <c r="JLE23" s="92">
        <v>0</v>
      </c>
      <c r="JLF23" s="92">
        <v>0</v>
      </c>
      <c r="JLG23" s="92">
        <v>0</v>
      </c>
      <c r="JLH23" s="92">
        <v>0</v>
      </c>
      <c r="JLI23" s="92">
        <v>0</v>
      </c>
      <c r="JLJ23" s="92">
        <v>0</v>
      </c>
      <c r="JLK23" s="92">
        <v>0</v>
      </c>
      <c r="JLL23" s="92">
        <v>0</v>
      </c>
      <c r="JLM23" s="92">
        <v>0</v>
      </c>
      <c r="JLN23" s="92">
        <v>0</v>
      </c>
      <c r="JLO23" s="92">
        <v>0</v>
      </c>
      <c r="JLP23" s="92">
        <v>0</v>
      </c>
      <c r="JLQ23" s="92">
        <v>0</v>
      </c>
      <c r="JLR23" s="92">
        <v>0</v>
      </c>
      <c r="JLS23" s="92">
        <v>0</v>
      </c>
      <c r="JLT23" s="92">
        <v>0</v>
      </c>
      <c r="JLU23" s="92">
        <v>0</v>
      </c>
      <c r="JLV23" s="92">
        <v>0</v>
      </c>
      <c r="JLW23" s="92">
        <v>0</v>
      </c>
      <c r="JLX23" s="92">
        <v>0</v>
      </c>
      <c r="JLY23" s="92">
        <v>0</v>
      </c>
      <c r="JLZ23" s="92">
        <v>0</v>
      </c>
      <c r="JMA23" s="92">
        <v>0</v>
      </c>
      <c r="JMB23" s="92">
        <v>0</v>
      </c>
      <c r="JMC23" s="92">
        <v>0</v>
      </c>
      <c r="JMD23" s="92">
        <v>0</v>
      </c>
      <c r="JME23" s="92">
        <v>0</v>
      </c>
      <c r="JMF23" s="92">
        <v>0</v>
      </c>
      <c r="JMG23" s="92">
        <v>0</v>
      </c>
      <c r="JMH23" s="92">
        <v>0</v>
      </c>
      <c r="JMI23" s="92">
        <v>0</v>
      </c>
      <c r="JMJ23" s="92">
        <v>0</v>
      </c>
      <c r="JMK23" s="92">
        <v>0</v>
      </c>
      <c r="JML23" s="92">
        <v>0</v>
      </c>
      <c r="JMM23" s="92">
        <v>0</v>
      </c>
      <c r="JMN23" s="92">
        <v>0</v>
      </c>
      <c r="JMO23" s="92">
        <v>0</v>
      </c>
      <c r="JMP23" s="92">
        <v>0</v>
      </c>
      <c r="JMQ23" s="92">
        <v>0</v>
      </c>
      <c r="JMR23" s="92">
        <v>0</v>
      </c>
      <c r="JMS23" s="92">
        <v>0</v>
      </c>
      <c r="JMT23" s="92">
        <v>0</v>
      </c>
      <c r="JMU23" s="92">
        <v>0</v>
      </c>
      <c r="JMV23" s="92">
        <v>0</v>
      </c>
      <c r="JMW23" s="92">
        <v>0</v>
      </c>
      <c r="JMX23" s="92">
        <v>0</v>
      </c>
      <c r="JMY23" s="92">
        <v>0</v>
      </c>
      <c r="JMZ23" s="92">
        <v>0</v>
      </c>
      <c r="JNA23" s="92">
        <v>0</v>
      </c>
      <c r="JNB23" s="92">
        <v>0</v>
      </c>
      <c r="JNC23" s="92">
        <v>0</v>
      </c>
      <c r="JND23" s="92">
        <v>0</v>
      </c>
      <c r="JNE23" s="92">
        <v>0</v>
      </c>
      <c r="JNF23" s="92">
        <v>0</v>
      </c>
      <c r="JNG23" s="92">
        <v>0</v>
      </c>
      <c r="JNH23" s="92">
        <v>0</v>
      </c>
      <c r="JNI23" s="92">
        <v>0</v>
      </c>
      <c r="JNJ23" s="92">
        <v>0</v>
      </c>
      <c r="JNK23" s="92">
        <v>0</v>
      </c>
      <c r="JNL23" s="92">
        <v>0</v>
      </c>
      <c r="JNM23" s="92">
        <v>0</v>
      </c>
      <c r="JNN23" s="92">
        <v>0</v>
      </c>
      <c r="JNO23" s="92">
        <v>0</v>
      </c>
      <c r="JNP23" s="92">
        <v>0</v>
      </c>
      <c r="JNQ23" s="92">
        <v>0</v>
      </c>
      <c r="JNR23" s="92">
        <v>0</v>
      </c>
      <c r="JNS23" s="92">
        <v>0</v>
      </c>
      <c r="JNT23" s="92">
        <v>0</v>
      </c>
      <c r="JNU23" s="92">
        <v>0</v>
      </c>
      <c r="JNV23" s="92">
        <v>0</v>
      </c>
      <c r="JNW23" s="92">
        <v>0</v>
      </c>
      <c r="JNX23" s="92">
        <v>0</v>
      </c>
      <c r="JNY23" s="92">
        <v>0</v>
      </c>
      <c r="JNZ23" s="92">
        <v>0</v>
      </c>
      <c r="JOA23" s="92">
        <v>0</v>
      </c>
      <c r="JOB23" s="92">
        <v>0</v>
      </c>
      <c r="JOC23" s="92">
        <v>0</v>
      </c>
      <c r="JOD23" s="92">
        <v>0</v>
      </c>
      <c r="JOE23" s="92">
        <v>0</v>
      </c>
      <c r="JOF23" s="92">
        <v>0</v>
      </c>
      <c r="JOG23" s="92">
        <v>0</v>
      </c>
      <c r="JOH23" s="92">
        <v>0</v>
      </c>
      <c r="JOI23" s="92">
        <v>0</v>
      </c>
      <c r="JOJ23" s="92">
        <v>0</v>
      </c>
      <c r="JOK23" s="92">
        <v>0</v>
      </c>
      <c r="JOL23" s="92">
        <v>0</v>
      </c>
      <c r="JOM23" s="92">
        <v>0</v>
      </c>
      <c r="JON23" s="92">
        <v>0</v>
      </c>
      <c r="JOO23" s="92">
        <v>0</v>
      </c>
      <c r="JOP23" s="92">
        <v>0</v>
      </c>
      <c r="JOQ23" s="92">
        <v>0</v>
      </c>
      <c r="JOR23" s="92">
        <v>0</v>
      </c>
      <c r="JOS23" s="92">
        <v>0</v>
      </c>
      <c r="JOT23" s="92">
        <v>0</v>
      </c>
      <c r="JOU23" s="92">
        <v>0</v>
      </c>
      <c r="JOV23" s="92">
        <v>0</v>
      </c>
      <c r="JOW23" s="92">
        <v>0</v>
      </c>
      <c r="JOX23" s="92">
        <v>0</v>
      </c>
      <c r="JOY23" s="92">
        <v>0</v>
      </c>
      <c r="JOZ23" s="92">
        <v>0</v>
      </c>
      <c r="JPA23" s="92">
        <v>0</v>
      </c>
      <c r="JPB23" s="92">
        <v>0</v>
      </c>
      <c r="JPC23" s="92">
        <v>0</v>
      </c>
      <c r="JPD23" s="92">
        <v>0</v>
      </c>
      <c r="JPE23" s="92">
        <v>0</v>
      </c>
      <c r="JPF23" s="92">
        <v>0</v>
      </c>
      <c r="JPG23" s="92">
        <v>0</v>
      </c>
      <c r="JPH23" s="92">
        <v>0</v>
      </c>
      <c r="JPI23" s="92">
        <v>0</v>
      </c>
      <c r="JPJ23" s="92">
        <v>0</v>
      </c>
      <c r="JPK23" s="92">
        <v>0</v>
      </c>
      <c r="JPL23" s="92">
        <v>0</v>
      </c>
      <c r="JPM23" s="92">
        <v>0</v>
      </c>
      <c r="JPN23" s="92">
        <v>0</v>
      </c>
      <c r="JPO23" s="92">
        <v>0</v>
      </c>
      <c r="JPP23" s="92">
        <v>0</v>
      </c>
      <c r="JPQ23" s="92">
        <v>0</v>
      </c>
      <c r="JPR23" s="92">
        <v>0</v>
      </c>
      <c r="JPS23" s="92">
        <v>0</v>
      </c>
      <c r="JPT23" s="92">
        <v>0</v>
      </c>
      <c r="JPU23" s="92">
        <v>0</v>
      </c>
      <c r="JPV23" s="92">
        <v>0</v>
      </c>
      <c r="JPW23" s="92">
        <v>0</v>
      </c>
      <c r="JPX23" s="92">
        <v>0</v>
      </c>
      <c r="JPY23" s="92">
        <v>0</v>
      </c>
      <c r="JPZ23" s="92">
        <v>0</v>
      </c>
      <c r="JQA23" s="92">
        <v>0</v>
      </c>
      <c r="JQB23" s="92">
        <v>0</v>
      </c>
      <c r="JQC23" s="92">
        <v>0</v>
      </c>
      <c r="JQD23" s="92">
        <v>0</v>
      </c>
      <c r="JQE23" s="92">
        <v>0</v>
      </c>
      <c r="JQF23" s="92">
        <v>0</v>
      </c>
      <c r="JQG23" s="92">
        <v>0</v>
      </c>
      <c r="JQH23" s="92">
        <v>0</v>
      </c>
      <c r="JQI23" s="92">
        <v>0</v>
      </c>
      <c r="JQJ23" s="92">
        <v>0</v>
      </c>
      <c r="JQK23" s="92">
        <v>0</v>
      </c>
      <c r="JQL23" s="92">
        <v>0</v>
      </c>
      <c r="JQM23" s="92">
        <v>0</v>
      </c>
      <c r="JQN23" s="92">
        <v>0</v>
      </c>
      <c r="JQO23" s="92">
        <v>0</v>
      </c>
      <c r="JQP23" s="92">
        <v>0</v>
      </c>
      <c r="JQQ23" s="92">
        <v>0</v>
      </c>
      <c r="JQR23" s="92">
        <v>0</v>
      </c>
      <c r="JQS23" s="92">
        <v>0</v>
      </c>
      <c r="JQT23" s="92">
        <v>0</v>
      </c>
      <c r="JQU23" s="92">
        <v>0</v>
      </c>
      <c r="JQV23" s="92">
        <v>0</v>
      </c>
      <c r="JQW23" s="92">
        <v>0</v>
      </c>
      <c r="JQX23" s="92">
        <v>0</v>
      </c>
      <c r="JQY23" s="92">
        <v>0</v>
      </c>
      <c r="JQZ23" s="92">
        <v>0</v>
      </c>
      <c r="JRA23" s="92">
        <v>0</v>
      </c>
      <c r="JRB23" s="92">
        <v>0</v>
      </c>
      <c r="JRC23" s="92">
        <v>0</v>
      </c>
      <c r="JRD23" s="92">
        <v>0</v>
      </c>
      <c r="JRE23" s="92">
        <v>0</v>
      </c>
      <c r="JRF23" s="92">
        <v>0</v>
      </c>
      <c r="JRG23" s="92">
        <v>0</v>
      </c>
      <c r="JRH23" s="92">
        <v>0</v>
      </c>
      <c r="JRI23" s="92">
        <v>0</v>
      </c>
      <c r="JRJ23" s="92">
        <v>0</v>
      </c>
      <c r="JRK23" s="92">
        <v>0</v>
      </c>
      <c r="JRL23" s="92">
        <v>0</v>
      </c>
      <c r="JRM23" s="92">
        <v>0</v>
      </c>
      <c r="JRN23" s="92">
        <v>0</v>
      </c>
      <c r="JRO23" s="92">
        <v>0</v>
      </c>
      <c r="JRP23" s="92">
        <v>0</v>
      </c>
      <c r="JRQ23" s="92">
        <v>0</v>
      </c>
      <c r="JRR23" s="92">
        <v>0</v>
      </c>
      <c r="JRS23" s="92">
        <v>0</v>
      </c>
      <c r="JRT23" s="92">
        <v>0</v>
      </c>
      <c r="JRU23" s="92">
        <v>0</v>
      </c>
      <c r="JRV23" s="92">
        <v>0</v>
      </c>
      <c r="JRW23" s="92">
        <v>0</v>
      </c>
      <c r="JRX23" s="92">
        <v>0</v>
      </c>
      <c r="JRY23" s="92">
        <v>0</v>
      </c>
      <c r="JRZ23" s="92">
        <v>0</v>
      </c>
      <c r="JSA23" s="92">
        <v>0</v>
      </c>
      <c r="JSB23" s="92">
        <v>0</v>
      </c>
      <c r="JSC23" s="92">
        <v>0</v>
      </c>
      <c r="JSD23" s="92">
        <v>0</v>
      </c>
      <c r="JSE23" s="92">
        <v>0</v>
      </c>
      <c r="JSF23" s="92">
        <v>0</v>
      </c>
      <c r="JSG23" s="92">
        <v>0</v>
      </c>
      <c r="JSH23" s="92">
        <v>0</v>
      </c>
      <c r="JSI23" s="92">
        <v>0</v>
      </c>
      <c r="JSJ23" s="92">
        <v>0</v>
      </c>
      <c r="JSK23" s="92">
        <v>0</v>
      </c>
      <c r="JSL23" s="92">
        <v>0</v>
      </c>
      <c r="JSM23" s="92">
        <v>0</v>
      </c>
      <c r="JSN23" s="92">
        <v>0</v>
      </c>
      <c r="JSO23" s="92">
        <v>0</v>
      </c>
      <c r="JSP23" s="92">
        <v>0</v>
      </c>
      <c r="JSQ23" s="92">
        <v>0</v>
      </c>
      <c r="JSR23" s="92">
        <v>0</v>
      </c>
      <c r="JSS23" s="92">
        <v>0</v>
      </c>
      <c r="JST23" s="92">
        <v>0</v>
      </c>
      <c r="JSU23" s="92">
        <v>0</v>
      </c>
      <c r="JSV23" s="92">
        <v>0</v>
      </c>
      <c r="JSW23" s="92">
        <v>0</v>
      </c>
      <c r="JSX23" s="92">
        <v>0</v>
      </c>
      <c r="JSY23" s="92">
        <v>0</v>
      </c>
      <c r="JSZ23" s="92">
        <v>0</v>
      </c>
      <c r="JTA23" s="92">
        <v>0</v>
      </c>
      <c r="JTB23" s="92">
        <v>0</v>
      </c>
      <c r="JTC23" s="92">
        <v>0</v>
      </c>
      <c r="JTD23" s="92">
        <v>0</v>
      </c>
      <c r="JTE23" s="92">
        <v>0</v>
      </c>
      <c r="JTF23" s="92">
        <v>0</v>
      </c>
      <c r="JTG23" s="92">
        <v>0</v>
      </c>
      <c r="JTH23" s="92">
        <v>0</v>
      </c>
      <c r="JTI23" s="92">
        <v>0</v>
      </c>
      <c r="JTJ23" s="92">
        <v>0</v>
      </c>
      <c r="JTK23" s="92">
        <v>0</v>
      </c>
      <c r="JTL23" s="92">
        <v>0</v>
      </c>
      <c r="JTM23" s="92">
        <v>0</v>
      </c>
      <c r="JTN23" s="92">
        <v>0</v>
      </c>
      <c r="JTO23" s="92">
        <v>0</v>
      </c>
      <c r="JTP23" s="92">
        <v>0</v>
      </c>
      <c r="JTQ23" s="92">
        <v>0</v>
      </c>
      <c r="JTR23" s="92">
        <v>0</v>
      </c>
      <c r="JTS23" s="92">
        <v>0</v>
      </c>
      <c r="JTT23" s="92">
        <v>0</v>
      </c>
      <c r="JTU23" s="92">
        <v>0</v>
      </c>
      <c r="JTV23" s="92">
        <v>0</v>
      </c>
      <c r="JTW23" s="92">
        <v>0</v>
      </c>
      <c r="JTX23" s="92">
        <v>0</v>
      </c>
      <c r="JTY23" s="92">
        <v>0</v>
      </c>
      <c r="JTZ23" s="92">
        <v>0</v>
      </c>
      <c r="JUA23" s="92">
        <v>0</v>
      </c>
      <c r="JUB23" s="92">
        <v>0</v>
      </c>
      <c r="JUC23" s="92">
        <v>0</v>
      </c>
      <c r="JUD23" s="92">
        <v>0</v>
      </c>
      <c r="JUE23" s="92">
        <v>0</v>
      </c>
      <c r="JUF23" s="92">
        <v>0</v>
      </c>
      <c r="JUG23" s="92">
        <v>0</v>
      </c>
      <c r="JUH23" s="92">
        <v>0</v>
      </c>
      <c r="JUI23" s="92">
        <v>0</v>
      </c>
      <c r="JUJ23" s="92">
        <v>0</v>
      </c>
      <c r="JUK23" s="92">
        <v>0</v>
      </c>
      <c r="JUL23" s="92">
        <v>0</v>
      </c>
      <c r="JUM23" s="92">
        <v>0</v>
      </c>
      <c r="JUN23" s="92">
        <v>0</v>
      </c>
      <c r="JUO23" s="92">
        <v>0</v>
      </c>
      <c r="JUP23" s="92">
        <v>0</v>
      </c>
      <c r="JUQ23" s="92">
        <v>0</v>
      </c>
      <c r="JUR23" s="92">
        <v>0</v>
      </c>
      <c r="JUS23" s="92">
        <v>0</v>
      </c>
      <c r="JUT23" s="92">
        <v>0</v>
      </c>
      <c r="JUU23" s="92">
        <v>0</v>
      </c>
      <c r="JUV23" s="92">
        <v>0</v>
      </c>
      <c r="JUW23" s="92">
        <v>0</v>
      </c>
      <c r="JUX23" s="92">
        <v>0</v>
      </c>
      <c r="JUY23" s="92">
        <v>0</v>
      </c>
      <c r="JUZ23" s="92">
        <v>0</v>
      </c>
      <c r="JVA23" s="92">
        <v>0</v>
      </c>
      <c r="JVB23" s="92">
        <v>0</v>
      </c>
      <c r="JVC23" s="92">
        <v>0</v>
      </c>
      <c r="JVD23" s="92">
        <v>0</v>
      </c>
      <c r="JVE23" s="92">
        <v>0</v>
      </c>
      <c r="JVF23" s="92">
        <v>0</v>
      </c>
      <c r="JVG23" s="92">
        <v>0</v>
      </c>
      <c r="JVH23" s="92">
        <v>0</v>
      </c>
      <c r="JVI23" s="92">
        <v>0</v>
      </c>
      <c r="JVJ23" s="92">
        <v>0</v>
      </c>
      <c r="JVK23" s="92">
        <v>0</v>
      </c>
      <c r="JVL23" s="92">
        <v>0</v>
      </c>
      <c r="JVM23" s="92">
        <v>0</v>
      </c>
      <c r="JVN23" s="92">
        <v>0</v>
      </c>
      <c r="JVO23" s="92">
        <v>0</v>
      </c>
      <c r="JVP23" s="92">
        <v>0</v>
      </c>
      <c r="JVQ23" s="92">
        <v>0</v>
      </c>
      <c r="JVR23" s="92">
        <v>0</v>
      </c>
      <c r="JVS23" s="92">
        <v>0</v>
      </c>
      <c r="JVT23" s="92">
        <v>0</v>
      </c>
      <c r="JVU23" s="92">
        <v>0</v>
      </c>
      <c r="JVV23" s="92">
        <v>0</v>
      </c>
      <c r="JVW23" s="92">
        <v>0</v>
      </c>
      <c r="JVX23" s="92">
        <v>0</v>
      </c>
      <c r="JVY23" s="92">
        <v>0</v>
      </c>
      <c r="JVZ23" s="92">
        <v>0</v>
      </c>
      <c r="JWA23" s="92">
        <v>0</v>
      </c>
      <c r="JWB23" s="92">
        <v>0</v>
      </c>
      <c r="JWC23" s="92">
        <v>0</v>
      </c>
      <c r="JWD23" s="92">
        <v>0</v>
      </c>
      <c r="JWE23" s="92">
        <v>0</v>
      </c>
      <c r="JWF23" s="92">
        <v>0</v>
      </c>
      <c r="JWG23" s="92">
        <v>0</v>
      </c>
      <c r="JWH23" s="92">
        <v>0</v>
      </c>
      <c r="JWI23" s="92">
        <v>0</v>
      </c>
      <c r="JWJ23" s="92">
        <v>0</v>
      </c>
      <c r="JWK23" s="92">
        <v>0</v>
      </c>
      <c r="JWL23" s="92">
        <v>0</v>
      </c>
      <c r="JWM23" s="92">
        <v>0</v>
      </c>
      <c r="JWN23" s="92">
        <v>0</v>
      </c>
      <c r="JWO23" s="92">
        <v>0</v>
      </c>
      <c r="JWP23" s="92">
        <v>0</v>
      </c>
      <c r="JWQ23" s="92">
        <v>0</v>
      </c>
      <c r="JWR23" s="92">
        <v>0</v>
      </c>
      <c r="JWS23" s="92">
        <v>0</v>
      </c>
      <c r="JWT23" s="92">
        <v>0</v>
      </c>
      <c r="JWU23" s="92">
        <v>0</v>
      </c>
      <c r="JWV23" s="92">
        <v>0</v>
      </c>
      <c r="JWW23" s="92">
        <v>0</v>
      </c>
      <c r="JWX23" s="92">
        <v>0</v>
      </c>
      <c r="JWY23" s="92">
        <v>0</v>
      </c>
      <c r="JWZ23" s="92">
        <v>0</v>
      </c>
      <c r="JXA23" s="92">
        <v>0</v>
      </c>
      <c r="JXB23" s="92">
        <v>0</v>
      </c>
      <c r="JXC23" s="92">
        <v>0</v>
      </c>
      <c r="JXD23" s="92">
        <v>0</v>
      </c>
      <c r="JXE23" s="92">
        <v>0</v>
      </c>
      <c r="JXF23" s="92">
        <v>0</v>
      </c>
      <c r="JXG23" s="92">
        <v>0</v>
      </c>
      <c r="JXH23" s="92">
        <v>0</v>
      </c>
      <c r="JXI23" s="92">
        <v>0</v>
      </c>
      <c r="JXJ23" s="92">
        <v>0</v>
      </c>
      <c r="JXK23" s="92">
        <v>0</v>
      </c>
      <c r="JXL23" s="92">
        <v>0</v>
      </c>
      <c r="JXM23" s="92">
        <v>0</v>
      </c>
      <c r="JXN23" s="92">
        <v>0</v>
      </c>
      <c r="JXO23" s="92">
        <v>0</v>
      </c>
      <c r="JXP23" s="92">
        <v>0</v>
      </c>
      <c r="JXQ23" s="92">
        <v>0</v>
      </c>
      <c r="JXR23" s="92">
        <v>0</v>
      </c>
      <c r="JXS23" s="92">
        <v>0</v>
      </c>
      <c r="JXT23" s="92">
        <v>0</v>
      </c>
      <c r="JXU23" s="92">
        <v>0</v>
      </c>
      <c r="JXV23" s="92">
        <v>0</v>
      </c>
      <c r="JXW23" s="92">
        <v>0</v>
      </c>
      <c r="JXX23" s="92">
        <v>0</v>
      </c>
      <c r="JXY23" s="92">
        <v>0</v>
      </c>
      <c r="JXZ23" s="92">
        <v>0</v>
      </c>
      <c r="JYA23" s="92">
        <v>0</v>
      </c>
      <c r="JYB23" s="92">
        <v>0</v>
      </c>
      <c r="JYC23" s="92">
        <v>0</v>
      </c>
      <c r="JYD23" s="92">
        <v>0</v>
      </c>
      <c r="JYE23" s="92">
        <v>0</v>
      </c>
      <c r="JYF23" s="92">
        <v>0</v>
      </c>
      <c r="JYG23" s="92">
        <v>0</v>
      </c>
      <c r="JYH23" s="92">
        <v>0</v>
      </c>
      <c r="JYI23" s="92">
        <v>0</v>
      </c>
      <c r="JYJ23" s="92">
        <v>0</v>
      </c>
      <c r="JYK23" s="92">
        <v>0</v>
      </c>
      <c r="JYL23" s="92">
        <v>0</v>
      </c>
      <c r="JYM23" s="92">
        <v>0</v>
      </c>
      <c r="JYN23" s="92">
        <v>0</v>
      </c>
      <c r="JYO23" s="92">
        <v>0</v>
      </c>
      <c r="JYP23" s="92">
        <v>0</v>
      </c>
      <c r="JYQ23" s="92">
        <v>0</v>
      </c>
      <c r="JYR23" s="92">
        <v>0</v>
      </c>
      <c r="JYS23" s="92">
        <v>0</v>
      </c>
      <c r="JYT23" s="92">
        <v>0</v>
      </c>
      <c r="JYU23" s="92">
        <v>0</v>
      </c>
      <c r="JYV23" s="92">
        <v>0</v>
      </c>
      <c r="JYW23" s="92">
        <v>0</v>
      </c>
      <c r="JYX23" s="92">
        <v>0</v>
      </c>
      <c r="JYY23" s="92">
        <v>0</v>
      </c>
      <c r="JYZ23" s="92">
        <v>0</v>
      </c>
      <c r="JZA23" s="92">
        <v>0</v>
      </c>
      <c r="JZB23" s="92">
        <v>0</v>
      </c>
      <c r="JZC23" s="92">
        <v>0</v>
      </c>
      <c r="JZD23" s="92">
        <v>0</v>
      </c>
      <c r="JZE23" s="92">
        <v>0</v>
      </c>
      <c r="JZF23" s="92">
        <v>0</v>
      </c>
      <c r="JZG23" s="92">
        <v>0</v>
      </c>
      <c r="JZH23" s="92">
        <v>0</v>
      </c>
      <c r="JZI23" s="92">
        <v>0</v>
      </c>
      <c r="JZJ23" s="92">
        <v>0</v>
      </c>
      <c r="JZK23" s="92">
        <v>0</v>
      </c>
      <c r="JZL23" s="92">
        <v>0</v>
      </c>
      <c r="JZM23" s="92">
        <v>0</v>
      </c>
      <c r="JZN23" s="92">
        <v>0</v>
      </c>
      <c r="JZO23" s="92">
        <v>0</v>
      </c>
      <c r="JZP23" s="92">
        <v>0</v>
      </c>
      <c r="JZQ23" s="92">
        <v>0</v>
      </c>
      <c r="JZR23" s="92">
        <v>0</v>
      </c>
      <c r="JZS23" s="92">
        <v>0</v>
      </c>
      <c r="JZT23" s="92">
        <v>0</v>
      </c>
      <c r="JZU23" s="92">
        <v>0</v>
      </c>
      <c r="JZV23" s="92">
        <v>0</v>
      </c>
      <c r="JZW23" s="92">
        <v>0</v>
      </c>
      <c r="JZX23" s="92">
        <v>0</v>
      </c>
      <c r="JZY23" s="92">
        <v>0</v>
      </c>
      <c r="JZZ23" s="92">
        <v>0</v>
      </c>
      <c r="KAA23" s="92">
        <v>0</v>
      </c>
      <c r="KAB23" s="92">
        <v>0</v>
      </c>
      <c r="KAC23" s="92">
        <v>0</v>
      </c>
      <c r="KAD23" s="92">
        <v>0</v>
      </c>
      <c r="KAE23" s="92">
        <v>0</v>
      </c>
      <c r="KAF23" s="92">
        <v>0</v>
      </c>
      <c r="KAG23" s="92">
        <v>0</v>
      </c>
      <c r="KAH23" s="92">
        <v>0</v>
      </c>
      <c r="KAI23" s="92">
        <v>0</v>
      </c>
      <c r="KAJ23" s="92">
        <v>0</v>
      </c>
      <c r="KAK23" s="92">
        <v>0</v>
      </c>
      <c r="KAL23" s="92">
        <v>0</v>
      </c>
      <c r="KAM23" s="92">
        <v>0</v>
      </c>
      <c r="KAN23" s="92">
        <v>0</v>
      </c>
      <c r="KAO23" s="92">
        <v>0</v>
      </c>
      <c r="KAP23" s="92">
        <v>0</v>
      </c>
      <c r="KAQ23" s="92">
        <v>0</v>
      </c>
      <c r="KAR23" s="92">
        <v>0</v>
      </c>
      <c r="KAS23" s="92">
        <v>0</v>
      </c>
      <c r="KAT23" s="92">
        <v>0</v>
      </c>
      <c r="KAU23" s="92">
        <v>0</v>
      </c>
      <c r="KAV23" s="92">
        <v>0</v>
      </c>
      <c r="KAW23" s="92">
        <v>0</v>
      </c>
      <c r="KAX23" s="92">
        <v>0</v>
      </c>
      <c r="KAY23" s="92">
        <v>0</v>
      </c>
      <c r="KAZ23" s="92">
        <v>0</v>
      </c>
      <c r="KBA23" s="92">
        <v>0</v>
      </c>
      <c r="KBB23" s="92">
        <v>0</v>
      </c>
      <c r="KBC23" s="92">
        <v>0</v>
      </c>
      <c r="KBD23" s="92">
        <v>0</v>
      </c>
      <c r="KBE23" s="92">
        <v>0</v>
      </c>
      <c r="KBF23" s="92">
        <v>0</v>
      </c>
      <c r="KBG23" s="92">
        <v>0</v>
      </c>
      <c r="KBH23" s="92">
        <v>0</v>
      </c>
      <c r="KBI23" s="92">
        <v>0</v>
      </c>
      <c r="KBJ23" s="92">
        <v>0</v>
      </c>
      <c r="KBK23" s="92">
        <v>0</v>
      </c>
      <c r="KBL23" s="92">
        <v>0</v>
      </c>
      <c r="KBM23" s="92">
        <v>0</v>
      </c>
      <c r="KBN23" s="92">
        <v>0</v>
      </c>
      <c r="KBO23" s="92">
        <v>0</v>
      </c>
      <c r="KBP23" s="92">
        <v>0</v>
      </c>
      <c r="KBQ23" s="92">
        <v>0</v>
      </c>
      <c r="KBR23" s="92">
        <v>0</v>
      </c>
      <c r="KBS23" s="92">
        <v>0</v>
      </c>
      <c r="KBT23" s="92">
        <v>0</v>
      </c>
      <c r="KBU23" s="92">
        <v>0</v>
      </c>
      <c r="KBV23" s="92">
        <v>0</v>
      </c>
      <c r="KBW23" s="92">
        <v>0</v>
      </c>
      <c r="KBX23" s="92">
        <v>0</v>
      </c>
      <c r="KBY23" s="92">
        <v>0</v>
      </c>
      <c r="KBZ23" s="92">
        <v>0</v>
      </c>
      <c r="KCA23" s="92">
        <v>0</v>
      </c>
      <c r="KCB23" s="92">
        <v>0</v>
      </c>
      <c r="KCC23" s="92">
        <v>0</v>
      </c>
      <c r="KCD23" s="92">
        <v>0</v>
      </c>
      <c r="KCE23" s="92">
        <v>0</v>
      </c>
      <c r="KCF23" s="92">
        <v>0</v>
      </c>
      <c r="KCG23" s="92">
        <v>0</v>
      </c>
      <c r="KCH23" s="92">
        <v>0</v>
      </c>
      <c r="KCI23" s="92">
        <v>0</v>
      </c>
      <c r="KCJ23" s="92">
        <v>0</v>
      </c>
      <c r="KCK23" s="92">
        <v>0</v>
      </c>
      <c r="KCL23" s="92">
        <v>0</v>
      </c>
      <c r="KCM23" s="92">
        <v>0</v>
      </c>
      <c r="KCN23" s="92">
        <v>0</v>
      </c>
      <c r="KCO23" s="92">
        <v>0</v>
      </c>
      <c r="KCP23" s="92">
        <v>0</v>
      </c>
      <c r="KCQ23" s="92">
        <v>0</v>
      </c>
      <c r="KCR23" s="92">
        <v>0</v>
      </c>
      <c r="KCS23" s="92">
        <v>0</v>
      </c>
      <c r="KCT23" s="92">
        <v>0</v>
      </c>
      <c r="KCU23" s="92">
        <v>0</v>
      </c>
      <c r="KCV23" s="92">
        <v>0</v>
      </c>
      <c r="KCW23" s="92">
        <v>0</v>
      </c>
      <c r="KCX23" s="92">
        <v>0</v>
      </c>
      <c r="KCY23" s="92">
        <v>0</v>
      </c>
      <c r="KCZ23" s="92">
        <v>0</v>
      </c>
      <c r="KDA23" s="92">
        <v>0</v>
      </c>
      <c r="KDB23" s="92">
        <v>0</v>
      </c>
      <c r="KDC23" s="92">
        <v>0</v>
      </c>
      <c r="KDD23" s="92">
        <v>0</v>
      </c>
      <c r="KDE23" s="92">
        <v>0</v>
      </c>
      <c r="KDF23" s="92">
        <v>0</v>
      </c>
      <c r="KDG23" s="92">
        <v>0</v>
      </c>
      <c r="KDH23" s="92">
        <v>0</v>
      </c>
      <c r="KDI23" s="92">
        <v>0</v>
      </c>
      <c r="KDJ23" s="92">
        <v>0</v>
      </c>
      <c r="KDK23" s="92">
        <v>0</v>
      </c>
      <c r="KDL23" s="92">
        <v>0</v>
      </c>
      <c r="KDM23" s="92">
        <v>0</v>
      </c>
      <c r="KDN23" s="92">
        <v>0</v>
      </c>
      <c r="KDO23" s="92">
        <v>0</v>
      </c>
      <c r="KDP23" s="92">
        <v>0</v>
      </c>
      <c r="KDQ23" s="92">
        <v>0</v>
      </c>
      <c r="KDR23" s="92">
        <v>0</v>
      </c>
      <c r="KDS23" s="92">
        <v>0</v>
      </c>
      <c r="KDT23" s="92">
        <v>0</v>
      </c>
      <c r="KDU23" s="92">
        <v>0</v>
      </c>
      <c r="KDV23" s="92">
        <v>0</v>
      </c>
      <c r="KDW23" s="92">
        <v>0</v>
      </c>
      <c r="KDX23" s="92">
        <v>0</v>
      </c>
      <c r="KDY23" s="92">
        <v>0</v>
      </c>
      <c r="KDZ23" s="92">
        <v>0</v>
      </c>
      <c r="KEA23" s="92">
        <v>0</v>
      </c>
      <c r="KEB23" s="92">
        <v>0</v>
      </c>
      <c r="KEC23" s="92">
        <v>0</v>
      </c>
      <c r="KED23" s="92">
        <v>0</v>
      </c>
      <c r="KEE23" s="92">
        <v>0</v>
      </c>
      <c r="KEF23" s="92">
        <v>0</v>
      </c>
      <c r="KEG23" s="92">
        <v>0</v>
      </c>
      <c r="KEH23" s="92">
        <v>0</v>
      </c>
      <c r="KEI23" s="92">
        <v>0</v>
      </c>
      <c r="KEJ23" s="92">
        <v>0</v>
      </c>
      <c r="KEK23" s="92">
        <v>0</v>
      </c>
      <c r="KEL23" s="92">
        <v>0</v>
      </c>
      <c r="KEM23" s="92">
        <v>0</v>
      </c>
      <c r="KEN23" s="92">
        <v>0</v>
      </c>
      <c r="KEO23" s="92">
        <v>0</v>
      </c>
      <c r="KEP23" s="92">
        <v>0</v>
      </c>
      <c r="KEQ23" s="92">
        <v>0</v>
      </c>
      <c r="KER23" s="92">
        <v>0</v>
      </c>
      <c r="KES23" s="92">
        <v>0</v>
      </c>
      <c r="KET23" s="92">
        <v>0</v>
      </c>
      <c r="KEU23" s="92">
        <v>0</v>
      </c>
      <c r="KEV23" s="92">
        <v>0</v>
      </c>
      <c r="KEW23" s="92">
        <v>0</v>
      </c>
      <c r="KEX23" s="92">
        <v>0</v>
      </c>
      <c r="KEY23" s="92">
        <v>0</v>
      </c>
      <c r="KEZ23" s="92">
        <v>0</v>
      </c>
      <c r="KFA23" s="92">
        <v>0</v>
      </c>
      <c r="KFB23" s="92">
        <v>0</v>
      </c>
      <c r="KFC23" s="92">
        <v>0</v>
      </c>
      <c r="KFD23" s="92">
        <v>0</v>
      </c>
      <c r="KFE23" s="92">
        <v>0</v>
      </c>
      <c r="KFF23" s="92">
        <v>0</v>
      </c>
      <c r="KFG23" s="92">
        <v>0</v>
      </c>
      <c r="KFH23" s="92">
        <v>0</v>
      </c>
      <c r="KFI23" s="92">
        <v>0</v>
      </c>
      <c r="KFJ23" s="92">
        <v>0</v>
      </c>
      <c r="KFK23" s="92">
        <v>0</v>
      </c>
      <c r="KFL23" s="92">
        <v>0</v>
      </c>
      <c r="KFM23" s="92">
        <v>0</v>
      </c>
      <c r="KFN23" s="92">
        <v>0</v>
      </c>
      <c r="KFO23" s="92">
        <v>0</v>
      </c>
      <c r="KFP23" s="92">
        <v>0</v>
      </c>
      <c r="KFQ23" s="92">
        <v>0</v>
      </c>
      <c r="KFR23" s="92">
        <v>0</v>
      </c>
      <c r="KFS23" s="92">
        <v>0</v>
      </c>
      <c r="KFT23" s="92">
        <v>0</v>
      </c>
      <c r="KFU23" s="92">
        <v>0</v>
      </c>
      <c r="KFV23" s="92">
        <v>0</v>
      </c>
      <c r="KFW23" s="92">
        <v>0</v>
      </c>
      <c r="KFX23" s="92">
        <v>0</v>
      </c>
      <c r="KFY23" s="92">
        <v>0</v>
      </c>
      <c r="KFZ23" s="92">
        <v>0</v>
      </c>
      <c r="KGA23" s="92">
        <v>0</v>
      </c>
      <c r="KGB23" s="92">
        <v>0</v>
      </c>
      <c r="KGC23" s="92">
        <v>0</v>
      </c>
      <c r="KGD23" s="92">
        <v>0</v>
      </c>
      <c r="KGE23" s="92">
        <v>0</v>
      </c>
      <c r="KGF23" s="92">
        <v>0</v>
      </c>
      <c r="KGG23" s="92">
        <v>0</v>
      </c>
      <c r="KGH23" s="92">
        <v>0</v>
      </c>
      <c r="KGI23" s="92">
        <v>0</v>
      </c>
      <c r="KGJ23" s="92">
        <v>0</v>
      </c>
      <c r="KGK23" s="92">
        <v>0</v>
      </c>
      <c r="KGL23" s="92">
        <v>0</v>
      </c>
      <c r="KGM23" s="92">
        <v>0</v>
      </c>
      <c r="KGN23" s="92">
        <v>0</v>
      </c>
      <c r="KGO23" s="92">
        <v>0</v>
      </c>
      <c r="KGP23" s="92">
        <v>0</v>
      </c>
      <c r="KGQ23" s="92">
        <v>0</v>
      </c>
      <c r="KGR23" s="92">
        <v>0</v>
      </c>
      <c r="KGS23" s="92">
        <v>0</v>
      </c>
      <c r="KGT23" s="92">
        <v>0</v>
      </c>
      <c r="KGU23" s="92">
        <v>0</v>
      </c>
      <c r="KGV23" s="92">
        <v>0</v>
      </c>
      <c r="KGW23" s="92">
        <v>0</v>
      </c>
      <c r="KGX23" s="92">
        <v>0</v>
      </c>
      <c r="KGY23" s="92">
        <v>0</v>
      </c>
      <c r="KGZ23" s="92">
        <v>0</v>
      </c>
      <c r="KHA23" s="92">
        <v>0</v>
      </c>
      <c r="KHB23" s="92">
        <v>0</v>
      </c>
      <c r="KHC23" s="92">
        <v>0</v>
      </c>
      <c r="KHD23" s="92">
        <v>0</v>
      </c>
      <c r="KHE23" s="92">
        <v>0</v>
      </c>
      <c r="KHF23" s="92">
        <v>0</v>
      </c>
      <c r="KHG23" s="92">
        <v>0</v>
      </c>
      <c r="KHH23" s="92">
        <v>0</v>
      </c>
      <c r="KHI23" s="92">
        <v>0</v>
      </c>
      <c r="KHJ23" s="92">
        <v>0</v>
      </c>
      <c r="KHK23" s="92">
        <v>0</v>
      </c>
      <c r="KHL23" s="92">
        <v>0</v>
      </c>
      <c r="KHM23" s="92">
        <v>0</v>
      </c>
      <c r="KHN23" s="92">
        <v>0</v>
      </c>
      <c r="KHO23" s="92">
        <v>0</v>
      </c>
      <c r="KHP23" s="92">
        <v>0</v>
      </c>
      <c r="KHQ23" s="92">
        <v>0</v>
      </c>
      <c r="KHR23" s="92">
        <v>0</v>
      </c>
      <c r="KHS23" s="92">
        <v>0</v>
      </c>
      <c r="KHT23" s="92">
        <v>0</v>
      </c>
      <c r="KHU23" s="92">
        <v>0</v>
      </c>
      <c r="KHV23" s="92">
        <v>0</v>
      </c>
      <c r="KHW23" s="92">
        <v>0</v>
      </c>
      <c r="KHX23" s="92">
        <v>0</v>
      </c>
      <c r="KHY23" s="92">
        <v>0</v>
      </c>
      <c r="KHZ23" s="92">
        <v>0</v>
      </c>
      <c r="KIA23" s="92">
        <v>0</v>
      </c>
      <c r="KIB23" s="92">
        <v>0</v>
      </c>
      <c r="KIC23" s="92">
        <v>0</v>
      </c>
      <c r="KID23" s="92">
        <v>0</v>
      </c>
      <c r="KIE23" s="92">
        <v>0</v>
      </c>
      <c r="KIF23" s="92">
        <v>0</v>
      </c>
      <c r="KIG23" s="92">
        <v>0</v>
      </c>
      <c r="KIH23" s="92">
        <v>0</v>
      </c>
      <c r="KII23" s="92">
        <v>0</v>
      </c>
      <c r="KIJ23" s="92">
        <v>0</v>
      </c>
      <c r="KIK23" s="92">
        <v>0</v>
      </c>
      <c r="KIL23" s="92">
        <v>0</v>
      </c>
      <c r="KIM23" s="92">
        <v>0</v>
      </c>
      <c r="KIN23" s="92">
        <v>0</v>
      </c>
      <c r="KIO23" s="92">
        <v>0</v>
      </c>
      <c r="KIP23" s="92">
        <v>0</v>
      </c>
      <c r="KIQ23" s="92">
        <v>0</v>
      </c>
      <c r="KIR23" s="92">
        <v>0</v>
      </c>
      <c r="KIS23" s="92">
        <v>0</v>
      </c>
      <c r="KIT23" s="92">
        <v>0</v>
      </c>
      <c r="KIU23" s="92">
        <v>0</v>
      </c>
      <c r="KIV23" s="92">
        <v>0</v>
      </c>
      <c r="KIW23" s="92">
        <v>0</v>
      </c>
      <c r="KIX23" s="92">
        <v>0</v>
      </c>
      <c r="KIY23" s="92">
        <v>0</v>
      </c>
      <c r="KIZ23" s="92">
        <v>0</v>
      </c>
      <c r="KJA23" s="92">
        <v>0</v>
      </c>
      <c r="KJB23" s="92">
        <v>0</v>
      </c>
      <c r="KJC23" s="92">
        <v>0</v>
      </c>
      <c r="KJD23" s="92">
        <v>0</v>
      </c>
      <c r="KJE23" s="92">
        <v>0</v>
      </c>
      <c r="KJF23" s="92">
        <v>0</v>
      </c>
      <c r="KJG23" s="92">
        <v>0</v>
      </c>
      <c r="KJH23" s="92">
        <v>0</v>
      </c>
      <c r="KJI23" s="92">
        <v>0</v>
      </c>
      <c r="KJJ23" s="92">
        <v>0</v>
      </c>
      <c r="KJK23" s="92">
        <v>0</v>
      </c>
      <c r="KJL23" s="92">
        <v>0</v>
      </c>
      <c r="KJM23" s="92">
        <v>0</v>
      </c>
      <c r="KJN23" s="92">
        <v>0</v>
      </c>
      <c r="KJO23" s="92">
        <v>0</v>
      </c>
      <c r="KJP23" s="92">
        <v>0</v>
      </c>
      <c r="KJQ23" s="92">
        <v>0</v>
      </c>
      <c r="KJR23" s="92">
        <v>0</v>
      </c>
      <c r="KJS23" s="92">
        <v>0</v>
      </c>
      <c r="KJT23" s="92">
        <v>0</v>
      </c>
      <c r="KJU23" s="92">
        <v>0</v>
      </c>
      <c r="KJV23" s="92">
        <v>0</v>
      </c>
      <c r="KJW23" s="92">
        <v>0</v>
      </c>
      <c r="KJX23" s="92">
        <v>0</v>
      </c>
      <c r="KJY23" s="92">
        <v>0</v>
      </c>
      <c r="KJZ23" s="92">
        <v>0</v>
      </c>
      <c r="KKA23" s="92">
        <v>0</v>
      </c>
      <c r="KKB23" s="92">
        <v>0</v>
      </c>
      <c r="KKC23" s="92">
        <v>0</v>
      </c>
      <c r="KKD23" s="92">
        <v>0</v>
      </c>
      <c r="KKE23" s="92">
        <v>0</v>
      </c>
      <c r="KKF23" s="92">
        <v>0</v>
      </c>
      <c r="KKG23" s="92">
        <v>0</v>
      </c>
      <c r="KKH23" s="92">
        <v>0</v>
      </c>
      <c r="KKI23" s="92">
        <v>0</v>
      </c>
      <c r="KKJ23" s="92">
        <v>0</v>
      </c>
      <c r="KKK23" s="92">
        <v>0</v>
      </c>
      <c r="KKL23" s="92">
        <v>0</v>
      </c>
      <c r="KKM23" s="92">
        <v>0</v>
      </c>
      <c r="KKN23" s="92">
        <v>0</v>
      </c>
      <c r="KKO23" s="92">
        <v>0</v>
      </c>
      <c r="KKP23" s="92">
        <v>0</v>
      </c>
      <c r="KKQ23" s="92">
        <v>0</v>
      </c>
      <c r="KKR23" s="92">
        <v>0</v>
      </c>
      <c r="KKS23" s="92">
        <v>0</v>
      </c>
      <c r="KKT23" s="92">
        <v>0</v>
      </c>
      <c r="KKU23" s="92">
        <v>0</v>
      </c>
      <c r="KKV23" s="92">
        <v>0</v>
      </c>
      <c r="KKW23" s="92">
        <v>0</v>
      </c>
      <c r="KKX23" s="92">
        <v>0</v>
      </c>
      <c r="KKY23" s="92">
        <v>0</v>
      </c>
      <c r="KKZ23" s="92">
        <v>0</v>
      </c>
      <c r="KLA23" s="92">
        <v>0</v>
      </c>
      <c r="KLB23" s="92">
        <v>0</v>
      </c>
      <c r="KLC23" s="92">
        <v>0</v>
      </c>
      <c r="KLD23" s="92">
        <v>0</v>
      </c>
      <c r="KLE23" s="92">
        <v>0</v>
      </c>
      <c r="KLF23" s="92">
        <v>0</v>
      </c>
      <c r="KLG23" s="92">
        <v>0</v>
      </c>
      <c r="KLH23" s="92">
        <v>0</v>
      </c>
      <c r="KLI23" s="92">
        <v>0</v>
      </c>
      <c r="KLJ23" s="92">
        <v>0</v>
      </c>
      <c r="KLK23" s="92">
        <v>0</v>
      </c>
      <c r="KLL23" s="92">
        <v>0</v>
      </c>
      <c r="KLM23" s="92">
        <v>0</v>
      </c>
      <c r="KLN23" s="92">
        <v>0</v>
      </c>
      <c r="KLO23" s="92">
        <v>0</v>
      </c>
      <c r="KLP23" s="92">
        <v>0</v>
      </c>
      <c r="KLQ23" s="92">
        <v>0</v>
      </c>
      <c r="KLR23" s="92">
        <v>0</v>
      </c>
      <c r="KLS23" s="92">
        <v>0</v>
      </c>
      <c r="KLT23" s="92">
        <v>0</v>
      </c>
      <c r="KLU23" s="92">
        <v>0</v>
      </c>
      <c r="KLV23" s="92">
        <v>0</v>
      </c>
      <c r="KLW23" s="92">
        <v>0</v>
      </c>
      <c r="KLX23" s="92">
        <v>0</v>
      </c>
      <c r="KLY23" s="92">
        <v>0</v>
      </c>
      <c r="KLZ23" s="92">
        <v>0</v>
      </c>
      <c r="KMA23" s="92">
        <v>0</v>
      </c>
      <c r="KMB23" s="92">
        <v>0</v>
      </c>
      <c r="KMC23" s="92">
        <v>0</v>
      </c>
      <c r="KMD23" s="92">
        <v>0</v>
      </c>
      <c r="KME23" s="92">
        <v>0</v>
      </c>
      <c r="KMF23" s="92">
        <v>0</v>
      </c>
      <c r="KMG23" s="92">
        <v>0</v>
      </c>
      <c r="KMH23" s="92">
        <v>0</v>
      </c>
      <c r="KMI23" s="92">
        <v>0</v>
      </c>
      <c r="KMJ23" s="92">
        <v>0</v>
      </c>
      <c r="KMK23" s="92">
        <v>0</v>
      </c>
      <c r="KML23" s="92">
        <v>0</v>
      </c>
      <c r="KMM23" s="92">
        <v>0</v>
      </c>
      <c r="KMN23" s="92">
        <v>0</v>
      </c>
      <c r="KMO23" s="92">
        <v>0</v>
      </c>
      <c r="KMP23" s="92">
        <v>0</v>
      </c>
      <c r="KMQ23" s="92">
        <v>0</v>
      </c>
      <c r="KMR23" s="92">
        <v>0</v>
      </c>
      <c r="KMS23" s="92">
        <v>0</v>
      </c>
      <c r="KMT23" s="92">
        <v>0</v>
      </c>
      <c r="KMU23" s="92">
        <v>0</v>
      </c>
      <c r="KMV23" s="92">
        <v>0</v>
      </c>
      <c r="KMW23" s="92">
        <v>0</v>
      </c>
      <c r="KMX23" s="92">
        <v>0</v>
      </c>
      <c r="KMY23" s="92">
        <v>0</v>
      </c>
      <c r="KMZ23" s="92">
        <v>0</v>
      </c>
      <c r="KNA23" s="92">
        <v>0</v>
      </c>
      <c r="KNB23" s="92">
        <v>0</v>
      </c>
      <c r="KNC23" s="92">
        <v>0</v>
      </c>
      <c r="KND23" s="92">
        <v>0</v>
      </c>
      <c r="KNE23" s="92">
        <v>0</v>
      </c>
      <c r="KNF23" s="92">
        <v>0</v>
      </c>
      <c r="KNG23" s="92">
        <v>0</v>
      </c>
      <c r="KNH23" s="92">
        <v>0</v>
      </c>
      <c r="KNI23" s="92">
        <v>0</v>
      </c>
      <c r="KNJ23" s="92">
        <v>0</v>
      </c>
      <c r="KNK23" s="92">
        <v>0</v>
      </c>
      <c r="KNL23" s="92">
        <v>0</v>
      </c>
      <c r="KNM23" s="92">
        <v>0</v>
      </c>
      <c r="KNN23" s="92">
        <v>0</v>
      </c>
      <c r="KNO23" s="92">
        <v>0</v>
      </c>
      <c r="KNP23" s="92">
        <v>0</v>
      </c>
      <c r="KNQ23" s="92">
        <v>0</v>
      </c>
      <c r="KNR23" s="92">
        <v>0</v>
      </c>
      <c r="KNS23" s="92">
        <v>0</v>
      </c>
      <c r="KNT23" s="92">
        <v>0</v>
      </c>
      <c r="KNU23" s="92">
        <v>0</v>
      </c>
      <c r="KNV23" s="92">
        <v>0</v>
      </c>
      <c r="KNW23" s="92">
        <v>0</v>
      </c>
      <c r="KNX23" s="92">
        <v>0</v>
      </c>
      <c r="KNY23" s="92">
        <v>0</v>
      </c>
      <c r="KNZ23" s="92">
        <v>0</v>
      </c>
      <c r="KOA23" s="92">
        <v>0</v>
      </c>
      <c r="KOB23" s="92">
        <v>0</v>
      </c>
      <c r="KOC23" s="92">
        <v>0</v>
      </c>
      <c r="KOD23" s="92">
        <v>0</v>
      </c>
      <c r="KOE23" s="92">
        <v>0</v>
      </c>
      <c r="KOF23" s="92">
        <v>0</v>
      </c>
      <c r="KOG23" s="92">
        <v>0</v>
      </c>
      <c r="KOH23" s="92">
        <v>0</v>
      </c>
      <c r="KOI23" s="92">
        <v>0</v>
      </c>
      <c r="KOJ23" s="92">
        <v>0</v>
      </c>
      <c r="KOK23" s="92">
        <v>0</v>
      </c>
      <c r="KOL23" s="92">
        <v>0</v>
      </c>
      <c r="KOM23" s="92">
        <v>0</v>
      </c>
      <c r="KON23" s="92">
        <v>0</v>
      </c>
      <c r="KOO23" s="92">
        <v>0</v>
      </c>
      <c r="KOP23" s="92">
        <v>0</v>
      </c>
      <c r="KOQ23" s="92">
        <v>0</v>
      </c>
      <c r="KOR23" s="92">
        <v>0</v>
      </c>
      <c r="KOS23" s="92">
        <v>0</v>
      </c>
      <c r="KOT23" s="92">
        <v>0</v>
      </c>
      <c r="KOU23" s="92">
        <v>0</v>
      </c>
      <c r="KOV23" s="92">
        <v>0</v>
      </c>
      <c r="KOW23" s="92">
        <v>0</v>
      </c>
      <c r="KOX23" s="92">
        <v>0</v>
      </c>
      <c r="KOY23" s="92">
        <v>0</v>
      </c>
      <c r="KOZ23" s="92">
        <v>0</v>
      </c>
      <c r="KPA23" s="92">
        <v>0</v>
      </c>
      <c r="KPB23" s="92">
        <v>0</v>
      </c>
      <c r="KPC23" s="92">
        <v>0</v>
      </c>
      <c r="KPD23" s="92">
        <v>0</v>
      </c>
      <c r="KPE23" s="92">
        <v>0</v>
      </c>
      <c r="KPF23" s="92">
        <v>0</v>
      </c>
      <c r="KPG23" s="92">
        <v>0</v>
      </c>
      <c r="KPH23" s="92">
        <v>0</v>
      </c>
      <c r="KPI23" s="92">
        <v>0</v>
      </c>
      <c r="KPJ23" s="92">
        <v>0</v>
      </c>
      <c r="KPK23" s="92">
        <v>0</v>
      </c>
      <c r="KPL23" s="92">
        <v>0</v>
      </c>
      <c r="KPM23" s="92">
        <v>0</v>
      </c>
      <c r="KPN23" s="92">
        <v>0</v>
      </c>
      <c r="KPO23" s="92">
        <v>0</v>
      </c>
      <c r="KPP23" s="92">
        <v>0</v>
      </c>
      <c r="KPQ23" s="92">
        <v>0</v>
      </c>
      <c r="KPR23" s="92">
        <v>0</v>
      </c>
      <c r="KPS23" s="92">
        <v>0</v>
      </c>
      <c r="KPT23" s="92">
        <v>0</v>
      </c>
      <c r="KPU23" s="92">
        <v>0</v>
      </c>
      <c r="KPV23" s="92">
        <v>0</v>
      </c>
      <c r="KPW23" s="92">
        <v>0</v>
      </c>
      <c r="KPX23" s="92">
        <v>0</v>
      </c>
      <c r="KPY23" s="92">
        <v>0</v>
      </c>
      <c r="KPZ23" s="92">
        <v>0</v>
      </c>
      <c r="KQA23" s="92">
        <v>0</v>
      </c>
      <c r="KQB23" s="92">
        <v>0</v>
      </c>
      <c r="KQC23" s="92">
        <v>0</v>
      </c>
      <c r="KQD23" s="92">
        <v>0</v>
      </c>
      <c r="KQE23" s="92">
        <v>0</v>
      </c>
      <c r="KQF23" s="92">
        <v>0</v>
      </c>
      <c r="KQG23" s="92">
        <v>0</v>
      </c>
      <c r="KQH23" s="92">
        <v>0</v>
      </c>
      <c r="KQI23" s="92">
        <v>0</v>
      </c>
      <c r="KQJ23" s="92">
        <v>0</v>
      </c>
      <c r="KQK23" s="92">
        <v>0</v>
      </c>
      <c r="KQL23" s="92">
        <v>0</v>
      </c>
      <c r="KQM23" s="92">
        <v>0</v>
      </c>
      <c r="KQN23" s="92">
        <v>0</v>
      </c>
      <c r="KQO23" s="92">
        <v>0</v>
      </c>
      <c r="KQP23" s="92">
        <v>0</v>
      </c>
      <c r="KQQ23" s="92">
        <v>0</v>
      </c>
      <c r="KQR23" s="92">
        <v>0</v>
      </c>
      <c r="KQS23" s="92">
        <v>0</v>
      </c>
      <c r="KQT23" s="92">
        <v>0</v>
      </c>
      <c r="KQU23" s="92">
        <v>0</v>
      </c>
      <c r="KQV23" s="92">
        <v>0</v>
      </c>
      <c r="KQW23" s="92">
        <v>0</v>
      </c>
      <c r="KQX23" s="92">
        <v>0</v>
      </c>
      <c r="KQY23" s="92">
        <v>0</v>
      </c>
      <c r="KQZ23" s="92">
        <v>0</v>
      </c>
      <c r="KRA23" s="92">
        <v>0</v>
      </c>
      <c r="KRB23" s="92">
        <v>0</v>
      </c>
      <c r="KRC23" s="92">
        <v>0</v>
      </c>
      <c r="KRD23" s="92">
        <v>0</v>
      </c>
      <c r="KRE23" s="92">
        <v>0</v>
      </c>
      <c r="KRF23" s="92">
        <v>0</v>
      </c>
      <c r="KRG23" s="92">
        <v>0</v>
      </c>
      <c r="KRH23" s="92">
        <v>0</v>
      </c>
      <c r="KRI23" s="92">
        <v>0</v>
      </c>
      <c r="KRJ23" s="92">
        <v>0</v>
      </c>
      <c r="KRK23" s="92">
        <v>0</v>
      </c>
      <c r="KRL23" s="92">
        <v>0</v>
      </c>
      <c r="KRM23" s="92">
        <v>0</v>
      </c>
      <c r="KRN23" s="92">
        <v>0</v>
      </c>
      <c r="KRO23" s="92">
        <v>0</v>
      </c>
      <c r="KRP23" s="92">
        <v>0</v>
      </c>
      <c r="KRQ23" s="92">
        <v>0</v>
      </c>
      <c r="KRR23" s="92">
        <v>0</v>
      </c>
      <c r="KRS23" s="92">
        <v>0</v>
      </c>
      <c r="KRT23" s="92">
        <v>0</v>
      </c>
      <c r="KRU23" s="92">
        <v>0</v>
      </c>
      <c r="KRV23" s="92">
        <v>0</v>
      </c>
      <c r="KRW23" s="92">
        <v>0</v>
      </c>
      <c r="KRX23" s="92">
        <v>0</v>
      </c>
      <c r="KRY23" s="92">
        <v>0</v>
      </c>
      <c r="KRZ23" s="92">
        <v>0</v>
      </c>
      <c r="KSA23" s="92">
        <v>0</v>
      </c>
      <c r="KSB23" s="92">
        <v>0</v>
      </c>
      <c r="KSC23" s="92">
        <v>0</v>
      </c>
      <c r="KSD23" s="92">
        <v>0</v>
      </c>
      <c r="KSE23" s="92">
        <v>0</v>
      </c>
      <c r="KSF23" s="92">
        <v>0</v>
      </c>
      <c r="KSG23" s="92">
        <v>0</v>
      </c>
      <c r="KSH23" s="92">
        <v>0</v>
      </c>
      <c r="KSI23" s="92">
        <v>0</v>
      </c>
      <c r="KSJ23" s="92">
        <v>0</v>
      </c>
      <c r="KSK23" s="92">
        <v>0</v>
      </c>
      <c r="KSL23" s="92">
        <v>0</v>
      </c>
      <c r="KSM23" s="92">
        <v>0</v>
      </c>
      <c r="KSN23" s="92">
        <v>0</v>
      </c>
      <c r="KSO23" s="92">
        <v>0</v>
      </c>
      <c r="KSP23" s="92">
        <v>0</v>
      </c>
      <c r="KSQ23" s="92">
        <v>0</v>
      </c>
      <c r="KSR23" s="92">
        <v>0</v>
      </c>
      <c r="KSS23" s="92">
        <v>0</v>
      </c>
      <c r="KST23" s="92">
        <v>0</v>
      </c>
      <c r="KSU23" s="92">
        <v>0</v>
      </c>
      <c r="KSV23" s="92">
        <v>0</v>
      </c>
      <c r="KSW23" s="92">
        <v>0</v>
      </c>
      <c r="KSX23" s="92">
        <v>0</v>
      </c>
      <c r="KSY23" s="92">
        <v>0</v>
      </c>
      <c r="KSZ23" s="92">
        <v>0</v>
      </c>
      <c r="KTA23" s="92">
        <v>0</v>
      </c>
      <c r="KTB23" s="92">
        <v>0</v>
      </c>
      <c r="KTC23" s="92">
        <v>0</v>
      </c>
      <c r="KTD23" s="92">
        <v>0</v>
      </c>
      <c r="KTE23" s="92">
        <v>0</v>
      </c>
      <c r="KTF23" s="92">
        <v>0</v>
      </c>
      <c r="KTG23" s="92">
        <v>0</v>
      </c>
      <c r="KTH23" s="92">
        <v>0</v>
      </c>
      <c r="KTI23" s="92">
        <v>0</v>
      </c>
      <c r="KTJ23" s="92">
        <v>0</v>
      </c>
      <c r="KTK23" s="92">
        <v>0</v>
      </c>
      <c r="KTL23" s="92">
        <v>0</v>
      </c>
      <c r="KTM23" s="92">
        <v>0</v>
      </c>
      <c r="KTN23" s="92">
        <v>0</v>
      </c>
      <c r="KTO23" s="92">
        <v>0</v>
      </c>
      <c r="KTP23" s="92">
        <v>0</v>
      </c>
      <c r="KTQ23" s="92">
        <v>0</v>
      </c>
      <c r="KTR23" s="92">
        <v>0</v>
      </c>
      <c r="KTS23" s="92">
        <v>0</v>
      </c>
      <c r="KTT23" s="92">
        <v>0</v>
      </c>
      <c r="KTU23" s="92">
        <v>0</v>
      </c>
      <c r="KTV23" s="92">
        <v>0</v>
      </c>
      <c r="KTW23" s="92">
        <v>0</v>
      </c>
      <c r="KTX23" s="92">
        <v>0</v>
      </c>
      <c r="KTY23" s="92">
        <v>0</v>
      </c>
      <c r="KTZ23" s="92">
        <v>0</v>
      </c>
      <c r="KUA23" s="92">
        <v>0</v>
      </c>
      <c r="KUB23" s="92">
        <v>0</v>
      </c>
      <c r="KUC23" s="92">
        <v>0</v>
      </c>
      <c r="KUD23" s="92">
        <v>0</v>
      </c>
      <c r="KUE23" s="92">
        <v>0</v>
      </c>
      <c r="KUF23" s="92">
        <v>0</v>
      </c>
      <c r="KUG23" s="92">
        <v>0</v>
      </c>
      <c r="KUH23" s="92">
        <v>0</v>
      </c>
      <c r="KUI23" s="92">
        <v>0</v>
      </c>
      <c r="KUJ23" s="92">
        <v>0</v>
      </c>
      <c r="KUK23" s="92">
        <v>0</v>
      </c>
      <c r="KUL23" s="92">
        <v>0</v>
      </c>
      <c r="KUM23" s="92">
        <v>0</v>
      </c>
      <c r="KUN23" s="92">
        <v>0</v>
      </c>
      <c r="KUO23" s="92">
        <v>0</v>
      </c>
      <c r="KUP23" s="92">
        <v>0</v>
      </c>
      <c r="KUQ23" s="92">
        <v>0</v>
      </c>
      <c r="KUR23" s="92">
        <v>0</v>
      </c>
      <c r="KUS23" s="92">
        <v>0</v>
      </c>
      <c r="KUT23" s="92">
        <v>0</v>
      </c>
      <c r="KUU23" s="92">
        <v>0</v>
      </c>
      <c r="KUV23" s="92">
        <v>0</v>
      </c>
      <c r="KUW23" s="92">
        <v>0</v>
      </c>
      <c r="KUX23" s="92">
        <v>0</v>
      </c>
      <c r="KUY23" s="92">
        <v>0</v>
      </c>
      <c r="KUZ23" s="92">
        <v>0</v>
      </c>
      <c r="KVA23" s="92">
        <v>0</v>
      </c>
      <c r="KVB23" s="92">
        <v>0</v>
      </c>
      <c r="KVC23" s="92">
        <v>0</v>
      </c>
      <c r="KVD23" s="92">
        <v>0</v>
      </c>
      <c r="KVE23" s="92">
        <v>0</v>
      </c>
      <c r="KVF23" s="92">
        <v>0</v>
      </c>
      <c r="KVG23" s="92">
        <v>0</v>
      </c>
      <c r="KVH23" s="92">
        <v>0</v>
      </c>
      <c r="KVI23" s="92">
        <v>0</v>
      </c>
      <c r="KVJ23" s="92">
        <v>0</v>
      </c>
      <c r="KVK23" s="92">
        <v>0</v>
      </c>
      <c r="KVL23" s="92">
        <v>0</v>
      </c>
      <c r="KVM23" s="92">
        <v>0</v>
      </c>
      <c r="KVN23" s="92">
        <v>0</v>
      </c>
      <c r="KVO23" s="92">
        <v>0</v>
      </c>
      <c r="KVP23" s="92">
        <v>0</v>
      </c>
      <c r="KVQ23" s="92">
        <v>0</v>
      </c>
      <c r="KVR23" s="92">
        <v>0</v>
      </c>
      <c r="KVS23" s="92">
        <v>0</v>
      </c>
      <c r="KVT23" s="92">
        <v>0</v>
      </c>
      <c r="KVU23" s="92">
        <v>0</v>
      </c>
      <c r="KVV23" s="92">
        <v>0</v>
      </c>
      <c r="KVW23" s="92">
        <v>0</v>
      </c>
      <c r="KVX23" s="92">
        <v>0</v>
      </c>
      <c r="KVY23" s="92">
        <v>0</v>
      </c>
      <c r="KVZ23" s="92">
        <v>0</v>
      </c>
      <c r="KWA23" s="92">
        <v>0</v>
      </c>
      <c r="KWB23" s="92">
        <v>0</v>
      </c>
      <c r="KWC23" s="92">
        <v>0</v>
      </c>
      <c r="KWD23" s="92">
        <v>0</v>
      </c>
      <c r="KWE23" s="92">
        <v>0</v>
      </c>
      <c r="KWF23" s="92">
        <v>0</v>
      </c>
      <c r="KWG23" s="92">
        <v>0</v>
      </c>
      <c r="KWH23" s="92">
        <v>0</v>
      </c>
      <c r="KWI23" s="92">
        <v>0</v>
      </c>
      <c r="KWJ23" s="92">
        <v>0</v>
      </c>
      <c r="KWK23" s="92">
        <v>0</v>
      </c>
      <c r="KWL23" s="92">
        <v>0</v>
      </c>
      <c r="KWM23" s="92">
        <v>0</v>
      </c>
      <c r="KWN23" s="92">
        <v>0</v>
      </c>
      <c r="KWO23" s="92">
        <v>0</v>
      </c>
      <c r="KWP23" s="92">
        <v>0</v>
      </c>
      <c r="KWQ23" s="92">
        <v>0</v>
      </c>
      <c r="KWR23" s="92">
        <v>0</v>
      </c>
      <c r="KWS23" s="92">
        <v>0</v>
      </c>
      <c r="KWT23" s="92">
        <v>0</v>
      </c>
      <c r="KWU23" s="92">
        <v>0</v>
      </c>
      <c r="KWV23" s="92">
        <v>0</v>
      </c>
      <c r="KWW23" s="92">
        <v>0</v>
      </c>
      <c r="KWX23" s="92">
        <v>0</v>
      </c>
      <c r="KWY23" s="92">
        <v>0</v>
      </c>
      <c r="KWZ23" s="92">
        <v>0</v>
      </c>
      <c r="KXA23" s="92">
        <v>0</v>
      </c>
      <c r="KXB23" s="92">
        <v>0</v>
      </c>
      <c r="KXC23" s="92">
        <v>0</v>
      </c>
      <c r="KXD23" s="92">
        <v>0</v>
      </c>
      <c r="KXE23" s="92">
        <v>0</v>
      </c>
      <c r="KXF23" s="92">
        <v>0</v>
      </c>
      <c r="KXG23" s="92">
        <v>0</v>
      </c>
      <c r="KXH23" s="92">
        <v>0</v>
      </c>
      <c r="KXI23" s="92">
        <v>0</v>
      </c>
      <c r="KXJ23" s="92">
        <v>0</v>
      </c>
      <c r="KXK23" s="92">
        <v>0</v>
      </c>
      <c r="KXL23" s="92">
        <v>0</v>
      </c>
      <c r="KXM23" s="92">
        <v>0</v>
      </c>
      <c r="KXN23" s="92">
        <v>0</v>
      </c>
      <c r="KXO23" s="92">
        <v>0</v>
      </c>
      <c r="KXP23" s="92">
        <v>0</v>
      </c>
      <c r="KXQ23" s="92">
        <v>0</v>
      </c>
      <c r="KXR23" s="92">
        <v>0</v>
      </c>
      <c r="KXS23" s="92">
        <v>0</v>
      </c>
      <c r="KXT23" s="92">
        <v>0</v>
      </c>
      <c r="KXU23" s="92">
        <v>0</v>
      </c>
      <c r="KXV23" s="92">
        <v>0</v>
      </c>
      <c r="KXW23" s="92">
        <v>0</v>
      </c>
      <c r="KXX23" s="92">
        <v>0</v>
      </c>
      <c r="KXY23" s="92">
        <v>0</v>
      </c>
      <c r="KXZ23" s="92">
        <v>0</v>
      </c>
      <c r="KYA23" s="92">
        <v>0</v>
      </c>
      <c r="KYB23" s="92">
        <v>0</v>
      </c>
      <c r="KYC23" s="92">
        <v>0</v>
      </c>
      <c r="KYD23" s="92">
        <v>0</v>
      </c>
      <c r="KYE23" s="92">
        <v>0</v>
      </c>
      <c r="KYF23" s="92">
        <v>0</v>
      </c>
      <c r="KYG23" s="92">
        <v>0</v>
      </c>
      <c r="KYH23" s="92">
        <v>0</v>
      </c>
      <c r="KYI23" s="92">
        <v>0</v>
      </c>
      <c r="KYJ23" s="92">
        <v>0</v>
      </c>
      <c r="KYK23" s="92">
        <v>0</v>
      </c>
      <c r="KYL23" s="92">
        <v>0</v>
      </c>
      <c r="KYM23" s="92">
        <v>0</v>
      </c>
      <c r="KYN23" s="92">
        <v>0</v>
      </c>
      <c r="KYO23" s="92">
        <v>0</v>
      </c>
      <c r="KYP23" s="92">
        <v>0</v>
      </c>
      <c r="KYQ23" s="92">
        <v>0</v>
      </c>
      <c r="KYR23" s="92">
        <v>0</v>
      </c>
      <c r="KYS23" s="92">
        <v>0</v>
      </c>
      <c r="KYT23" s="92">
        <v>0</v>
      </c>
      <c r="KYU23" s="92">
        <v>0</v>
      </c>
      <c r="KYV23" s="92">
        <v>0</v>
      </c>
      <c r="KYW23" s="92">
        <v>0</v>
      </c>
      <c r="KYX23" s="92">
        <v>0</v>
      </c>
      <c r="KYY23" s="92">
        <v>0</v>
      </c>
      <c r="KYZ23" s="92">
        <v>0</v>
      </c>
      <c r="KZA23" s="92">
        <v>0</v>
      </c>
      <c r="KZB23" s="92">
        <v>0</v>
      </c>
      <c r="KZC23" s="92">
        <v>0</v>
      </c>
      <c r="KZD23" s="92">
        <v>0</v>
      </c>
      <c r="KZE23" s="92">
        <v>0</v>
      </c>
      <c r="KZF23" s="92">
        <v>0</v>
      </c>
      <c r="KZG23" s="92">
        <v>0</v>
      </c>
      <c r="KZH23" s="92">
        <v>0</v>
      </c>
      <c r="KZI23" s="92">
        <v>0</v>
      </c>
      <c r="KZJ23" s="92">
        <v>0</v>
      </c>
      <c r="KZK23" s="92">
        <v>0</v>
      </c>
      <c r="KZL23" s="92">
        <v>0</v>
      </c>
      <c r="KZM23" s="92">
        <v>0</v>
      </c>
      <c r="KZN23" s="92">
        <v>0</v>
      </c>
      <c r="KZO23" s="92">
        <v>0</v>
      </c>
      <c r="KZP23" s="92">
        <v>0</v>
      </c>
      <c r="KZQ23" s="92">
        <v>0</v>
      </c>
      <c r="KZR23" s="92">
        <v>0</v>
      </c>
      <c r="KZS23" s="92">
        <v>0</v>
      </c>
      <c r="KZT23" s="92">
        <v>0</v>
      </c>
      <c r="KZU23" s="92">
        <v>0</v>
      </c>
      <c r="KZV23" s="92">
        <v>0</v>
      </c>
      <c r="KZW23" s="92">
        <v>0</v>
      </c>
      <c r="KZX23" s="92">
        <v>0</v>
      </c>
      <c r="KZY23" s="92">
        <v>0</v>
      </c>
      <c r="KZZ23" s="92">
        <v>0</v>
      </c>
      <c r="LAA23" s="92">
        <v>0</v>
      </c>
      <c r="LAB23" s="92">
        <v>0</v>
      </c>
      <c r="LAC23" s="92">
        <v>0</v>
      </c>
      <c r="LAD23" s="92">
        <v>0</v>
      </c>
      <c r="LAE23" s="92">
        <v>0</v>
      </c>
      <c r="LAF23" s="92">
        <v>0</v>
      </c>
      <c r="LAG23" s="92">
        <v>0</v>
      </c>
      <c r="LAH23" s="92">
        <v>0</v>
      </c>
      <c r="LAI23" s="92">
        <v>0</v>
      </c>
      <c r="LAJ23" s="92">
        <v>0</v>
      </c>
      <c r="LAK23" s="92">
        <v>0</v>
      </c>
      <c r="LAL23" s="92">
        <v>0</v>
      </c>
      <c r="LAM23" s="92">
        <v>0</v>
      </c>
      <c r="LAN23" s="92">
        <v>0</v>
      </c>
      <c r="LAO23" s="92">
        <v>0</v>
      </c>
      <c r="LAP23" s="92">
        <v>0</v>
      </c>
      <c r="LAQ23" s="92">
        <v>0</v>
      </c>
      <c r="LAR23" s="92">
        <v>0</v>
      </c>
      <c r="LAS23" s="92">
        <v>0</v>
      </c>
      <c r="LAT23" s="92">
        <v>0</v>
      </c>
      <c r="LAU23" s="92">
        <v>0</v>
      </c>
      <c r="LAV23" s="92">
        <v>0</v>
      </c>
      <c r="LAW23" s="92">
        <v>0</v>
      </c>
      <c r="LAX23" s="92">
        <v>0</v>
      </c>
      <c r="LAY23" s="92">
        <v>0</v>
      </c>
      <c r="LAZ23" s="92">
        <v>0</v>
      </c>
      <c r="LBA23" s="92">
        <v>0</v>
      </c>
      <c r="LBB23" s="92">
        <v>0</v>
      </c>
      <c r="LBC23" s="92">
        <v>0</v>
      </c>
      <c r="LBD23" s="92">
        <v>0</v>
      </c>
      <c r="LBE23" s="92">
        <v>0</v>
      </c>
      <c r="LBF23" s="92">
        <v>0</v>
      </c>
      <c r="LBG23" s="92">
        <v>0</v>
      </c>
      <c r="LBH23" s="92">
        <v>0</v>
      </c>
      <c r="LBI23" s="92">
        <v>0</v>
      </c>
      <c r="LBJ23" s="92">
        <v>0</v>
      </c>
      <c r="LBK23" s="92">
        <v>0</v>
      </c>
      <c r="LBL23" s="92">
        <v>0</v>
      </c>
      <c r="LBM23" s="92">
        <v>0</v>
      </c>
      <c r="LBN23" s="92">
        <v>0</v>
      </c>
      <c r="LBO23" s="92">
        <v>0</v>
      </c>
      <c r="LBP23" s="92">
        <v>0</v>
      </c>
      <c r="LBQ23" s="92">
        <v>0</v>
      </c>
      <c r="LBR23" s="92">
        <v>0</v>
      </c>
      <c r="LBS23" s="92">
        <v>0</v>
      </c>
      <c r="LBT23" s="92">
        <v>0</v>
      </c>
      <c r="LBU23" s="92">
        <v>0</v>
      </c>
      <c r="LBV23" s="92">
        <v>0</v>
      </c>
      <c r="LBW23" s="92">
        <v>0</v>
      </c>
      <c r="LBX23" s="92">
        <v>0</v>
      </c>
      <c r="LBY23" s="92">
        <v>0</v>
      </c>
      <c r="LBZ23" s="92">
        <v>0</v>
      </c>
      <c r="LCA23" s="92">
        <v>0</v>
      </c>
      <c r="LCB23" s="92">
        <v>0</v>
      </c>
      <c r="LCC23" s="92">
        <v>0</v>
      </c>
      <c r="LCD23" s="92">
        <v>0</v>
      </c>
      <c r="LCE23" s="92">
        <v>0</v>
      </c>
      <c r="LCF23" s="92">
        <v>0</v>
      </c>
      <c r="LCG23" s="92">
        <v>0</v>
      </c>
      <c r="LCH23" s="92">
        <v>0</v>
      </c>
      <c r="LCI23" s="92">
        <v>0</v>
      </c>
      <c r="LCJ23" s="92">
        <v>0</v>
      </c>
      <c r="LCK23" s="92">
        <v>0</v>
      </c>
      <c r="LCL23" s="92">
        <v>0</v>
      </c>
      <c r="LCM23" s="92">
        <v>0</v>
      </c>
      <c r="LCN23" s="92">
        <v>0</v>
      </c>
      <c r="LCO23" s="92">
        <v>0</v>
      </c>
      <c r="LCP23" s="92">
        <v>0</v>
      </c>
      <c r="LCQ23" s="92">
        <v>0</v>
      </c>
      <c r="LCR23" s="92">
        <v>0</v>
      </c>
      <c r="LCS23" s="92">
        <v>0</v>
      </c>
      <c r="LCT23" s="92">
        <v>0</v>
      </c>
      <c r="LCU23" s="92">
        <v>0</v>
      </c>
      <c r="LCV23" s="92">
        <v>0</v>
      </c>
      <c r="LCW23" s="92">
        <v>0</v>
      </c>
      <c r="LCX23" s="92">
        <v>0</v>
      </c>
      <c r="LCY23" s="92">
        <v>0</v>
      </c>
      <c r="LCZ23" s="92">
        <v>0</v>
      </c>
      <c r="LDA23" s="92">
        <v>0</v>
      </c>
      <c r="LDB23" s="92">
        <v>0</v>
      </c>
      <c r="LDC23" s="92">
        <v>0</v>
      </c>
      <c r="LDD23" s="92">
        <v>0</v>
      </c>
      <c r="LDE23" s="92">
        <v>0</v>
      </c>
      <c r="LDF23" s="92">
        <v>0</v>
      </c>
      <c r="LDG23" s="92">
        <v>0</v>
      </c>
      <c r="LDH23" s="92">
        <v>0</v>
      </c>
      <c r="LDI23" s="92">
        <v>0</v>
      </c>
      <c r="LDJ23" s="92">
        <v>0</v>
      </c>
      <c r="LDK23" s="92">
        <v>0</v>
      </c>
      <c r="LDL23" s="92">
        <v>0</v>
      </c>
      <c r="LDM23" s="92">
        <v>0</v>
      </c>
      <c r="LDN23" s="92">
        <v>0</v>
      </c>
      <c r="LDO23" s="92">
        <v>0</v>
      </c>
      <c r="LDP23" s="92">
        <v>0</v>
      </c>
      <c r="LDQ23" s="92">
        <v>0</v>
      </c>
      <c r="LDR23" s="92">
        <v>0</v>
      </c>
      <c r="LDS23" s="92">
        <v>0</v>
      </c>
      <c r="LDT23" s="92">
        <v>0</v>
      </c>
      <c r="LDU23" s="92">
        <v>0</v>
      </c>
      <c r="LDV23" s="92">
        <v>0</v>
      </c>
      <c r="LDW23" s="92">
        <v>0</v>
      </c>
      <c r="LDX23" s="92">
        <v>0</v>
      </c>
      <c r="LDY23" s="92">
        <v>0</v>
      </c>
      <c r="LDZ23" s="92">
        <v>0</v>
      </c>
      <c r="LEA23" s="92">
        <v>0</v>
      </c>
      <c r="LEB23" s="92">
        <v>0</v>
      </c>
      <c r="LEC23" s="92">
        <v>0</v>
      </c>
      <c r="LED23" s="92">
        <v>0</v>
      </c>
      <c r="LEE23" s="92">
        <v>0</v>
      </c>
      <c r="LEF23" s="92">
        <v>0</v>
      </c>
      <c r="LEG23" s="92">
        <v>0</v>
      </c>
      <c r="LEH23" s="92">
        <v>0</v>
      </c>
      <c r="LEI23" s="92">
        <v>0</v>
      </c>
      <c r="LEJ23" s="92">
        <v>0</v>
      </c>
      <c r="LEK23" s="92">
        <v>0</v>
      </c>
      <c r="LEL23" s="92">
        <v>0</v>
      </c>
      <c r="LEM23" s="92">
        <v>0</v>
      </c>
      <c r="LEN23" s="92">
        <v>0</v>
      </c>
      <c r="LEO23" s="92">
        <v>0</v>
      </c>
      <c r="LEP23" s="92">
        <v>0</v>
      </c>
      <c r="LEQ23" s="92">
        <v>0</v>
      </c>
      <c r="LER23" s="92">
        <v>0</v>
      </c>
      <c r="LES23" s="92">
        <v>0</v>
      </c>
      <c r="LET23" s="92">
        <v>0</v>
      </c>
      <c r="LEU23" s="92">
        <v>0</v>
      </c>
      <c r="LEV23" s="92">
        <v>0</v>
      </c>
      <c r="LEW23" s="92">
        <v>0</v>
      </c>
      <c r="LEX23" s="92">
        <v>0</v>
      </c>
      <c r="LEY23" s="92">
        <v>0</v>
      </c>
      <c r="LEZ23" s="92">
        <v>0</v>
      </c>
      <c r="LFA23" s="92">
        <v>0</v>
      </c>
      <c r="LFB23" s="92">
        <v>0</v>
      </c>
      <c r="LFC23" s="92">
        <v>0</v>
      </c>
      <c r="LFD23" s="92">
        <v>0</v>
      </c>
      <c r="LFE23" s="92">
        <v>0</v>
      </c>
      <c r="LFF23" s="92">
        <v>0</v>
      </c>
      <c r="LFG23" s="92">
        <v>0</v>
      </c>
      <c r="LFH23" s="92">
        <v>0</v>
      </c>
      <c r="LFI23" s="92">
        <v>0</v>
      </c>
      <c r="LFJ23" s="92">
        <v>0</v>
      </c>
      <c r="LFK23" s="92">
        <v>0</v>
      </c>
      <c r="LFL23" s="92">
        <v>0</v>
      </c>
      <c r="LFM23" s="92">
        <v>0</v>
      </c>
      <c r="LFN23" s="92">
        <v>0</v>
      </c>
      <c r="LFO23" s="92">
        <v>0</v>
      </c>
      <c r="LFP23" s="92">
        <v>0</v>
      </c>
      <c r="LFQ23" s="92">
        <v>0</v>
      </c>
      <c r="LFR23" s="92">
        <v>0</v>
      </c>
      <c r="LFS23" s="92">
        <v>0</v>
      </c>
      <c r="LFT23" s="92">
        <v>0</v>
      </c>
      <c r="LFU23" s="92">
        <v>0</v>
      </c>
      <c r="LFV23" s="92">
        <v>0</v>
      </c>
      <c r="LFW23" s="92">
        <v>0</v>
      </c>
      <c r="LFX23" s="92">
        <v>0</v>
      </c>
      <c r="LFY23" s="92">
        <v>0</v>
      </c>
      <c r="LFZ23" s="92">
        <v>0</v>
      </c>
      <c r="LGA23" s="92">
        <v>0</v>
      </c>
      <c r="LGB23" s="92">
        <v>0</v>
      </c>
      <c r="LGC23" s="92">
        <v>0</v>
      </c>
      <c r="LGD23" s="92">
        <v>0</v>
      </c>
      <c r="LGE23" s="92">
        <v>0</v>
      </c>
      <c r="LGF23" s="92">
        <v>0</v>
      </c>
      <c r="LGG23" s="92">
        <v>0</v>
      </c>
      <c r="LGH23" s="92">
        <v>0</v>
      </c>
      <c r="LGI23" s="92">
        <v>0</v>
      </c>
      <c r="LGJ23" s="92">
        <v>0</v>
      </c>
      <c r="LGK23" s="92">
        <v>0</v>
      </c>
      <c r="LGL23" s="92">
        <v>0</v>
      </c>
      <c r="LGM23" s="92">
        <v>0</v>
      </c>
      <c r="LGN23" s="92">
        <v>0</v>
      </c>
      <c r="LGO23" s="92">
        <v>0</v>
      </c>
      <c r="LGP23" s="92">
        <v>0</v>
      </c>
      <c r="LGQ23" s="92">
        <v>0</v>
      </c>
      <c r="LGR23" s="92">
        <v>0</v>
      </c>
      <c r="LGS23" s="92">
        <v>0</v>
      </c>
      <c r="LGT23" s="92">
        <v>0</v>
      </c>
      <c r="LGU23" s="92">
        <v>0</v>
      </c>
      <c r="LGV23" s="92">
        <v>0</v>
      </c>
      <c r="LGW23" s="92">
        <v>0</v>
      </c>
      <c r="LGX23" s="92">
        <v>0</v>
      </c>
      <c r="LGY23" s="92">
        <v>0</v>
      </c>
      <c r="LGZ23" s="92">
        <v>0</v>
      </c>
      <c r="LHA23" s="92">
        <v>0</v>
      </c>
      <c r="LHB23" s="92">
        <v>0</v>
      </c>
      <c r="LHC23" s="92">
        <v>0</v>
      </c>
      <c r="LHD23" s="92">
        <v>0</v>
      </c>
      <c r="LHE23" s="92">
        <v>0</v>
      </c>
      <c r="LHF23" s="92">
        <v>0</v>
      </c>
      <c r="LHG23" s="92">
        <v>0</v>
      </c>
      <c r="LHH23" s="92">
        <v>0</v>
      </c>
      <c r="LHI23" s="92">
        <v>0</v>
      </c>
      <c r="LHJ23" s="92">
        <v>0</v>
      </c>
      <c r="LHK23" s="92">
        <v>0</v>
      </c>
      <c r="LHL23" s="92">
        <v>0</v>
      </c>
      <c r="LHM23" s="92">
        <v>0</v>
      </c>
      <c r="LHN23" s="92">
        <v>0</v>
      </c>
      <c r="LHO23" s="92">
        <v>0</v>
      </c>
      <c r="LHP23" s="92">
        <v>0</v>
      </c>
      <c r="LHQ23" s="92">
        <v>0</v>
      </c>
      <c r="LHR23" s="92">
        <v>0</v>
      </c>
      <c r="LHS23" s="92">
        <v>0</v>
      </c>
      <c r="LHT23" s="92">
        <v>0</v>
      </c>
      <c r="LHU23" s="92">
        <v>0</v>
      </c>
      <c r="LHV23" s="92">
        <v>0</v>
      </c>
      <c r="LHW23" s="92">
        <v>0</v>
      </c>
      <c r="LHX23" s="92">
        <v>0</v>
      </c>
      <c r="LHY23" s="92">
        <v>0</v>
      </c>
      <c r="LHZ23" s="92">
        <v>0</v>
      </c>
      <c r="LIA23" s="92">
        <v>0</v>
      </c>
      <c r="LIB23" s="92">
        <v>0</v>
      </c>
      <c r="LIC23" s="92">
        <v>0</v>
      </c>
      <c r="LID23" s="92">
        <v>0</v>
      </c>
      <c r="LIE23" s="92">
        <v>0</v>
      </c>
      <c r="LIF23" s="92">
        <v>0</v>
      </c>
      <c r="LIG23" s="92">
        <v>0</v>
      </c>
      <c r="LIH23" s="92">
        <v>0</v>
      </c>
      <c r="LII23" s="92">
        <v>0</v>
      </c>
      <c r="LIJ23" s="92">
        <v>0</v>
      </c>
      <c r="LIK23" s="92">
        <v>0</v>
      </c>
      <c r="LIL23" s="92">
        <v>0</v>
      </c>
      <c r="LIM23" s="92">
        <v>0</v>
      </c>
      <c r="LIN23" s="92">
        <v>0</v>
      </c>
      <c r="LIO23" s="92">
        <v>0</v>
      </c>
      <c r="LIP23" s="92">
        <v>0</v>
      </c>
      <c r="LIQ23" s="92">
        <v>0</v>
      </c>
      <c r="LIR23" s="92">
        <v>0</v>
      </c>
      <c r="LIS23" s="92">
        <v>0</v>
      </c>
      <c r="LIT23" s="92">
        <v>0</v>
      </c>
      <c r="LIU23" s="92">
        <v>0</v>
      </c>
      <c r="LIV23" s="92">
        <v>0</v>
      </c>
      <c r="LIW23" s="92">
        <v>0</v>
      </c>
      <c r="LIX23" s="92">
        <v>0</v>
      </c>
      <c r="LIY23" s="92">
        <v>0</v>
      </c>
      <c r="LIZ23" s="92">
        <v>0</v>
      </c>
      <c r="LJA23" s="92">
        <v>0</v>
      </c>
      <c r="LJB23" s="92">
        <v>0</v>
      </c>
      <c r="LJC23" s="92">
        <v>0</v>
      </c>
      <c r="LJD23" s="92">
        <v>0</v>
      </c>
      <c r="LJE23" s="92">
        <v>0</v>
      </c>
      <c r="LJF23" s="92">
        <v>0</v>
      </c>
      <c r="LJG23" s="92">
        <v>0</v>
      </c>
      <c r="LJH23" s="92">
        <v>0</v>
      </c>
      <c r="LJI23" s="92">
        <v>0</v>
      </c>
      <c r="LJJ23" s="92">
        <v>0</v>
      </c>
      <c r="LJK23" s="92">
        <v>0</v>
      </c>
      <c r="LJL23" s="92">
        <v>0</v>
      </c>
      <c r="LJM23" s="92">
        <v>0</v>
      </c>
      <c r="LJN23" s="92">
        <v>0</v>
      </c>
      <c r="LJO23" s="92">
        <v>0</v>
      </c>
      <c r="LJP23" s="92">
        <v>0</v>
      </c>
      <c r="LJQ23" s="92">
        <v>0</v>
      </c>
      <c r="LJR23" s="92">
        <v>0</v>
      </c>
      <c r="LJS23" s="92">
        <v>0</v>
      </c>
      <c r="LJT23" s="92">
        <v>0</v>
      </c>
      <c r="LJU23" s="92">
        <v>0</v>
      </c>
      <c r="LJV23" s="92">
        <v>0</v>
      </c>
      <c r="LJW23" s="92">
        <v>0</v>
      </c>
      <c r="LJX23" s="92">
        <v>0</v>
      </c>
      <c r="LJY23" s="92">
        <v>0</v>
      </c>
      <c r="LJZ23" s="92">
        <v>0</v>
      </c>
      <c r="LKA23" s="92">
        <v>0</v>
      </c>
      <c r="LKB23" s="92">
        <v>0</v>
      </c>
      <c r="LKC23" s="92">
        <v>0</v>
      </c>
      <c r="LKD23" s="92">
        <v>0</v>
      </c>
      <c r="LKE23" s="92">
        <v>0</v>
      </c>
      <c r="LKF23" s="92">
        <v>0</v>
      </c>
      <c r="LKG23" s="92">
        <v>0</v>
      </c>
      <c r="LKH23" s="92">
        <v>0</v>
      </c>
      <c r="LKI23" s="92">
        <v>0</v>
      </c>
      <c r="LKJ23" s="92">
        <v>0</v>
      </c>
      <c r="LKK23" s="92">
        <v>0</v>
      </c>
      <c r="LKL23" s="92">
        <v>0</v>
      </c>
      <c r="LKM23" s="92">
        <v>0</v>
      </c>
      <c r="LKN23" s="92">
        <v>0</v>
      </c>
      <c r="LKO23" s="92">
        <v>0</v>
      </c>
      <c r="LKP23" s="92">
        <v>0</v>
      </c>
      <c r="LKQ23" s="92">
        <v>0</v>
      </c>
      <c r="LKR23" s="92">
        <v>0</v>
      </c>
      <c r="LKS23" s="92">
        <v>0</v>
      </c>
      <c r="LKT23" s="92">
        <v>0</v>
      </c>
      <c r="LKU23" s="92">
        <v>0</v>
      </c>
      <c r="LKV23" s="92">
        <v>0</v>
      </c>
      <c r="LKW23" s="92">
        <v>0</v>
      </c>
      <c r="LKX23" s="92">
        <v>0</v>
      </c>
      <c r="LKY23" s="92">
        <v>0</v>
      </c>
      <c r="LKZ23" s="92">
        <v>0</v>
      </c>
      <c r="LLA23" s="92">
        <v>0</v>
      </c>
      <c r="LLB23" s="92">
        <v>0</v>
      </c>
      <c r="LLC23" s="92">
        <v>0</v>
      </c>
      <c r="LLD23" s="92">
        <v>0</v>
      </c>
      <c r="LLE23" s="92">
        <v>0</v>
      </c>
      <c r="LLF23" s="92">
        <v>0</v>
      </c>
      <c r="LLG23" s="92">
        <v>0</v>
      </c>
      <c r="LLH23" s="92">
        <v>0</v>
      </c>
      <c r="LLI23" s="92">
        <v>0</v>
      </c>
      <c r="LLJ23" s="92">
        <v>0</v>
      </c>
      <c r="LLK23" s="92">
        <v>0</v>
      </c>
      <c r="LLL23" s="92">
        <v>0</v>
      </c>
      <c r="LLM23" s="92">
        <v>0</v>
      </c>
      <c r="LLN23" s="92">
        <v>0</v>
      </c>
      <c r="LLO23" s="92">
        <v>0</v>
      </c>
      <c r="LLP23" s="92">
        <v>0</v>
      </c>
      <c r="LLQ23" s="92">
        <v>0</v>
      </c>
      <c r="LLR23" s="92">
        <v>0</v>
      </c>
      <c r="LLS23" s="92">
        <v>0</v>
      </c>
      <c r="LLT23" s="92">
        <v>0</v>
      </c>
      <c r="LLU23" s="92">
        <v>0</v>
      </c>
      <c r="LLV23" s="92">
        <v>0</v>
      </c>
      <c r="LLW23" s="92">
        <v>0</v>
      </c>
      <c r="LLX23" s="92">
        <v>0</v>
      </c>
      <c r="LLY23" s="92">
        <v>0</v>
      </c>
      <c r="LLZ23" s="92">
        <v>0</v>
      </c>
      <c r="LMA23" s="92">
        <v>0</v>
      </c>
      <c r="LMB23" s="92">
        <v>0</v>
      </c>
      <c r="LMC23" s="92">
        <v>0</v>
      </c>
      <c r="LMD23" s="92">
        <v>0</v>
      </c>
      <c r="LME23" s="92">
        <v>0</v>
      </c>
      <c r="LMF23" s="92">
        <v>0</v>
      </c>
      <c r="LMG23" s="92">
        <v>0</v>
      </c>
      <c r="LMH23" s="92">
        <v>0</v>
      </c>
      <c r="LMI23" s="92">
        <v>0</v>
      </c>
      <c r="LMJ23" s="92">
        <v>0</v>
      </c>
      <c r="LMK23" s="92">
        <v>0</v>
      </c>
      <c r="LML23" s="92">
        <v>0</v>
      </c>
      <c r="LMM23" s="92">
        <v>0</v>
      </c>
      <c r="LMN23" s="92">
        <v>0</v>
      </c>
      <c r="LMO23" s="92">
        <v>0</v>
      </c>
      <c r="LMP23" s="92">
        <v>0</v>
      </c>
      <c r="LMQ23" s="92">
        <v>0</v>
      </c>
      <c r="LMR23" s="92">
        <v>0</v>
      </c>
      <c r="LMS23" s="92">
        <v>0</v>
      </c>
      <c r="LMT23" s="92">
        <v>0</v>
      </c>
      <c r="LMU23" s="92">
        <v>0</v>
      </c>
      <c r="LMV23" s="92">
        <v>0</v>
      </c>
      <c r="LMW23" s="92">
        <v>0</v>
      </c>
      <c r="LMX23" s="92">
        <v>0</v>
      </c>
      <c r="LMY23" s="92">
        <v>0</v>
      </c>
      <c r="LMZ23" s="92">
        <v>0</v>
      </c>
      <c r="LNA23" s="92">
        <v>0</v>
      </c>
      <c r="LNB23" s="92">
        <v>0</v>
      </c>
      <c r="LNC23" s="92">
        <v>0</v>
      </c>
      <c r="LND23" s="92">
        <v>0</v>
      </c>
      <c r="LNE23" s="92">
        <v>0</v>
      </c>
      <c r="LNF23" s="92">
        <v>0</v>
      </c>
      <c r="LNG23" s="92">
        <v>0</v>
      </c>
      <c r="LNH23" s="92">
        <v>0</v>
      </c>
      <c r="LNI23" s="92">
        <v>0</v>
      </c>
      <c r="LNJ23" s="92">
        <v>0</v>
      </c>
      <c r="LNK23" s="92">
        <v>0</v>
      </c>
      <c r="LNL23" s="92">
        <v>0</v>
      </c>
      <c r="LNM23" s="92">
        <v>0</v>
      </c>
      <c r="LNN23" s="92">
        <v>0</v>
      </c>
      <c r="LNO23" s="92">
        <v>0</v>
      </c>
      <c r="LNP23" s="92">
        <v>0</v>
      </c>
      <c r="LNQ23" s="92">
        <v>0</v>
      </c>
      <c r="LNR23" s="92">
        <v>0</v>
      </c>
      <c r="LNS23" s="92">
        <v>0</v>
      </c>
      <c r="LNT23" s="92">
        <v>0</v>
      </c>
      <c r="LNU23" s="92">
        <v>0</v>
      </c>
      <c r="LNV23" s="92">
        <v>0</v>
      </c>
      <c r="LNW23" s="92">
        <v>0</v>
      </c>
      <c r="LNX23" s="92">
        <v>0</v>
      </c>
      <c r="LNY23" s="92">
        <v>0</v>
      </c>
      <c r="LNZ23" s="92">
        <v>0</v>
      </c>
      <c r="LOA23" s="92">
        <v>0</v>
      </c>
      <c r="LOB23" s="92">
        <v>0</v>
      </c>
      <c r="LOC23" s="92">
        <v>0</v>
      </c>
      <c r="LOD23" s="92">
        <v>0</v>
      </c>
      <c r="LOE23" s="92">
        <v>0</v>
      </c>
      <c r="LOF23" s="92">
        <v>0</v>
      </c>
      <c r="LOG23" s="92">
        <v>0</v>
      </c>
      <c r="LOH23" s="92">
        <v>0</v>
      </c>
      <c r="LOI23" s="92">
        <v>0</v>
      </c>
      <c r="LOJ23" s="92">
        <v>0</v>
      </c>
      <c r="LOK23" s="92">
        <v>0</v>
      </c>
      <c r="LOL23" s="92">
        <v>0</v>
      </c>
      <c r="LOM23" s="92">
        <v>0</v>
      </c>
      <c r="LON23" s="92">
        <v>0</v>
      </c>
      <c r="LOO23" s="92">
        <v>0</v>
      </c>
      <c r="LOP23" s="92">
        <v>0</v>
      </c>
      <c r="LOQ23" s="92">
        <v>0</v>
      </c>
      <c r="LOR23" s="92">
        <v>0</v>
      </c>
      <c r="LOS23" s="92">
        <v>0</v>
      </c>
      <c r="LOT23" s="92">
        <v>0</v>
      </c>
      <c r="LOU23" s="92">
        <v>0</v>
      </c>
      <c r="LOV23" s="92">
        <v>0</v>
      </c>
      <c r="LOW23" s="92">
        <v>0</v>
      </c>
      <c r="LOX23" s="92">
        <v>0</v>
      </c>
      <c r="LOY23" s="92">
        <v>0</v>
      </c>
      <c r="LOZ23" s="92">
        <v>0</v>
      </c>
      <c r="LPA23" s="92">
        <v>0</v>
      </c>
      <c r="LPB23" s="92">
        <v>0</v>
      </c>
      <c r="LPC23" s="92">
        <v>0</v>
      </c>
      <c r="LPD23" s="92">
        <v>0</v>
      </c>
      <c r="LPE23" s="92">
        <v>0</v>
      </c>
      <c r="LPF23" s="92">
        <v>0</v>
      </c>
      <c r="LPG23" s="92">
        <v>0</v>
      </c>
      <c r="LPH23" s="92">
        <v>0</v>
      </c>
      <c r="LPI23" s="92">
        <v>0</v>
      </c>
      <c r="LPJ23" s="92">
        <v>0</v>
      </c>
      <c r="LPK23" s="92">
        <v>0</v>
      </c>
      <c r="LPL23" s="92">
        <v>0</v>
      </c>
      <c r="LPM23" s="92">
        <v>0</v>
      </c>
      <c r="LPN23" s="92">
        <v>0</v>
      </c>
      <c r="LPO23" s="92">
        <v>0</v>
      </c>
      <c r="LPP23" s="92">
        <v>0</v>
      </c>
      <c r="LPQ23" s="92">
        <v>0</v>
      </c>
      <c r="LPR23" s="92">
        <v>0</v>
      </c>
      <c r="LPS23" s="92">
        <v>0</v>
      </c>
      <c r="LPT23" s="92">
        <v>0</v>
      </c>
      <c r="LPU23" s="92">
        <v>0</v>
      </c>
      <c r="LPV23" s="92">
        <v>0</v>
      </c>
      <c r="LPW23" s="92">
        <v>0</v>
      </c>
      <c r="LPX23" s="92">
        <v>0</v>
      </c>
      <c r="LPY23" s="92">
        <v>0</v>
      </c>
      <c r="LPZ23" s="92">
        <v>0</v>
      </c>
      <c r="LQA23" s="92">
        <v>0</v>
      </c>
      <c r="LQB23" s="92">
        <v>0</v>
      </c>
      <c r="LQC23" s="92">
        <v>0</v>
      </c>
      <c r="LQD23" s="92">
        <v>0</v>
      </c>
      <c r="LQE23" s="92">
        <v>0</v>
      </c>
      <c r="LQF23" s="92">
        <v>0</v>
      </c>
      <c r="LQG23" s="92">
        <v>0</v>
      </c>
      <c r="LQH23" s="92">
        <v>0</v>
      </c>
      <c r="LQI23" s="92">
        <v>0</v>
      </c>
      <c r="LQJ23" s="92">
        <v>0</v>
      </c>
      <c r="LQK23" s="92">
        <v>0</v>
      </c>
      <c r="LQL23" s="92">
        <v>0</v>
      </c>
      <c r="LQM23" s="92">
        <v>0</v>
      </c>
      <c r="LQN23" s="92">
        <v>0</v>
      </c>
      <c r="LQO23" s="92">
        <v>0</v>
      </c>
      <c r="LQP23" s="92">
        <v>0</v>
      </c>
      <c r="LQQ23" s="92">
        <v>0</v>
      </c>
      <c r="LQR23" s="92">
        <v>0</v>
      </c>
      <c r="LQS23" s="92">
        <v>0</v>
      </c>
      <c r="LQT23" s="92">
        <v>0</v>
      </c>
      <c r="LQU23" s="92">
        <v>0</v>
      </c>
      <c r="LQV23" s="92">
        <v>0</v>
      </c>
      <c r="LQW23" s="92">
        <v>0</v>
      </c>
      <c r="LQX23" s="92">
        <v>0</v>
      </c>
      <c r="LQY23" s="92">
        <v>0</v>
      </c>
      <c r="LQZ23" s="92">
        <v>0</v>
      </c>
      <c r="LRA23" s="92">
        <v>0</v>
      </c>
      <c r="LRB23" s="92">
        <v>0</v>
      </c>
      <c r="LRC23" s="92">
        <v>0</v>
      </c>
      <c r="LRD23" s="92">
        <v>0</v>
      </c>
      <c r="LRE23" s="92">
        <v>0</v>
      </c>
      <c r="LRF23" s="92">
        <v>0</v>
      </c>
      <c r="LRG23" s="92">
        <v>0</v>
      </c>
      <c r="LRH23" s="92">
        <v>0</v>
      </c>
      <c r="LRI23" s="92">
        <v>0</v>
      </c>
      <c r="LRJ23" s="92">
        <v>0</v>
      </c>
      <c r="LRK23" s="92">
        <v>0</v>
      </c>
      <c r="LRL23" s="92">
        <v>0</v>
      </c>
      <c r="LRM23" s="92">
        <v>0</v>
      </c>
      <c r="LRN23" s="92">
        <v>0</v>
      </c>
      <c r="LRO23" s="92">
        <v>0</v>
      </c>
      <c r="LRP23" s="92">
        <v>0</v>
      </c>
      <c r="LRQ23" s="92">
        <v>0</v>
      </c>
      <c r="LRR23" s="92">
        <v>0</v>
      </c>
      <c r="LRS23" s="92">
        <v>0</v>
      </c>
      <c r="LRT23" s="92">
        <v>0</v>
      </c>
      <c r="LRU23" s="92">
        <v>0</v>
      </c>
      <c r="LRV23" s="92">
        <v>0</v>
      </c>
      <c r="LRW23" s="92">
        <v>0</v>
      </c>
      <c r="LRX23" s="92">
        <v>0</v>
      </c>
      <c r="LRY23" s="92">
        <v>0</v>
      </c>
      <c r="LRZ23" s="92">
        <v>0</v>
      </c>
      <c r="LSA23" s="92">
        <v>0</v>
      </c>
      <c r="LSB23" s="92">
        <v>0</v>
      </c>
      <c r="LSC23" s="92">
        <v>0</v>
      </c>
      <c r="LSD23" s="92">
        <v>0</v>
      </c>
      <c r="LSE23" s="92">
        <v>0</v>
      </c>
      <c r="LSF23" s="92">
        <v>0</v>
      </c>
      <c r="LSG23" s="92">
        <v>0</v>
      </c>
      <c r="LSH23" s="92">
        <v>0</v>
      </c>
      <c r="LSI23" s="92">
        <v>0</v>
      </c>
      <c r="LSJ23" s="92">
        <v>0</v>
      </c>
      <c r="LSK23" s="92">
        <v>0</v>
      </c>
      <c r="LSL23" s="92">
        <v>0</v>
      </c>
      <c r="LSM23" s="92">
        <v>0</v>
      </c>
      <c r="LSN23" s="92">
        <v>0</v>
      </c>
      <c r="LSO23" s="92">
        <v>0</v>
      </c>
      <c r="LSP23" s="92">
        <v>0</v>
      </c>
      <c r="LSQ23" s="92">
        <v>0</v>
      </c>
      <c r="LSR23" s="92">
        <v>0</v>
      </c>
      <c r="LSS23" s="92">
        <v>0</v>
      </c>
      <c r="LST23" s="92">
        <v>0</v>
      </c>
      <c r="LSU23" s="92">
        <v>0</v>
      </c>
      <c r="LSV23" s="92">
        <v>0</v>
      </c>
      <c r="LSW23" s="92">
        <v>0</v>
      </c>
      <c r="LSX23" s="92">
        <v>0</v>
      </c>
      <c r="LSY23" s="92">
        <v>0</v>
      </c>
      <c r="LSZ23" s="92">
        <v>0</v>
      </c>
      <c r="LTA23" s="92">
        <v>0</v>
      </c>
      <c r="LTB23" s="92">
        <v>0</v>
      </c>
      <c r="LTC23" s="92">
        <v>0</v>
      </c>
      <c r="LTD23" s="92">
        <v>0</v>
      </c>
      <c r="LTE23" s="92">
        <v>0</v>
      </c>
      <c r="LTF23" s="92">
        <v>0</v>
      </c>
      <c r="LTG23" s="92">
        <v>0</v>
      </c>
      <c r="LTH23" s="92">
        <v>0</v>
      </c>
      <c r="LTI23" s="92">
        <v>0</v>
      </c>
      <c r="LTJ23" s="92">
        <v>0</v>
      </c>
      <c r="LTK23" s="92">
        <v>0</v>
      </c>
      <c r="LTL23" s="92">
        <v>0</v>
      </c>
      <c r="LTM23" s="92">
        <v>0</v>
      </c>
      <c r="LTN23" s="92">
        <v>0</v>
      </c>
      <c r="LTO23" s="92">
        <v>0</v>
      </c>
      <c r="LTP23" s="92">
        <v>0</v>
      </c>
      <c r="LTQ23" s="92">
        <v>0</v>
      </c>
      <c r="LTR23" s="92">
        <v>0</v>
      </c>
      <c r="LTS23" s="92">
        <v>0</v>
      </c>
      <c r="LTT23" s="92">
        <v>0</v>
      </c>
      <c r="LTU23" s="92">
        <v>0</v>
      </c>
      <c r="LTV23" s="92">
        <v>0</v>
      </c>
      <c r="LTW23" s="92">
        <v>0</v>
      </c>
      <c r="LTX23" s="92">
        <v>0</v>
      </c>
      <c r="LTY23" s="92">
        <v>0</v>
      </c>
      <c r="LTZ23" s="92">
        <v>0</v>
      </c>
      <c r="LUA23" s="92">
        <v>0</v>
      </c>
      <c r="LUB23" s="92">
        <v>0</v>
      </c>
      <c r="LUC23" s="92">
        <v>0</v>
      </c>
      <c r="LUD23" s="92">
        <v>0</v>
      </c>
      <c r="LUE23" s="92">
        <v>0</v>
      </c>
      <c r="LUF23" s="92">
        <v>0</v>
      </c>
      <c r="LUG23" s="92">
        <v>0</v>
      </c>
      <c r="LUH23" s="92">
        <v>0</v>
      </c>
      <c r="LUI23" s="92">
        <v>0</v>
      </c>
      <c r="LUJ23" s="92">
        <v>0</v>
      </c>
      <c r="LUK23" s="92">
        <v>0</v>
      </c>
      <c r="LUL23" s="92">
        <v>0</v>
      </c>
      <c r="LUM23" s="92">
        <v>0</v>
      </c>
      <c r="LUN23" s="92">
        <v>0</v>
      </c>
      <c r="LUO23" s="92">
        <v>0</v>
      </c>
      <c r="LUP23" s="92">
        <v>0</v>
      </c>
      <c r="LUQ23" s="92">
        <v>0</v>
      </c>
      <c r="LUR23" s="92">
        <v>0</v>
      </c>
      <c r="LUS23" s="92">
        <v>0</v>
      </c>
      <c r="LUT23" s="92">
        <v>0</v>
      </c>
      <c r="LUU23" s="92">
        <v>0</v>
      </c>
      <c r="LUV23" s="92">
        <v>0</v>
      </c>
      <c r="LUW23" s="92">
        <v>0</v>
      </c>
      <c r="LUX23" s="92">
        <v>0</v>
      </c>
      <c r="LUY23" s="92">
        <v>0</v>
      </c>
      <c r="LUZ23" s="92">
        <v>0</v>
      </c>
      <c r="LVA23" s="92">
        <v>0</v>
      </c>
      <c r="LVB23" s="92">
        <v>0</v>
      </c>
      <c r="LVC23" s="92">
        <v>0</v>
      </c>
      <c r="LVD23" s="92">
        <v>0</v>
      </c>
      <c r="LVE23" s="92">
        <v>0</v>
      </c>
      <c r="LVF23" s="92">
        <v>0</v>
      </c>
      <c r="LVG23" s="92">
        <v>0</v>
      </c>
      <c r="LVH23" s="92">
        <v>0</v>
      </c>
      <c r="LVI23" s="92">
        <v>0</v>
      </c>
      <c r="LVJ23" s="92">
        <v>0</v>
      </c>
      <c r="LVK23" s="92">
        <v>0</v>
      </c>
      <c r="LVL23" s="92">
        <v>0</v>
      </c>
      <c r="LVM23" s="92">
        <v>0</v>
      </c>
      <c r="LVN23" s="92">
        <v>0</v>
      </c>
      <c r="LVO23" s="92">
        <v>0</v>
      </c>
      <c r="LVP23" s="92">
        <v>0</v>
      </c>
      <c r="LVQ23" s="92">
        <v>0</v>
      </c>
      <c r="LVR23" s="92">
        <v>0</v>
      </c>
      <c r="LVS23" s="92">
        <v>0</v>
      </c>
      <c r="LVT23" s="92">
        <v>0</v>
      </c>
      <c r="LVU23" s="92">
        <v>0</v>
      </c>
      <c r="LVV23" s="92">
        <v>0</v>
      </c>
      <c r="LVW23" s="92">
        <v>0</v>
      </c>
      <c r="LVX23" s="92">
        <v>0</v>
      </c>
      <c r="LVY23" s="92">
        <v>0</v>
      </c>
      <c r="LVZ23" s="92">
        <v>0</v>
      </c>
      <c r="LWA23" s="92">
        <v>0</v>
      </c>
      <c r="LWB23" s="92">
        <v>0</v>
      </c>
      <c r="LWC23" s="92">
        <v>0</v>
      </c>
      <c r="LWD23" s="92">
        <v>0</v>
      </c>
      <c r="LWE23" s="92">
        <v>0</v>
      </c>
      <c r="LWF23" s="92">
        <v>0</v>
      </c>
      <c r="LWG23" s="92">
        <v>0</v>
      </c>
      <c r="LWH23" s="92">
        <v>0</v>
      </c>
      <c r="LWI23" s="92">
        <v>0</v>
      </c>
      <c r="LWJ23" s="92">
        <v>0</v>
      </c>
      <c r="LWK23" s="92">
        <v>0</v>
      </c>
      <c r="LWL23" s="92">
        <v>0</v>
      </c>
      <c r="LWM23" s="92">
        <v>0</v>
      </c>
      <c r="LWN23" s="92">
        <v>0</v>
      </c>
      <c r="LWO23" s="92">
        <v>0</v>
      </c>
      <c r="LWP23" s="92">
        <v>0</v>
      </c>
      <c r="LWQ23" s="92">
        <v>0</v>
      </c>
      <c r="LWR23" s="92">
        <v>0</v>
      </c>
      <c r="LWS23" s="92">
        <v>0</v>
      </c>
      <c r="LWT23" s="92">
        <v>0</v>
      </c>
      <c r="LWU23" s="92">
        <v>0</v>
      </c>
      <c r="LWV23" s="92">
        <v>0</v>
      </c>
      <c r="LWW23" s="92">
        <v>0</v>
      </c>
      <c r="LWX23" s="92">
        <v>0</v>
      </c>
      <c r="LWY23" s="92">
        <v>0</v>
      </c>
      <c r="LWZ23" s="92">
        <v>0</v>
      </c>
      <c r="LXA23" s="92">
        <v>0</v>
      </c>
      <c r="LXB23" s="92">
        <v>0</v>
      </c>
      <c r="LXC23" s="92">
        <v>0</v>
      </c>
      <c r="LXD23" s="92">
        <v>0</v>
      </c>
      <c r="LXE23" s="92">
        <v>0</v>
      </c>
      <c r="LXF23" s="92">
        <v>0</v>
      </c>
      <c r="LXG23" s="92">
        <v>0</v>
      </c>
      <c r="LXH23" s="92">
        <v>0</v>
      </c>
      <c r="LXI23" s="92">
        <v>0</v>
      </c>
      <c r="LXJ23" s="92">
        <v>0</v>
      </c>
      <c r="LXK23" s="92">
        <v>0</v>
      </c>
      <c r="LXL23" s="92">
        <v>0</v>
      </c>
      <c r="LXM23" s="92">
        <v>0</v>
      </c>
      <c r="LXN23" s="92">
        <v>0</v>
      </c>
      <c r="LXO23" s="92">
        <v>0</v>
      </c>
      <c r="LXP23" s="92">
        <v>0</v>
      </c>
      <c r="LXQ23" s="92">
        <v>0</v>
      </c>
      <c r="LXR23" s="92">
        <v>0</v>
      </c>
      <c r="LXS23" s="92">
        <v>0</v>
      </c>
      <c r="LXT23" s="92">
        <v>0</v>
      </c>
      <c r="LXU23" s="92">
        <v>0</v>
      </c>
      <c r="LXV23" s="92">
        <v>0</v>
      </c>
      <c r="LXW23" s="92">
        <v>0</v>
      </c>
      <c r="LXX23" s="92">
        <v>0</v>
      </c>
      <c r="LXY23" s="92">
        <v>0</v>
      </c>
      <c r="LXZ23" s="92">
        <v>0</v>
      </c>
      <c r="LYA23" s="92">
        <v>0</v>
      </c>
      <c r="LYB23" s="92">
        <v>0</v>
      </c>
      <c r="LYC23" s="92">
        <v>0</v>
      </c>
      <c r="LYD23" s="92">
        <v>0</v>
      </c>
      <c r="LYE23" s="92">
        <v>0</v>
      </c>
      <c r="LYF23" s="92">
        <v>0</v>
      </c>
      <c r="LYG23" s="92">
        <v>0</v>
      </c>
      <c r="LYH23" s="92">
        <v>0</v>
      </c>
      <c r="LYI23" s="92">
        <v>0</v>
      </c>
      <c r="LYJ23" s="92">
        <v>0</v>
      </c>
      <c r="LYK23" s="92">
        <v>0</v>
      </c>
      <c r="LYL23" s="92">
        <v>0</v>
      </c>
      <c r="LYM23" s="92">
        <v>0</v>
      </c>
      <c r="LYN23" s="92">
        <v>0</v>
      </c>
      <c r="LYO23" s="92">
        <v>0</v>
      </c>
      <c r="LYP23" s="92">
        <v>0</v>
      </c>
      <c r="LYQ23" s="92">
        <v>0</v>
      </c>
      <c r="LYR23" s="92">
        <v>0</v>
      </c>
      <c r="LYS23" s="92">
        <v>0</v>
      </c>
      <c r="LYT23" s="92">
        <v>0</v>
      </c>
      <c r="LYU23" s="92">
        <v>0</v>
      </c>
      <c r="LYV23" s="92">
        <v>0</v>
      </c>
      <c r="LYW23" s="92">
        <v>0</v>
      </c>
      <c r="LYX23" s="92">
        <v>0</v>
      </c>
      <c r="LYY23" s="92">
        <v>0</v>
      </c>
      <c r="LYZ23" s="92">
        <v>0</v>
      </c>
      <c r="LZA23" s="92">
        <v>0</v>
      </c>
      <c r="LZB23" s="92">
        <v>0</v>
      </c>
      <c r="LZC23" s="92">
        <v>0</v>
      </c>
      <c r="LZD23" s="92">
        <v>0</v>
      </c>
      <c r="LZE23" s="92">
        <v>0</v>
      </c>
      <c r="LZF23" s="92">
        <v>0</v>
      </c>
      <c r="LZG23" s="92">
        <v>0</v>
      </c>
      <c r="LZH23" s="92">
        <v>0</v>
      </c>
      <c r="LZI23" s="92">
        <v>0</v>
      </c>
      <c r="LZJ23" s="92">
        <v>0</v>
      </c>
      <c r="LZK23" s="92">
        <v>0</v>
      </c>
      <c r="LZL23" s="92">
        <v>0</v>
      </c>
      <c r="LZM23" s="92">
        <v>0</v>
      </c>
      <c r="LZN23" s="92">
        <v>0</v>
      </c>
      <c r="LZO23" s="92">
        <v>0</v>
      </c>
      <c r="LZP23" s="92">
        <v>0</v>
      </c>
      <c r="LZQ23" s="92">
        <v>0</v>
      </c>
      <c r="LZR23" s="92">
        <v>0</v>
      </c>
      <c r="LZS23" s="92">
        <v>0</v>
      </c>
      <c r="LZT23" s="92">
        <v>0</v>
      </c>
      <c r="LZU23" s="92">
        <v>0</v>
      </c>
      <c r="LZV23" s="92">
        <v>0</v>
      </c>
      <c r="LZW23" s="92">
        <v>0</v>
      </c>
      <c r="LZX23" s="92">
        <v>0</v>
      </c>
      <c r="LZY23" s="92">
        <v>0</v>
      </c>
      <c r="LZZ23" s="92">
        <v>0</v>
      </c>
      <c r="MAA23" s="92">
        <v>0</v>
      </c>
      <c r="MAB23" s="92">
        <v>0</v>
      </c>
      <c r="MAC23" s="92">
        <v>0</v>
      </c>
      <c r="MAD23" s="92">
        <v>0</v>
      </c>
      <c r="MAE23" s="92">
        <v>0</v>
      </c>
      <c r="MAF23" s="92">
        <v>0</v>
      </c>
      <c r="MAG23" s="92">
        <v>0</v>
      </c>
      <c r="MAH23" s="92">
        <v>0</v>
      </c>
      <c r="MAI23" s="92">
        <v>0</v>
      </c>
      <c r="MAJ23" s="92">
        <v>0</v>
      </c>
      <c r="MAK23" s="92">
        <v>0</v>
      </c>
      <c r="MAL23" s="92">
        <v>0</v>
      </c>
      <c r="MAM23" s="92">
        <v>0</v>
      </c>
      <c r="MAN23" s="92">
        <v>0</v>
      </c>
      <c r="MAO23" s="92">
        <v>0</v>
      </c>
      <c r="MAP23" s="92">
        <v>0</v>
      </c>
      <c r="MAQ23" s="92">
        <v>0</v>
      </c>
      <c r="MAR23" s="92">
        <v>0</v>
      </c>
      <c r="MAS23" s="92">
        <v>0</v>
      </c>
      <c r="MAT23" s="92">
        <v>0</v>
      </c>
      <c r="MAU23" s="92">
        <v>0</v>
      </c>
      <c r="MAV23" s="92">
        <v>0</v>
      </c>
      <c r="MAW23" s="92">
        <v>0</v>
      </c>
      <c r="MAX23" s="92">
        <v>0</v>
      </c>
      <c r="MAY23" s="92">
        <v>0</v>
      </c>
      <c r="MAZ23" s="92">
        <v>0</v>
      </c>
      <c r="MBA23" s="92">
        <v>0</v>
      </c>
      <c r="MBB23" s="92">
        <v>0</v>
      </c>
      <c r="MBC23" s="92">
        <v>0</v>
      </c>
      <c r="MBD23" s="92">
        <v>0</v>
      </c>
      <c r="MBE23" s="92">
        <v>0</v>
      </c>
      <c r="MBF23" s="92">
        <v>0</v>
      </c>
      <c r="MBG23" s="92">
        <v>0</v>
      </c>
      <c r="MBH23" s="92">
        <v>0</v>
      </c>
      <c r="MBI23" s="92">
        <v>0</v>
      </c>
      <c r="MBJ23" s="92">
        <v>0</v>
      </c>
      <c r="MBK23" s="92">
        <v>0</v>
      </c>
      <c r="MBL23" s="92">
        <v>0</v>
      </c>
      <c r="MBM23" s="92">
        <v>0</v>
      </c>
      <c r="MBN23" s="92">
        <v>0</v>
      </c>
      <c r="MBO23" s="92">
        <v>0</v>
      </c>
      <c r="MBP23" s="92">
        <v>0</v>
      </c>
      <c r="MBQ23" s="92">
        <v>0</v>
      </c>
      <c r="MBR23" s="92">
        <v>0</v>
      </c>
      <c r="MBS23" s="92">
        <v>0</v>
      </c>
      <c r="MBT23" s="92">
        <v>0</v>
      </c>
      <c r="MBU23" s="92">
        <v>0</v>
      </c>
      <c r="MBV23" s="92">
        <v>0</v>
      </c>
      <c r="MBW23" s="92">
        <v>0</v>
      </c>
      <c r="MBX23" s="92">
        <v>0</v>
      </c>
      <c r="MBY23" s="92">
        <v>0</v>
      </c>
      <c r="MBZ23" s="92">
        <v>0</v>
      </c>
      <c r="MCA23" s="92">
        <v>0</v>
      </c>
      <c r="MCB23" s="92">
        <v>0</v>
      </c>
      <c r="MCC23" s="92">
        <v>0</v>
      </c>
      <c r="MCD23" s="92">
        <v>0</v>
      </c>
      <c r="MCE23" s="92">
        <v>0</v>
      </c>
      <c r="MCF23" s="92">
        <v>0</v>
      </c>
      <c r="MCG23" s="92">
        <v>0</v>
      </c>
      <c r="MCH23" s="92">
        <v>0</v>
      </c>
      <c r="MCI23" s="92">
        <v>0</v>
      </c>
      <c r="MCJ23" s="92">
        <v>0</v>
      </c>
      <c r="MCK23" s="92">
        <v>0</v>
      </c>
      <c r="MCL23" s="92">
        <v>0</v>
      </c>
      <c r="MCM23" s="92">
        <v>0</v>
      </c>
      <c r="MCN23" s="92">
        <v>0</v>
      </c>
      <c r="MCO23" s="92">
        <v>0</v>
      </c>
      <c r="MCP23" s="92">
        <v>0</v>
      </c>
      <c r="MCQ23" s="92">
        <v>0</v>
      </c>
      <c r="MCR23" s="92">
        <v>0</v>
      </c>
      <c r="MCS23" s="92">
        <v>0</v>
      </c>
      <c r="MCT23" s="92">
        <v>0</v>
      </c>
      <c r="MCU23" s="92">
        <v>0</v>
      </c>
      <c r="MCV23" s="92">
        <v>0</v>
      </c>
      <c r="MCW23" s="92">
        <v>0</v>
      </c>
      <c r="MCX23" s="92">
        <v>0</v>
      </c>
      <c r="MCY23" s="92">
        <v>0</v>
      </c>
      <c r="MCZ23" s="92">
        <v>0</v>
      </c>
      <c r="MDA23" s="92">
        <v>0</v>
      </c>
      <c r="MDB23" s="92">
        <v>0</v>
      </c>
      <c r="MDC23" s="92">
        <v>0</v>
      </c>
      <c r="MDD23" s="92">
        <v>0</v>
      </c>
      <c r="MDE23" s="92">
        <v>0</v>
      </c>
      <c r="MDF23" s="92">
        <v>0</v>
      </c>
      <c r="MDG23" s="92">
        <v>0</v>
      </c>
      <c r="MDH23" s="92">
        <v>0</v>
      </c>
      <c r="MDI23" s="92">
        <v>0</v>
      </c>
      <c r="MDJ23" s="92">
        <v>0</v>
      </c>
      <c r="MDK23" s="92">
        <v>0</v>
      </c>
      <c r="MDL23" s="92">
        <v>0</v>
      </c>
      <c r="MDM23" s="92">
        <v>0</v>
      </c>
      <c r="MDN23" s="92">
        <v>0</v>
      </c>
      <c r="MDO23" s="92">
        <v>0</v>
      </c>
      <c r="MDP23" s="92">
        <v>0</v>
      </c>
      <c r="MDQ23" s="92">
        <v>0</v>
      </c>
      <c r="MDR23" s="92">
        <v>0</v>
      </c>
      <c r="MDS23" s="92">
        <v>0</v>
      </c>
      <c r="MDT23" s="92">
        <v>0</v>
      </c>
      <c r="MDU23" s="92">
        <v>0</v>
      </c>
      <c r="MDV23" s="92">
        <v>0</v>
      </c>
      <c r="MDW23" s="92">
        <v>0</v>
      </c>
      <c r="MDX23" s="92">
        <v>0</v>
      </c>
      <c r="MDY23" s="92">
        <v>0</v>
      </c>
      <c r="MDZ23" s="92">
        <v>0</v>
      </c>
      <c r="MEA23" s="92">
        <v>0</v>
      </c>
      <c r="MEB23" s="92">
        <v>0</v>
      </c>
      <c r="MEC23" s="92">
        <v>0</v>
      </c>
      <c r="MED23" s="92">
        <v>0</v>
      </c>
      <c r="MEE23" s="92">
        <v>0</v>
      </c>
      <c r="MEF23" s="92">
        <v>0</v>
      </c>
      <c r="MEG23" s="92">
        <v>0</v>
      </c>
      <c r="MEH23" s="92">
        <v>0</v>
      </c>
      <c r="MEI23" s="92">
        <v>0</v>
      </c>
      <c r="MEJ23" s="92">
        <v>0</v>
      </c>
      <c r="MEK23" s="92">
        <v>0</v>
      </c>
      <c r="MEL23" s="92">
        <v>0</v>
      </c>
      <c r="MEM23" s="92">
        <v>0</v>
      </c>
      <c r="MEN23" s="92">
        <v>0</v>
      </c>
      <c r="MEO23" s="92">
        <v>0</v>
      </c>
      <c r="MEP23" s="92">
        <v>0</v>
      </c>
      <c r="MEQ23" s="92">
        <v>0</v>
      </c>
      <c r="MER23" s="92">
        <v>0</v>
      </c>
      <c r="MES23" s="92">
        <v>0</v>
      </c>
      <c r="MET23" s="92">
        <v>0</v>
      </c>
      <c r="MEU23" s="92">
        <v>0</v>
      </c>
      <c r="MEV23" s="92">
        <v>0</v>
      </c>
      <c r="MEW23" s="92">
        <v>0</v>
      </c>
      <c r="MEX23" s="92">
        <v>0</v>
      </c>
      <c r="MEY23" s="92">
        <v>0</v>
      </c>
      <c r="MEZ23" s="92">
        <v>0</v>
      </c>
      <c r="MFA23" s="92">
        <v>0</v>
      </c>
      <c r="MFB23" s="92">
        <v>0</v>
      </c>
      <c r="MFC23" s="92">
        <v>0</v>
      </c>
      <c r="MFD23" s="92">
        <v>0</v>
      </c>
      <c r="MFE23" s="92">
        <v>0</v>
      </c>
      <c r="MFF23" s="92">
        <v>0</v>
      </c>
      <c r="MFG23" s="92">
        <v>0</v>
      </c>
      <c r="MFH23" s="92">
        <v>0</v>
      </c>
      <c r="MFI23" s="92">
        <v>0</v>
      </c>
      <c r="MFJ23" s="92">
        <v>0</v>
      </c>
      <c r="MFK23" s="92">
        <v>0</v>
      </c>
      <c r="MFL23" s="92">
        <v>0</v>
      </c>
      <c r="MFM23" s="92">
        <v>0</v>
      </c>
      <c r="MFN23" s="92">
        <v>0</v>
      </c>
      <c r="MFO23" s="92">
        <v>0</v>
      </c>
      <c r="MFP23" s="92">
        <v>0</v>
      </c>
      <c r="MFQ23" s="92">
        <v>0</v>
      </c>
      <c r="MFR23" s="92">
        <v>0</v>
      </c>
      <c r="MFS23" s="92">
        <v>0</v>
      </c>
      <c r="MFT23" s="92">
        <v>0</v>
      </c>
      <c r="MFU23" s="92">
        <v>0</v>
      </c>
      <c r="MFV23" s="92">
        <v>0</v>
      </c>
      <c r="MFW23" s="92">
        <v>0</v>
      </c>
      <c r="MFX23" s="92">
        <v>0</v>
      </c>
      <c r="MFY23" s="92">
        <v>0</v>
      </c>
      <c r="MFZ23" s="92">
        <v>0</v>
      </c>
      <c r="MGA23" s="92">
        <v>0</v>
      </c>
      <c r="MGB23" s="92">
        <v>0</v>
      </c>
      <c r="MGC23" s="92">
        <v>0</v>
      </c>
      <c r="MGD23" s="92">
        <v>0</v>
      </c>
      <c r="MGE23" s="92">
        <v>0</v>
      </c>
      <c r="MGF23" s="92">
        <v>0</v>
      </c>
      <c r="MGG23" s="92">
        <v>0</v>
      </c>
      <c r="MGH23" s="92">
        <v>0</v>
      </c>
      <c r="MGI23" s="92">
        <v>0</v>
      </c>
      <c r="MGJ23" s="92">
        <v>0</v>
      </c>
      <c r="MGK23" s="92">
        <v>0</v>
      </c>
      <c r="MGL23" s="92">
        <v>0</v>
      </c>
      <c r="MGM23" s="92">
        <v>0</v>
      </c>
      <c r="MGN23" s="92">
        <v>0</v>
      </c>
      <c r="MGO23" s="92">
        <v>0</v>
      </c>
      <c r="MGP23" s="92">
        <v>0</v>
      </c>
      <c r="MGQ23" s="92">
        <v>0</v>
      </c>
      <c r="MGR23" s="92">
        <v>0</v>
      </c>
      <c r="MGS23" s="92">
        <v>0</v>
      </c>
      <c r="MGT23" s="92">
        <v>0</v>
      </c>
      <c r="MGU23" s="92">
        <v>0</v>
      </c>
      <c r="MGV23" s="92">
        <v>0</v>
      </c>
      <c r="MGW23" s="92">
        <v>0</v>
      </c>
      <c r="MGX23" s="92">
        <v>0</v>
      </c>
      <c r="MGY23" s="92">
        <v>0</v>
      </c>
      <c r="MGZ23" s="92">
        <v>0</v>
      </c>
      <c r="MHA23" s="92">
        <v>0</v>
      </c>
      <c r="MHB23" s="92">
        <v>0</v>
      </c>
      <c r="MHC23" s="92">
        <v>0</v>
      </c>
      <c r="MHD23" s="92">
        <v>0</v>
      </c>
      <c r="MHE23" s="92">
        <v>0</v>
      </c>
      <c r="MHF23" s="92">
        <v>0</v>
      </c>
      <c r="MHG23" s="92">
        <v>0</v>
      </c>
      <c r="MHH23" s="92">
        <v>0</v>
      </c>
      <c r="MHI23" s="92">
        <v>0</v>
      </c>
      <c r="MHJ23" s="92">
        <v>0</v>
      </c>
      <c r="MHK23" s="92">
        <v>0</v>
      </c>
      <c r="MHL23" s="92">
        <v>0</v>
      </c>
      <c r="MHM23" s="92">
        <v>0</v>
      </c>
      <c r="MHN23" s="92">
        <v>0</v>
      </c>
      <c r="MHO23" s="92">
        <v>0</v>
      </c>
      <c r="MHP23" s="92">
        <v>0</v>
      </c>
      <c r="MHQ23" s="92">
        <v>0</v>
      </c>
      <c r="MHR23" s="92">
        <v>0</v>
      </c>
      <c r="MHS23" s="92">
        <v>0</v>
      </c>
      <c r="MHT23" s="92">
        <v>0</v>
      </c>
      <c r="MHU23" s="92">
        <v>0</v>
      </c>
      <c r="MHV23" s="92">
        <v>0</v>
      </c>
      <c r="MHW23" s="92">
        <v>0</v>
      </c>
      <c r="MHX23" s="92">
        <v>0</v>
      </c>
      <c r="MHY23" s="92">
        <v>0</v>
      </c>
      <c r="MHZ23" s="92">
        <v>0</v>
      </c>
      <c r="MIA23" s="92">
        <v>0</v>
      </c>
      <c r="MIB23" s="92">
        <v>0</v>
      </c>
      <c r="MIC23" s="92">
        <v>0</v>
      </c>
      <c r="MID23" s="92">
        <v>0</v>
      </c>
      <c r="MIE23" s="92">
        <v>0</v>
      </c>
      <c r="MIF23" s="92">
        <v>0</v>
      </c>
      <c r="MIG23" s="92">
        <v>0</v>
      </c>
      <c r="MIH23" s="92">
        <v>0</v>
      </c>
      <c r="MII23" s="92">
        <v>0</v>
      </c>
      <c r="MIJ23" s="92">
        <v>0</v>
      </c>
      <c r="MIK23" s="92">
        <v>0</v>
      </c>
      <c r="MIL23" s="92">
        <v>0</v>
      </c>
      <c r="MIM23" s="92">
        <v>0</v>
      </c>
      <c r="MIN23" s="92">
        <v>0</v>
      </c>
      <c r="MIO23" s="92">
        <v>0</v>
      </c>
      <c r="MIP23" s="92">
        <v>0</v>
      </c>
      <c r="MIQ23" s="92">
        <v>0</v>
      </c>
      <c r="MIR23" s="92">
        <v>0</v>
      </c>
      <c r="MIS23" s="92">
        <v>0</v>
      </c>
      <c r="MIT23" s="92">
        <v>0</v>
      </c>
      <c r="MIU23" s="92">
        <v>0</v>
      </c>
      <c r="MIV23" s="92">
        <v>0</v>
      </c>
      <c r="MIW23" s="92">
        <v>0</v>
      </c>
      <c r="MIX23" s="92">
        <v>0</v>
      </c>
      <c r="MIY23" s="92">
        <v>0</v>
      </c>
      <c r="MIZ23" s="92">
        <v>0</v>
      </c>
      <c r="MJA23" s="92">
        <v>0</v>
      </c>
      <c r="MJB23" s="92">
        <v>0</v>
      </c>
      <c r="MJC23" s="92">
        <v>0</v>
      </c>
      <c r="MJD23" s="92">
        <v>0</v>
      </c>
      <c r="MJE23" s="92">
        <v>0</v>
      </c>
      <c r="MJF23" s="92">
        <v>0</v>
      </c>
      <c r="MJG23" s="92">
        <v>0</v>
      </c>
      <c r="MJH23" s="92">
        <v>0</v>
      </c>
      <c r="MJI23" s="92">
        <v>0</v>
      </c>
      <c r="MJJ23" s="92">
        <v>0</v>
      </c>
      <c r="MJK23" s="92">
        <v>0</v>
      </c>
      <c r="MJL23" s="92">
        <v>0</v>
      </c>
      <c r="MJM23" s="92">
        <v>0</v>
      </c>
      <c r="MJN23" s="92">
        <v>0</v>
      </c>
      <c r="MJO23" s="92">
        <v>0</v>
      </c>
      <c r="MJP23" s="92">
        <v>0</v>
      </c>
      <c r="MJQ23" s="92">
        <v>0</v>
      </c>
      <c r="MJR23" s="92">
        <v>0</v>
      </c>
      <c r="MJS23" s="92">
        <v>0</v>
      </c>
      <c r="MJT23" s="92">
        <v>0</v>
      </c>
      <c r="MJU23" s="92">
        <v>0</v>
      </c>
      <c r="MJV23" s="92">
        <v>0</v>
      </c>
      <c r="MJW23" s="92">
        <v>0</v>
      </c>
      <c r="MJX23" s="92">
        <v>0</v>
      </c>
      <c r="MJY23" s="92">
        <v>0</v>
      </c>
      <c r="MJZ23" s="92">
        <v>0</v>
      </c>
      <c r="MKA23" s="92">
        <v>0</v>
      </c>
      <c r="MKB23" s="92">
        <v>0</v>
      </c>
      <c r="MKC23" s="92">
        <v>0</v>
      </c>
      <c r="MKD23" s="92">
        <v>0</v>
      </c>
      <c r="MKE23" s="92">
        <v>0</v>
      </c>
      <c r="MKF23" s="92">
        <v>0</v>
      </c>
      <c r="MKG23" s="92">
        <v>0</v>
      </c>
      <c r="MKH23" s="92">
        <v>0</v>
      </c>
      <c r="MKI23" s="92">
        <v>0</v>
      </c>
      <c r="MKJ23" s="92">
        <v>0</v>
      </c>
      <c r="MKK23" s="92">
        <v>0</v>
      </c>
      <c r="MKL23" s="92">
        <v>0</v>
      </c>
      <c r="MKM23" s="92">
        <v>0</v>
      </c>
      <c r="MKN23" s="92">
        <v>0</v>
      </c>
      <c r="MKO23" s="92">
        <v>0</v>
      </c>
      <c r="MKP23" s="92">
        <v>0</v>
      </c>
      <c r="MKQ23" s="92">
        <v>0</v>
      </c>
      <c r="MKR23" s="92">
        <v>0</v>
      </c>
      <c r="MKS23" s="92">
        <v>0</v>
      </c>
      <c r="MKT23" s="92">
        <v>0</v>
      </c>
      <c r="MKU23" s="92">
        <v>0</v>
      </c>
      <c r="MKV23" s="92">
        <v>0</v>
      </c>
      <c r="MKW23" s="92">
        <v>0</v>
      </c>
      <c r="MKX23" s="92">
        <v>0</v>
      </c>
      <c r="MKY23" s="92">
        <v>0</v>
      </c>
      <c r="MKZ23" s="92">
        <v>0</v>
      </c>
      <c r="MLA23" s="92">
        <v>0</v>
      </c>
      <c r="MLB23" s="92">
        <v>0</v>
      </c>
      <c r="MLC23" s="92">
        <v>0</v>
      </c>
      <c r="MLD23" s="92">
        <v>0</v>
      </c>
      <c r="MLE23" s="92">
        <v>0</v>
      </c>
      <c r="MLF23" s="92">
        <v>0</v>
      </c>
      <c r="MLG23" s="92">
        <v>0</v>
      </c>
      <c r="MLH23" s="92">
        <v>0</v>
      </c>
      <c r="MLI23" s="92">
        <v>0</v>
      </c>
      <c r="MLJ23" s="92">
        <v>0</v>
      </c>
      <c r="MLK23" s="92">
        <v>0</v>
      </c>
      <c r="MLL23" s="92">
        <v>0</v>
      </c>
      <c r="MLM23" s="92">
        <v>0</v>
      </c>
      <c r="MLN23" s="92">
        <v>0</v>
      </c>
      <c r="MLO23" s="92">
        <v>0</v>
      </c>
      <c r="MLP23" s="92">
        <v>0</v>
      </c>
      <c r="MLQ23" s="92">
        <v>0</v>
      </c>
      <c r="MLR23" s="92">
        <v>0</v>
      </c>
      <c r="MLS23" s="92">
        <v>0</v>
      </c>
      <c r="MLT23" s="92">
        <v>0</v>
      </c>
      <c r="MLU23" s="92">
        <v>0</v>
      </c>
      <c r="MLV23" s="92">
        <v>0</v>
      </c>
      <c r="MLW23" s="92">
        <v>0</v>
      </c>
      <c r="MLX23" s="92">
        <v>0</v>
      </c>
      <c r="MLY23" s="92">
        <v>0</v>
      </c>
      <c r="MLZ23" s="92">
        <v>0</v>
      </c>
      <c r="MMA23" s="92">
        <v>0</v>
      </c>
      <c r="MMB23" s="92">
        <v>0</v>
      </c>
      <c r="MMC23" s="92">
        <v>0</v>
      </c>
      <c r="MMD23" s="92">
        <v>0</v>
      </c>
      <c r="MME23" s="92">
        <v>0</v>
      </c>
      <c r="MMF23" s="92">
        <v>0</v>
      </c>
      <c r="MMG23" s="92">
        <v>0</v>
      </c>
      <c r="MMH23" s="92">
        <v>0</v>
      </c>
      <c r="MMI23" s="92">
        <v>0</v>
      </c>
      <c r="MMJ23" s="92">
        <v>0</v>
      </c>
      <c r="MMK23" s="92">
        <v>0</v>
      </c>
      <c r="MML23" s="92">
        <v>0</v>
      </c>
      <c r="MMM23" s="92">
        <v>0</v>
      </c>
      <c r="MMN23" s="92">
        <v>0</v>
      </c>
      <c r="MMO23" s="92">
        <v>0</v>
      </c>
      <c r="MMP23" s="92">
        <v>0</v>
      </c>
      <c r="MMQ23" s="92">
        <v>0</v>
      </c>
      <c r="MMR23" s="92">
        <v>0</v>
      </c>
      <c r="MMS23" s="92">
        <v>0</v>
      </c>
      <c r="MMT23" s="92">
        <v>0</v>
      </c>
      <c r="MMU23" s="92">
        <v>0</v>
      </c>
      <c r="MMV23" s="92">
        <v>0</v>
      </c>
      <c r="MMW23" s="92">
        <v>0</v>
      </c>
      <c r="MMX23" s="92">
        <v>0</v>
      </c>
      <c r="MMY23" s="92">
        <v>0</v>
      </c>
      <c r="MMZ23" s="92">
        <v>0</v>
      </c>
      <c r="MNA23" s="92">
        <v>0</v>
      </c>
      <c r="MNB23" s="92">
        <v>0</v>
      </c>
      <c r="MNC23" s="92">
        <v>0</v>
      </c>
      <c r="MND23" s="92">
        <v>0</v>
      </c>
      <c r="MNE23" s="92">
        <v>0</v>
      </c>
      <c r="MNF23" s="92">
        <v>0</v>
      </c>
      <c r="MNG23" s="92">
        <v>0</v>
      </c>
      <c r="MNH23" s="92">
        <v>0</v>
      </c>
      <c r="MNI23" s="92">
        <v>0</v>
      </c>
      <c r="MNJ23" s="92">
        <v>0</v>
      </c>
      <c r="MNK23" s="92">
        <v>0</v>
      </c>
      <c r="MNL23" s="92">
        <v>0</v>
      </c>
      <c r="MNM23" s="92">
        <v>0</v>
      </c>
      <c r="MNN23" s="92">
        <v>0</v>
      </c>
      <c r="MNO23" s="92">
        <v>0</v>
      </c>
      <c r="MNP23" s="92">
        <v>0</v>
      </c>
      <c r="MNQ23" s="92">
        <v>0</v>
      </c>
      <c r="MNR23" s="92">
        <v>0</v>
      </c>
      <c r="MNS23" s="92">
        <v>0</v>
      </c>
      <c r="MNT23" s="92">
        <v>0</v>
      </c>
      <c r="MNU23" s="92">
        <v>0</v>
      </c>
      <c r="MNV23" s="92">
        <v>0</v>
      </c>
      <c r="MNW23" s="92">
        <v>0</v>
      </c>
      <c r="MNX23" s="92">
        <v>0</v>
      </c>
      <c r="MNY23" s="92">
        <v>0</v>
      </c>
      <c r="MNZ23" s="92">
        <v>0</v>
      </c>
      <c r="MOA23" s="92">
        <v>0</v>
      </c>
      <c r="MOB23" s="92">
        <v>0</v>
      </c>
      <c r="MOC23" s="92">
        <v>0</v>
      </c>
      <c r="MOD23" s="92">
        <v>0</v>
      </c>
      <c r="MOE23" s="92">
        <v>0</v>
      </c>
      <c r="MOF23" s="92">
        <v>0</v>
      </c>
      <c r="MOG23" s="92">
        <v>0</v>
      </c>
      <c r="MOH23" s="92">
        <v>0</v>
      </c>
      <c r="MOI23" s="92">
        <v>0</v>
      </c>
      <c r="MOJ23" s="92">
        <v>0</v>
      </c>
      <c r="MOK23" s="92">
        <v>0</v>
      </c>
      <c r="MOL23" s="92">
        <v>0</v>
      </c>
      <c r="MOM23" s="92">
        <v>0</v>
      </c>
      <c r="MON23" s="92">
        <v>0</v>
      </c>
      <c r="MOO23" s="92">
        <v>0</v>
      </c>
      <c r="MOP23" s="92">
        <v>0</v>
      </c>
      <c r="MOQ23" s="92">
        <v>0</v>
      </c>
      <c r="MOR23" s="92">
        <v>0</v>
      </c>
      <c r="MOS23" s="92">
        <v>0</v>
      </c>
      <c r="MOT23" s="92">
        <v>0</v>
      </c>
      <c r="MOU23" s="92">
        <v>0</v>
      </c>
      <c r="MOV23" s="92">
        <v>0</v>
      </c>
      <c r="MOW23" s="92">
        <v>0</v>
      </c>
      <c r="MOX23" s="92">
        <v>0</v>
      </c>
      <c r="MOY23" s="92">
        <v>0</v>
      </c>
      <c r="MOZ23" s="92">
        <v>0</v>
      </c>
      <c r="MPA23" s="92">
        <v>0</v>
      </c>
      <c r="MPB23" s="92">
        <v>0</v>
      </c>
      <c r="MPC23" s="92">
        <v>0</v>
      </c>
      <c r="MPD23" s="92">
        <v>0</v>
      </c>
      <c r="MPE23" s="92">
        <v>0</v>
      </c>
      <c r="MPF23" s="92">
        <v>0</v>
      </c>
      <c r="MPG23" s="92">
        <v>0</v>
      </c>
      <c r="MPH23" s="92">
        <v>0</v>
      </c>
      <c r="MPI23" s="92">
        <v>0</v>
      </c>
      <c r="MPJ23" s="92">
        <v>0</v>
      </c>
      <c r="MPK23" s="92">
        <v>0</v>
      </c>
      <c r="MPL23" s="92">
        <v>0</v>
      </c>
      <c r="MPM23" s="92">
        <v>0</v>
      </c>
      <c r="MPN23" s="92">
        <v>0</v>
      </c>
      <c r="MPO23" s="92">
        <v>0</v>
      </c>
      <c r="MPP23" s="92">
        <v>0</v>
      </c>
      <c r="MPQ23" s="92">
        <v>0</v>
      </c>
      <c r="MPR23" s="92">
        <v>0</v>
      </c>
      <c r="MPS23" s="92">
        <v>0</v>
      </c>
      <c r="MPT23" s="92">
        <v>0</v>
      </c>
      <c r="MPU23" s="92">
        <v>0</v>
      </c>
      <c r="MPV23" s="92">
        <v>0</v>
      </c>
      <c r="MPW23" s="92">
        <v>0</v>
      </c>
      <c r="MPX23" s="92">
        <v>0</v>
      </c>
      <c r="MPY23" s="92">
        <v>0</v>
      </c>
      <c r="MPZ23" s="92">
        <v>0</v>
      </c>
      <c r="MQA23" s="92">
        <v>0</v>
      </c>
      <c r="MQB23" s="92">
        <v>0</v>
      </c>
      <c r="MQC23" s="92">
        <v>0</v>
      </c>
      <c r="MQD23" s="92">
        <v>0</v>
      </c>
      <c r="MQE23" s="92">
        <v>0</v>
      </c>
      <c r="MQF23" s="92">
        <v>0</v>
      </c>
      <c r="MQG23" s="92">
        <v>0</v>
      </c>
      <c r="MQH23" s="92">
        <v>0</v>
      </c>
      <c r="MQI23" s="92">
        <v>0</v>
      </c>
      <c r="MQJ23" s="92">
        <v>0</v>
      </c>
      <c r="MQK23" s="92">
        <v>0</v>
      </c>
      <c r="MQL23" s="92">
        <v>0</v>
      </c>
      <c r="MQM23" s="92">
        <v>0</v>
      </c>
      <c r="MQN23" s="92">
        <v>0</v>
      </c>
      <c r="MQO23" s="92">
        <v>0</v>
      </c>
      <c r="MQP23" s="92">
        <v>0</v>
      </c>
      <c r="MQQ23" s="92">
        <v>0</v>
      </c>
      <c r="MQR23" s="92">
        <v>0</v>
      </c>
      <c r="MQS23" s="92">
        <v>0</v>
      </c>
      <c r="MQT23" s="92">
        <v>0</v>
      </c>
      <c r="MQU23" s="92">
        <v>0</v>
      </c>
      <c r="MQV23" s="92">
        <v>0</v>
      </c>
      <c r="MQW23" s="92">
        <v>0</v>
      </c>
      <c r="MQX23" s="92">
        <v>0</v>
      </c>
      <c r="MQY23" s="92">
        <v>0</v>
      </c>
      <c r="MQZ23" s="92">
        <v>0</v>
      </c>
      <c r="MRA23" s="92">
        <v>0</v>
      </c>
      <c r="MRB23" s="92">
        <v>0</v>
      </c>
      <c r="MRC23" s="92">
        <v>0</v>
      </c>
      <c r="MRD23" s="92">
        <v>0</v>
      </c>
      <c r="MRE23" s="92">
        <v>0</v>
      </c>
      <c r="MRF23" s="92">
        <v>0</v>
      </c>
      <c r="MRG23" s="92">
        <v>0</v>
      </c>
      <c r="MRH23" s="92">
        <v>0</v>
      </c>
      <c r="MRI23" s="92">
        <v>0</v>
      </c>
      <c r="MRJ23" s="92">
        <v>0</v>
      </c>
      <c r="MRK23" s="92">
        <v>0</v>
      </c>
      <c r="MRL23" s="92">
        <v>0</v>
      </c>
      <c r="MRM23" s="92">
        <v>0</v>
      </c>
      <c r="MRN23" s="92">
        <v>0</v>
      </c>
      <c r="MRO23" s="92">
        <v>0</v>
      </c>
      <c r="MRP23" s="92">
        <v>0</v>
      </c>
      <c r="MRQ23" s="92">
        <v>0</v>
      </c>
      <c r="MRR23" s="92">
        <v>0</v>
      </c>
      <c r="MRS23" s="92">
        <v>0</v>
      </c>
      <c r="MRT23" s="92">
        <v>0</v>
      </c>
      <c r="MRU23" s="92">
        <v>0</v>
      </c>
      <c r="MRV23" s="92">
        <v>0</v>
      </c>
      <c r="MRW23" s="92">
        <v>0</v>
      </c>
      <c r="MRX23" s="92">
        <v>0</v>
      </c>
      <c r="MRY23" s="92">
        <v>0</v>
      </c>
      <c r="MRZ23" s="92">
        <v>0</v>
      </c>
      <c r="MSA23" s="92">
        <v>0</v>
      </c>
      <c r="MSB23" s="92">
        <v>0</v>
      </c>
      <c r="MSC23" s="92">
        <v>0</v>
      </c>
      <c r="MSD23" s="92">
        <v>0</v>
      </c>
      <c r="MSE23" s="92">
        <v>0</v>
      </c>
      <c r="MSF23" s="92">
        <v>0</v>
      </c>
      <c r="MSG23" s="92">
        <v>0</v>
      </c>
      <c r="MSH23" s="92">
        <v>0</v>
      </c>
      <c r="MSI23" s="92">
        <v>0</v>
      </c>
      <c r="MSJ23" s="92">
        <v>0</v>
      </c>
      <c r="MSK23" s="92">
        <v>0</v>
      </c>
      <c r="MSL23" s="92">
        <v>0</v>
      </c>
      <c r="MSM23" s="92">
        <v>0</v>
      </c>
      <c r="MSN23" s="92">
        <v>0</v>
      </c>
      <c r="MSO23" s="92">
        <v>0</v>
      </c>
      <c r="MSP23" s="92">
        <v>0</v>
      </c>
      <c r="MSQ23" s="92">
        <v>0</v>
      </c>
      <c r="MSR23" s="92">
        <v>0</v>
      </c>
      <c r="MSS23" s="92">
        <v>0</v>
      </c>
      <c r="MST23" s="92">
        <v>0</v>
      </c>
      <c r="MSU23" s="92">
        <v>0</v>
      </c>
      <c r="MSV23" s="92">
        <v>0</v>
      </c>
      <c r="MSW23" s="92">
        <v>0</v>
      </c>
      <c r="MSX23" s="92">
        <v>0</v>
      </c>
      <c r="MSY23" s="92">
        <v>0</v>
      </c>
      <c r="MSZ23" s="92">
        <v>0</v>
      </c>
      <c r="MTA23" s="92">
        <v>0</v>
      </c>
      <c r="MTB23" s="92">
        <v>0</v>
      </c>
      <c r="MTC23" s="92">
        <v>0</v>
      </c>
      <c r="MTD23" s="92">
        <v>0</v>
      </c>
      <c r="MTE23" s="92">
        <v>0</v>
      </c>
      <c r="MTF23" s="92">
        <v>0</v>
      </c>
      <c r="MTG23" s="92">
        <v>0</v>
      </c>
      <c r="MTH23" s="92">
        <v>0</v>
      </c>
      <c r="MTI23" s="92">
        <v>0</v>
      </c>
      <c r="MTJ23" s="92">
        <v>0</v>
      </c>
      <c r="MTK23" s="92">
        <v>0</v>
      </c>
      <c r="MTL23" s="92">
        <v>0</v>
      </c>
      <c r="MTM23" s="92">
        <v>0</v>
      </c>
      <c r="MTN23" s="92">
        <v>0</v>
      </c>
      <c r="MTO23" s="92">
        <v>0</v>
      </c>
      <c r="MTP23" s="92">
        <v>0</v>
      </c>
      <c r="MTQ23" s="92">
        <v>0</v>
      </c>
      <c r="MTR23" s="92">
        <v>0</v>
      </c>
      <c r="MTS23" s="92">
        <v>0</v>
      </c>
      <c r="MTT23" s="92">
        <v>0</v>
      </c>
      <c r="MTU23" s="92">
        <v>0</v>
      </c>
      <c r="MTV23" s="92">
        <v>0</v>
      </c>
      <c r="MTW23" s="92">
        <v>0</v>
      </c>
      <c r="MTX23" s="92">
        <v>0</v>
      </c>
      <c r="MTY23" s="92">
        <v>0</v>
      </c>
      <c r="MTZ23" s="92">
        <v>0</v>
      </c>
      <c r="MUA23" s="92">
        <v>0</v>
      </c>
      <c r="MUB23" s="92">
        <v>0</v>
      </c>
      <c r="MUC23" s="92">
        <v>0</v>
      </c>
      <c r="MUD23" s="92">
        <v>0</v>
      </c>
      <c r="MUE23" s="92">
        <v>0</v>
      </c>
      <c r="MUF23" s="92">
        <v>0</v>
      </c>
      <c r="MUG23" s="92">
        <v>0</v>
      </c>
      <c r="MUH23" s="92">
        <v>0</v>
      </c>
      <c r="MUI23" s="92">
        <v>0</v>
      </c>
      <c r="MUJ23" s="92">
        <v>0</v>
      </c>
      <c r="MUK23" s="92">
        <v>0</v>
      </c>
      <c r="MUL23" s="92">
        <v>0</v>
      </c>
      <c r="MUM23" s="92">
        <v>0</v>
      </c>
      <c r="MUN23" s="92">
        <v>0</v>
      </c>
      <c r="MUO23" s="92">
        <v>0</v>
      </c>
      <c r="MUP23" s="92">
        <v>0</v>
      </c>
      <c r="MUQ23" s="92">
        <v>0</v>
      </c>
      <c r="MUR23" s="92">
        <v>0</v>
      </c>
      <c r="MUS23" s="92">
        <v>0</v>
      </c>
      <c r="MUT23" s="92">
        <v>0</v>
      </c>
      <c r="MUU23" s="92">
        <v>0</v>
      </c>
      <c r="MUV23" s="92">
        <v>0</v>
      </c>
      <c r="MUW23" s="92">
        <v>0</v>
      </c>
      <c r="MUX23" s="92">
        <v>0</v>
      </c>
      <c r="MUY23" s="92">
        <v>0</v>
      </c>
      <c r="MUZ23" s="92">
        <v>0</v>
      </c>
      <c r="MVA23" s="92">
        <v>0</v>
      </c>
      <c r="MVB23" s="92">
        <v>0</v>
      </c>
      <c r="MVC23" s="92">
        <v>0</v>
      </c>
      <c r="MVD23" s="92">
        <v>0</v>
      </c>
      <c r="MVE23" s="92">
        <v>0</v>
      </c>
      <c r="MVF23" s="92">
        <v>0</v>
      </c>
      <c r="MVG23" s="92">
        <v>0</v>
      </c>
      <c r="MVH23" s="92">
        <v>0</v>
      </c>
      <c r="MVI23" s="92">
        <v>0</v>
      </c>
      <c r="MVJ23" s="92">
        <v>0</v>
      </c>
      <c r="MVK23" s="92">
        <v>0</v>
      </c>
      <c r="MVL23" s="92">
        <v>0</v>
      </c>
      <c r="MVM23" s="92">
        <v>0</v>
      </c>
      <c r="MVN23" s="92">
        <v>0</v>
      </c>
      <c r="MVO23" s="92">
        <v>0</v>
      </c>
      <c r="MVP23" s="92">
        <v>0</v>
      </c>
      <c r="MVQ23" s="92">
        <v>0</v>
      </c>
      <c r="MVR23" s="92">
        <v>0</v>
      </c>
      <c r="MVS23" s="92">
        <v>0</v>
      </c>
      <c r="MVT23" s="92">
        <v>0</v>
      </c>
      <c r="MVU23" s="92">
        <v>0</v>
      </c>
      <c r="MVV23" s="92">
        <v>0</v>
      </c>
      <c r="MVW23" s="92">
        <v>0</v>
      </c>
      <c r="MVX23" s="92">
        <v>0</v>
      </c>
      <c r="MVY23" s="92">
        <v>0</v>
      </c>
      <c r="MVZ23" s="92">
        <v>0</v>
      </c>
      <c r="MWA23" s="92">
        <v>0</v>
      </c>
      <c r="MWB23" s="92">
        <v>0</v>
      </c>
      <c r="MWC23" s="92">
        <v>0</v>
      </c>
      <c r="MWD23" s="92">
        <v>0</v>
      </c>
      <c r="MWE23" s="92">
        <v>0</v>
      </c>
      <c r="MWF23" s="92">
        <v>0</v>
      </c>
      <c r="MWG23" s="92">
        <v>0</v>
      </c>
      <c r="MWH23" s="92">
        <v>0</v>
      </c>
      <c r="MWI23" s="92">
        <v>0</v>
      </c>
      <c r="MWJ23" s="92">
        <v>0</v>
      </c>
      <c r="MWK23" s="92">
        <v>0</v>
      </c>
      <c r="MWL23" s="92">
        <v>0</v>
      </c>
      <c r="MWM23" s="92">
        <v>0</v>
      </c>
      <c r="MWN23" s="92">
        <v>0</v>
      </c>
      <c r="MWO23" s="92">
        <v>0</v>
      </c>
      <c r="MWP23" s="92">
        <v>0</v>
      </c>
      <c r="MWQ23" s="92">
        <v>0</v>
      </c>
      <c r="MWR23" s="92">
        <v>0</v>
      </c>
      <c r="MWS23" s="92">
        <v>0</v>
      </c>
      <c r="MWT23" s="92">
        <v>0</v>
      </c>
      <c r="MWU23" s="92">
        <v>0</v>
      </c>
      <c r="MWV23" s="92">
        <v>0</v>
      </c>
      <c r="MWW23" s="92">
        <v>0</v>
      </c>
      <c r="MWX23" s="92">
        <v>0</v>
      </c>
      <c r="MWY23" s="92">
        <v>0</v>
      </c>
      <c r="MWZ23" s="92">
        <v>0</v>
      </c>
      <c r="MXA23" s="92">
        <v>0</v>
      </c>
      <c r="MXB23" s="92">
        <v>0</v>
      </c>
      <c r="MXC23" s="92">
        <v>0</v>
      </c>
      <c r="MXD23" s="92">
        <v>0</v>
      </c>
      <c r="MXE23" s="92">
        <v>0</v>
      </c>
      <c r="MXF23" s="92">
        <v>0</v>
      </c>
      <c r="MXG23" s="92">
        <v>0</v>
      </c>
      <c r="MXH23" s="92">
        <v>0</v>
      </c>
      <c r="MXI23" s="92">
        <v>0</v>
      </c>
      <c r="MXJ23" s="92">
        <v>0</v>
      </c>
      <c r="MXK23" s="92">
        <v>0</v>
      </c>
      <c r="MXL23" s="92">
        <v>0</v>
      </c>
      <c r="MXM23" s="92">
        <v>0</v>
      </c>
      <c r="MXN23" s="92">
        <v>0</v>
      </c>
      <c r="MXO23" s="92">
        <v>0</v>
      </c>
      <c r="MXP23" s="92">
        <v>0</v>
      </c>
      <c r="MXQ23" s="92">
        <v>0</v>
      </c>
      <c r="MXR23" s="92">
        <v>0</v>
      </c>
      <c r="MXS23" s="92">
        <v>0</v>
      </c>
      <c r="MXT23" s="92">
        <v>0</v>
      </c>
      <c r="MXU23" s="92">
        <v>0</v>
      </c>
      <c r="MXV23" s="92">
        <v>0</v>
      </c>
      <c r="MXW23" s="92">
        <v>0</v>
      </c>
      <c r="MXX23" s="92">
        <v>0</v>
      </c>
      <c r="MXY23" s="92">
        <v>0</v>
      </c>
      <c r="MXZ23" s="92">
        <v>0</v>
      </c>
      <c r="MYA23" s="92">
        <v>0</v>
      </c>
      <c r="MYB23" s="92">
        <v>0</v>
      </c>
      <c r="MYC23" s="92">
        <v>0</v>
      </c>
      <c r="MYD23" s="92">
        <v>0</v>
      </c>
      <c r="MYE23" s="92">
        <v>0</v>
      </c>
      <c r="MYF23" s="92">
        <v>0</v>
      </c>
      <c r="MYG23" s="92">
        <v>0</v>
      </c>
      <c r="MYH23" s="92">
        <v>0</v>
      </c>
      <c r="MYI23" s="92">
        <v>0</v>
      </c>
      <c r="MYJ23" s="92">
        <v>0</v>
      </c>
      <c r="MYK23" s="92">
        <v>0</v>
      </c>
      <c r="MYL23" s="92">
        <v>0</v>
      </c>
      <c r="MYM23" s="92">
        <v>0</v>
      </c>
      <c r="MYN23" s="92">
        <v>0</v>
      </c>
      <c r="MYO23" s="92">
        <v>0</v>
      </c>
      <c r="MYP23" s="92">
        <v>0</v>
      </c>
      <c r="MYQ23" s="92">
        <v>0</v>
      </c>
      <c r="MYR23" s="92">
        <v>0</v>
      </c>
      <c r="MYS23" s="92">
        <v>0</v>
      </c>
      <c r="MYT23" s="92">
        <v>0</v>
      </c>
      <c r="MYU23" s="92">
        <v>0</v>
      </c>
      <c r="MYV23" s="92">
        <v>0</v>
      </c>
      <c r="MYW23" s="92">
        <v>0</v>
      </c>
      <c r="MYX23" s="92">
        <v>0</v>
      </c>
      <c r="MYY23" s="92">
        <v>0</v>
      </c>
      <c r="MYZ23" s="92">
        <v>0</v>
      </c>
      <c r="MZA23" s="92">
        <v>0</v>
      </c>
      <c r="MZB23" s="92">
        <v>0</v>
      </c>
      <c r="MZC23" s="92">
        <v>0</v>
      </c>
      <c r="MZD23" s="92">
        <v>0</v>
      </c>
      <c r="MZE23" s="92">
        <v>0</v>
      </c>
      <c r="MZF23" s="92">
        <v>0</v>
      </c>
      <c r="MZG23" s="92">
        <v>0</v>
      </c>
      <c r="MZH23" s="92">
        <v>0</v>
      </c>
      <c r="MZI23" s="92">
        <v>0</v>
      </c>
      <c r="MZJ23" s="92">
        <v>0</v>
      </c>
      <c r="MZK23" s="92">
        <v>0</v>
      </c>
      <c r="MZL23" s="92">
        <v>0</v>
      </c>
      <c r="MZM23" s="92">
        <v>0</v>
      </c>
      <c r="MZN23" s="92">
        <v>0</v>
      </c>
      <c r="MZO23" s="92">
        <v>0</v>
      </c>
      <c r="MZP23" s="92">
        <v>0</v>
      </c>
      <c r="MZQ23" s="92">
        <v>0</v>
      </c>
      <c r="MZR23" s="92">
        <v>0</v>
      </c>
      <c r="MZS23" s="92">
        <v>0</v>
      </c>
      <c r="MZT23" s="92">
        <v>0</v>
      </c>
      <c r="MZU23" s="92">
        <v>0</v>
      </c>
      <c r="MZV23" s="92">
        <v>0</v>
      </c>
      <c r="MZW23" s="92">
        <v>0</v>
      </c>
      <c r="MZX23" s="92">
        <v>0</v>
      </c>
      <c r="MZY23" s="92">
        <v>0</v>
      </c>
      <c r="MZZ23" s="92">
        <v>0</v>
      </c>
      <c r="NAA23" s="92">
        <v>0</v>
      </c>
      <c r="NAB23" s="92">
        <v>0</v>
      </c>
      <c r="NAC23" s="92">
        <v>0</v>
      </c>
      <c r="NAD23" s="92">
        <v>0</v>
      </c>
      <c r="NAE23" s="92">
        <v>0</v>
      </c>
      <c r="NAF23" s="92">
        <v>0</v>
      </c>
      <c r="NAG23" s="92">
        <v>0</v>
      </c>
      <c r="NAH23" s="92">
        <v>0</v>
      </c>
      <c r="NAI23" s="92">
        <v>0</v>
      </c>
      <c r="NAJ23" s="92">
        <v>0</v>
      </c>
      <c r="NAK23" s="92">
        <v>0</v>
      </c>
      <c r="NAL23" s="92">
        <v>0</v>
      </c>
      <c r="NAM23" s="92">
        <v>0</v>
      </c>
      <c r="NAN23" s="92">
        <v>0</v>
      </c>
      <c r="NAO23" s="92">
        <v>0</v>
      </c>
      <c r="NAP23" s="92">
        <v>0</v>
      </c>
      <c r="NAQ23" s="92">
        <v>0</v>
      </c>
      <c r="NAR23" s="92">
        <v>0</v>
      </c>
      <c r="NAS23" s="92">
        <v>0</v>
      </c>
      <c r="NAT23" s="92">
        <v>0</v>
      </c>
      <c r="NAU23" s="92">
        <v>0</v>
      </c>
      <c r="NAV23" s="92">
        <v>0</v>
      </c>
      <c r="NAW23" s="92">
        <v>0</v>
      </c>
      <c r="NAX23" s="92">
        <v>0</v>
      </c>
      <c r="NAY23" s="92">
        <v>0</v>
      </c>
      <c r="NAZ23" s="92">
        <v>0</v>
      </c>
      <c r="NBA23" s="92">
        <v>0</v>
      </c>
      <c r="NBB23" s="92">
        <v>0</v>
      </c>
      <c r="NBC23" s="92">
        <v>0</v>
      </c>
      <c r="NBD23" s="92">
        <v>0</v>
      </c>
      <c r="NBE23" s="92">
        <v>0</v>
      </c>
      <c r="NBF23" s="92">
        <v>0</v>
      </c>
      <c r="NBG23" s="92">
        <v>0</v>
      </c>
      <c r="NBH23" s="92">
        <v>0</v>
      </c>
      <c r="NBI23" s="92">
        <v>0</v>
      </c>
      <c r="NBJ23" s="92">
        <v>0</v>
      </c>
      <c r="NBK23" s="92">
        <v>0</v>
      </c>
      <c r="NBL23" s="92">
        <v>0</v>
      </c>
      <c r="NBM23" s="92">
        <v>0</v>
      </c>
      <c r="NBN23" s="92">
        <v>0</v>
      </c>
      <c r="NBO23" s="92">
        <v>0</v>
      </c>
      <c r="NBP23" s="92">
        <v>0</v>
      </c>
      <c r="NBQ23" s="92">
        <v>0</v>
      </c>
      <c r="NBR23" s="92">
        <v>0</v>
      </c>
      <c r="NBS23" s="92">
        <v>0</v>
      </c>
      <c r="NBT23" s="92">
        <v>0</v>
      </c>
      <c r="NBU23" s="92">
        <v>0</v>
      </c>
      <c r="NBV23" s="92">
        <v>0</v>
      </c>
      <c r="NBW23" s="92">
        <v>0</v>
      </c>
      <c r="NBX23" s="92">
        <v>0</v>
      </c>
      <c r="NBY23" s="92">
        <v>0</v>
      </c>
      <c r="NBZ23" s="92">
        <v>0</v>
      </c>
      <c r="NCA23" s="92">
        <v>0</v>
      </c>
      <c r="NCB23" s="92">
        <v>0</v>
      </c>
      <c r="NCC23" s="92">
        <v>0</v>
      </c>
      <c r="NCD23" s="92">
        <v>0</v>
      </c>
      <c r="NCE23" s="92">
        <v>0</v>
      </c>
      <c r="NCF23" s="92">
        <v>0</v>
      </c>
      <c r="NCG23" s="92">
        <v>0</v>
      </c>
      <c r="NCH23" s="92">
        <v>0</v>
      </c>
      <c r="NCI23" s="92">
        <v>0</v>
      </c>
      <c r="NCJ23" s="92">
        <v>0</v>
      </c>
      <c r="NCK23" s="92">
        <v>0</v>
      </c>
      <c r="NCL23" s="92">
        <v>0</v>
      </c>
      <c r="NCM23" s="92">
        <v>0</v>
      </c>
      <c r="NCN23" s="92">
        <v>0</v>
      </c>
      <c r="NCO23" s="92">
        <v>0</v>
      </c>
      <c r="NCP23" s="92">
        <v>0</v>
      </c>
      <c r="NCQ23" s="92">
        <v>0</v>
      </c>
      <c r="NCR23" s="92">
        <v>0</v>
      </c>
      <c r="NCS23" s="92">
        <v>0</v>
      </c>
      <c r="NCT23" s="92">
        <v>0</v>
      </c>
      <c r="NCU23" s="92">
        <v>0</v>
      </c>
      <c r="NCV23" s="92">
        <v>0</v>
      </c>
      <c r="NCW23" s="92">
        <v>0</v>
      </c>
      <c r="NCX23" s="92">
        <v>0</v>
      </c>
      <c r="NCY23" s="92">
        <v>0</v>
      </c>
      <c r="NCZ23" s="92">
        <v>0</v>
      </c>
      <c r="NDA23" s="92">
        <v>0</v>
      </c>
      <c r="NDB23" s="92">
        <v>0</v>
      </c>
      <c r="NDC23" s="92">
        <v>0</v>
      </c>
      <c r="NDD23" s="92">
        <v>0</v>
      </c>
      <c r="NDE23" s="92">
        <v>0</v>
      </c>
      <c r="NDF23" s="92">
        <v>0</v>
      </c>
      <c r="NDG23" s="92">
        <v>0</v>
      </c>
      <c r="NDH23" s="92">
        <v>0</v>
      </c>
      <c r="NDI23" s="92">
        <v>0</v>
      </c>
      <c r="NDJ23" s="92">
        <v>0</v>
      </c>
      <c r="NDK23" s="92">
        <v>0</v>
      </c>
      <c r="NDL23" s="92">
        <v>0</v>
      </c>
      <c r="NDM23" s="92">
        <v>0</v>
      </c>
      <c r="NDN23" s="92">
        <v>0</v>
      </c>
      <c r="NDO23" s="92">
        <v>0</v>
      </c>
      <c r="NDP23" s="92">
        <v>0</v>
      </c>
      <c r="NDQ23" s="92">
        <v>0</v>
      </c>
      <c r="NDR23" s="92">
        <v>0</v>
      </c>
      <c r="NDS23" s="92">
        <v>0</v>
      </c>
      <c r="NDT23" s="92">
        <v>0</v>
      </c>
      <c r="NDU23" s="92">
        <v>0</v>
      </c>
      <c r="NDV23" s="92">
        <v>0</v>
      </c>
      <c r="NDW23" s="92">
        <v>0</v>
      </c>
      <c r="NDX23" s="92">
        <v>0</v>
      </c>
      <c r="NDY23" s="92">
        <v>0</v>
      </c>
      <c r="NDZ23" s="92">
        <v>0</v>
      </c>
      <c r="NEA23" s="92">
        <v>0</v>
      </c>
      <c r="NEB23" s="92">
        <v>0</v>
      </c>
      <c r="NEC23" s="92">
        <v>0</v>
      </c>
      <c r="NED23" s="92">
        <v>0</v>
      </c>
      <c r="NEE23" s="92">
        <v>0</v>
      </c>
      <c r="NEF23" s="92">
        <v>0</v>
      </c>
      <c r="NEG23" s="92">
        <v>0</v>
      </c>
      <c r="NEH23" s="92">
        <v>0</v>
      </c>
      <c r="NEI23" s="92">
        <v>0</v>
      </c>
      <c r="NEJ23" s="92">
        <v>0</v>
      </c>
      <c r="NEK23" s="92">
        <v>0</v>
      </c>
      <c r="NEL23" s="92">
        <v>0</v>
      </c>
      <c r="NEM23" s="92">
        <v>0</v>
      </c>
      <c r="NEN23" s="92">
        <v>0</v>
      </c>
      <c r="NEO23" s="92">
        <v>0</v>
      </c>
      <c r="NEP23" s="92">
        <v>0</v>
      </c>
      <c r="NEQ23" s="92">
        <v>0</v>
      </c>
      <c r="NER23" s="92">
        <v>0</v>
      </c>
      <c r="NES23" s="92">
        <v>0</v>
      </c>
      <c r="NET23" s="92">
        <v>0</v>
      </c>
      <c r="NEU23" s="92">
        <v>0</v>
      </c>
      <c r="NEV23" s="92">
        <v>0</v>
      </c>
      <c r="NEW23" s="92">
        <v>0</v>
      </c>
      <c r="NEX23" s="92">
        <v>0</v>
      </c>
      <c r="NEY23" s="92">
        <v>0</v>
      </c>
      <c r="NEZ23" s="92">
        <v>0</v>
      </c>
      <c r="NFA23" s="92">
        <v>0</v>
      </c>
      <c r="NFB23" s="92">
        <v>0</v>
      </c>
      <c r="NFC23" s="92">
        <v>0</v>
      </c>
      <c r="NFD23" s="92">
        <v>0</v>
      </c>
      <c r="NFE23" s="92">
        <v>0</v>
      </c>
      <c r="NFF23" s="92">
        <v>0</v>
      </c>
      <c r="NFG23" s="92">
        <v>0</v>
      </c>
      <c r="NFH23" s="92">
        <v>0</v>
      </c>
      <c r="NFI23" s="92">
        <v>0</v>
      </c>
      <c r="NFJ23" s="92">
        <v>0</v>
      </c>
      <c r="NFK23" s="92">
        <v>0</v>
      </c>
      <c r="NFL23" s="92">
        <v>0</v>
      </c>
      <c r="NFM23" s="92">
        <v>0</v>
      </c>
      <c r="NFN23" s="92">
        <v>0</v>
      </c>
      <c r="NFO23" s="92">
        <v>0</v>
      </c>
      <c r="NFP23" s="92">
        <v>0</v>
      </c>
      <c r="NFQ23" s="92">
        <v>0</v>
      </c>
      <c r="NFR23" s="92">
        <v>0</v>
      </c>
      <c r="NFS23" s="92">
        <v>0</v>
      </c>
      <c r="NFT23" s="92">
        <v>0</v>
      </c>
      <c r="NFU23" s="92">
        <v>0</v>
      </c>
      <c r="NFV23" s="92">
        <v>0</v>
      </c>
      <c r="NFW23" s="92">
        <v>0</v>
      </c>
      <c r="NFX23" s="92">
        <v>0</v>
      </c>
      <c r="NFY23" s="92">
        <v>0</v>
      </c>
      <c r="NFZ23" s="92">
        <v>0</v>
      </c>
      <c r="NGA23" s="92">
        <v>0</v>
      </c>
      <c r="NGB23" s="92">
        <v>0</v>
      </c>
      <c r="NGC23" s="92">
        <v>0</v>
      </c>
      <c r="NGD23" s="92">
        <v>0</v>
      </c>
      <c r="NGE23" s="92">
        <v>0</v>
      </c>
      <c r="NGF23" s="92">
        <v>0</v>
      </c>
      <c r="NGG23" s="92">
        <v>0</v>
      </c>
      <c r="NGH23" s="92">
        <v>0</v>
      </c>
      <c r="NGI23" s="92">
        <v>0</v>
      </c>
      <c r="NGJ23" s="92">
        <v>0</v>
      </c>
      <c r="NGK23" s="92">
        <v>0</v>
      </c>
      <c r="NGL23" s="92">
        <v>0</v>
      </c>
      <c r="NGM23" s="92">
        <v>0</v>
      </c>
      <c r="NGN23" s="92">
        <v>0</v>
      </c>
      <c r="NGO23" s="92">
        <v>0</v>
      </c>
      <c r="NGP23" s="92">
        <v>0</v>
      </c>
      <c r="NGQ23" s="92">
        <v>0</v>
      </c>
      <c r="NGR23" s="92">
        <v>0</v>
      </c>
      <c r="NGS23" s="92">
        <v>0</v>
      </c>
      <c r="NGT23" s="92">
        <v>0</v>
      </c>
      <c r="NGU23" s="92">
        <v>0</v>
      </c>
      <c r="NGV23" s="92">
        <v>0</v>
      </c>
      <c r="NGW23" s="92">
        <v>0</v>
      </c>
      <c r="NGX23" s="92">
        <v>0</v>
      </c>
      <c r="NGY23" s="92">
        <v>0</v>
      </c>
      <c r="NGZ23" s="92">
        <v>0</v>
      </c>
      <c r="NHA23" s="92">
        <v>0</v>
      </c>
      <c r="NHB23" s="92">
        <v>0</v>
      </c>
      <c r="NHC23" s="92">
        <v>0</v>
      </c>
      <c r="NHD23" s="92">
        <v>0</v>
      </c>
      <c r="NHE23" s="92">
        <v>0</v>
      </c>
      <c r="NHF23" s="92">
        <v>0</v>
      </c>
      <c r="NHG23" s="92">
        <v>0</v>
      </c>
      <c r="NHH23" s="92">
        <v>0</v>
      </c>
      <c r="NHI23" s="92">
        <v>0</v>
      </c>
      <c r="NHJ23" s="92">
        <v>0</v>
      </c>
      <c r="NHK23" s="92">
        <v>0</v>
      </c>
      <c r="NHL23" s="92">
        <v>0</v>
      </c>
      <c r="NHM23" s="92">
        <v>0</v>
      </c>
      <c r="NHN23" s="92">
        <v>0</v>
      </c>
      <c r="NHO23" s="92">
        <v>0</v>
      </c>
      <c r="NHP23" s="92">
        <v>0</v>
      </c>
      <c r="NHQ23" s="92">
        <v>0</v>
      </c>
      <c r="NHR23" s="92">
        <v>0</v>
      </c>
      <c r="NHS23" s="92">
        <v>0</v>
      </c>
      <c r="NHT23" s="92">
        <v>0</v>
      </c>
      <c r="NHU23" s="92">
        <v>0</v>
      </c>
      <c r="NHV23" s="92">
        <v>0</v>
      </c>
      <c r="NHW23" s="92">
        <v>0</v>
      </c>
      <c r="NHX23" s="92">
        <v>0</v>
      </c>
      <c r="NHY23" s="92">
        <v>0</v>
      </c>
      <c r="NHZ23" s="92">
        <v>0</v>
      </c>
      <c r="NIA23" s="92">
        <v>0</v>
      </c>
      <c r="NIB23" s="92">
        <v>0</v>
      </c>
      <c r="NIC23" s="92">
        <v>0</v>
      </c>
      <c r="NID23" s="92">
        <v>0</v>
      </c>
      <c r="NIE23" s="92">
        <v>0</v>
      </c>
      <c r="NIF23" s="92">
        <v>0</v>
      </c>
      <c r="NIG23" s="92">
        <v>0</v>
      </c>
      <c r="NIH23" s="92">
        <v>0</v>
      </c>
      <c r="NII23" s="92">
        <v>0</v>
      </c>
      <c r="NIJ23" s="92">
        <v>0</v>
      </c>
      <c r="NIK23" s="92">
        <v>0</v>
      </c>
      <c r="NIL23" s="92">
        <v>0</v>
      </c>
      <c r="NIM23" s="92">
        <v>0</v>
      </c>
      <c r="NIN23" s="92">
        <v>0</v>
      </c>
      <c r="NIO23" s="92">
        <v>0</v>
      </c>
      <c r="NIP23" s="92">
        <v>0</v>
      </c>
      <c r="NIQ23" s="92">
        <v>0</v>
      </c>
      <c r="NIR23" s="92">
        <v>0</v>
      </c>
      <c r="NIS23" s="92">
        <v>0</v>
      </c>
      <c r="NIT23" s="92">
        <v>0</v>
      </c>
      <c r="NIU23" s="92">
        <v>0</v>
      </c>
      <c r="NIV23" s="92">
        <v>0</v>
      </c>
      <c r="NIW23" s="92">
        <v>0</v>
      </c>
      <c r="NIX23" s="92">
        <v>0</v>
      </c>
      <c r="NIY23" s="92">
        <v>0</v>
      </c>
      <c r="NIZ23" s="92">
        <v>0</v>
      </c>
      <c r="NJA23" s="92">
        <v>0</v>
      </c>
      <c r="NJB23" s="92">
        <v>0</v>
      </c>
      <c r="NJC23" s="92">
        <v>0</v>
      </c>
      <c r="NJD23" s="92">
        <v>0</v>
      </c>
      <c r="NJE23" s="92">
        <v>0</v>
      </c>
      <c r="NJF23" s="92">
        <v>0</v>
      </c>
      <c r="NJG23" s="92">
        <v>0</v>
      </c>
      <c r="NJH23" s="92">
        <v>0</v>
      </c>
      <c r="NJI23" s="92">
        <v>0</v>
      </c>
      <c r="NJJ23" s="92">
        <v>0</v>
      </c>
      <c r="NJK23" s="92">
        <v>0</v>
      </c>
      <c r="NJL23" s="92">
        <v>0</v>
      </c>
      <c r="NJM23" s="92">
        <v>0</v>
      </c>
      <c r="NJN23" s="92">
        <v>0</v>
      </c>
      <c r="NJO23" s="92">
        <v>0</v>
      </c>
      <c r="NJP23" s="92">
        <v>0</v>
      </c>
      <c r="NJQ23" s="92">
        <v>0</v>
      </c>
      <c r="NJR23" s="92">
        <v>0</v>
      </c>
      <c r="NJS23" s="92">
        <v>0</v>
      </c>
      <c r="NJT23" s="92">
        <v>0</v>
      </c>
      <c r="NJU23" s="92">
        <v>0</v>
      </c>
      <c r="NJV23" s="92">
        <v>0</v>
      </c>
      <c r="NJW23" s="92">
        <v>0</v>
      </c>
      <c r="NJX23" s="92">
        <v>0</v>
      </c>
      <c r="NJY23" s="92">
        <v>0</v>
      </c>
      <c r="NJZ23" s="92">
        <v>0</v>
      </c>
      <c r="NKA23" s="92">
        <v>0</v>
      </c>
      <c r="NKB23" s="92">
        <v>0</v>
      </c>
      <c r="NKC23" s="92">
        <v>0</v>
      </c>
      <c r="NKD23" s="92">
        <v>0</v>
      </c>
      <c r="NKE23" s="92">
        <v>0</v>
      </c>
      <c r="NKF23" s="92">
        <v>0</v>
      </c>
      <c r="NKG23" s="92">
        <v>0</v>
      </c>
      <c r="NKH23" s="92">
        <v>0</v>
      </c>
      <c r="NKI23" s="92">
        <v>0</v>
      </c>
      <c r="NKJ23" s="92">
        <v>0</v>
      </c>
      <c r="NKK23" s="92">
        <v>0</v>
      </c>
      <c r="NKL23" s="92">
        <v>0</v>
      </c>
      <c r="NKM23" s="92">
        <v>0</v>
      </c>
      <c r="NKN23" s="92">
        <v>0</v>
      </c>
      <c r="NKO23" s="92">
        <v>0</v>
      </c>
      <c r="NKP23" s="92">
        <v>0</v>
      </c>
      <c r="NKQ23" s="92">
        <v>0</v>
      </c>
      <c r="NKR23" s="92">
        <v>0</v>
      </c>
      <c r="NKS23" s="92">
        <v>0</v>
      </c>
      <c r="NKT23" s="92">
        <v>0</v>
      </c>
      <c r="NKU23" s="92">
        <v>0</v>
      </c>
      <c r="NKV23" s="92">
        <v>0</v>
      </c>
      <c r="NKW23" s="92">
        <v>0</v>
      </c>
      <c r="NKX23" s="92">
        <v>0</v>
      </c>
      <c r="NKY23" s="92">
        <v>0</v>
      </c>
      <c r="NKZ23" s="92">
        <v>0</v>
      </c>
      <c r="NLA23" s="92">
        <v>0</v>
      </c>
      <c r="NLB23" s="92">
        <v>0</v>
      </c>
      <c r="NLC23" s="92">
        <v>0</v>
      </c>
      <c r="NLD23" s="92">
        <v>0</v>
      </c>
      <c r="NLE23" s="92">
        <v>0</v>
      </c>
      <c r="NLF23" s="92">
        <v>0</v>
      </c>
      <c r="NLG23" s="92">
        <v>0</v>
      </c>
      <c r="NLH23" s="92">
        <v>0</v>
      </c>
      <c r="NLI23" s="92">
        <v>0</v>
      </c>
      <c r="NLJ23" s="92">
        <v>0</v>
      </c>
      <c r="NLK23" s="92">
        <v>0</v>
      </c>
      <c r="NLL23" s="92">
        <v>0</v>
      </c>
      <c r="NLM23" s="92">
        <v>0</v>
      </c>
      <c r="NLN23" s="92">
        <v>0</v>
      </c>
      <c r="NLO23" s="92">
        <v>0</v>
      </c>
      <c r="NLP23" s="92">
        <v>0</v>
      </c>
      <c r="NLQ23" s="92">
        <v>0</v>
      </c>
      <c r="NLR23" s="92">
        <v>0</v>
      </c>
      <c r="NLS23" s="92">
        <v>0</v>
      </c>
      <c r="NLT23" s="92">
        <v>0</v>
      </c>
      <c r="NLU23" s="92">
        <v>0</v>
      </c>
      <c r="NLV23" s="92">
        <v>0</v>
      </c>
      <c r="NLW23" s="92">
        <v>0</v>
      </c>
      <c r="NLX23" s="92">
        <v>0</v>
      </c>
      <c r="NLY23" s="92">
        <v>0</v>
      </c>
      <c r="NLZ23" s="92">
        <v>0</v>
      </c>
      <c r="NMA23" s="92">
        <v>0</v>
      </c>
      <c r="NMB23" s="92">
        <v>0</v>
      </c>
      <c r="NMC23" s="92">
        <v>0</v>
      </c>
      <c r="NMD23" s="92">
        <v>0</v>
      </c>
      <c r="NME23" s="92">
        <v>0</v>
      </c>
      <c r="NMF23" s="92">
        <v>0</v>
      </c>
      <c r="NMG23" s="92">
        <v>0</v>
      </c>
      <c r="NMH23" s="92">
        <v>0</v>
      </c>
      <c r="NMI23" s="92">
        <v>0</v>
      </c>
      <c r="NMJ23" s="92">
        <v>0</v>
      </c>
      <c r="NMK23" s="92">
        <v>0</v>
      </c>
      <c r="NML23" s="92">
        <v>0</v>
      </c>
      <c r="NMM23" s="92">
        <v>0</v>
      </c>
      <c r="NMN23" s="92">
        <v>0</v>
      </c>
      <c r="NMO23" s="92">
        <v>0</v>
      </c>
      <c r="NMP23" s="92">
        <v>0</v>
      </c>
      <c r="NMQ23" s="92">
        <v>0</v>
      </c>
      <c r="NMR23" s="92">
        <v>0</v>
      </c>
      <c r="NMS23" s="92">
        <v>0</v>
      </c>
      <c r="NMT23" s="92">
        <v>0</v>
      </c>
      <c r="NMU23" s="92">
        <v>0</v>
      </c>
      <c r="NMV23" s="92">
        <v>0</v>
      </c>
      <c r="NMW23" s="92">
        <v>0</v>
      </c>
      <c r="NMX23" s="92">
        <v>0</v>
      </c>
      <c r="NMY23" s="92">
        <v>0</v>
      </c>
      <c r="NMZ23" s="92">
        <v>0</v>
      </c>
      <c r="NNA23" s="92">
        <v>0</v>
      </c>
      <c r="NNB23" s="92">
        <v>0</v>
      </c>
      <c r="NNC23" s="92">
        <v>0</v>
      </c>
      <c r="NND23" s="92">
        <v>0</v>
      </c>
      <c r="NNE23" s="92">
        <v>0</v>
      </c>
      <c r="NNF23" s="92">
        <v>0</v>
      </c>
      <c r="NNG23" s="92">
        <v>0</v>
      </c>
      <c r="NNH23" s="92">
        <v>0</v>
      </c>
      <c r="NNI23" s="92">
        <v>0</v>
      </c>
      <c r="NNJ23" s="92">
        <v>0</v>
      </c>
      <c r="NNK23" s="92">
        <v>0</v>
      </c>
      <c r="NNL23" s="92">
        <v>0</v>
      </c>
      <c r="NNM23" s="92">
        <v>0</v>
      </c>
      <c r="NNN23" s="92">
        <v>0</v>
      </c>
      <c r="NNO23" s="92">
        <v>0</v>
      </c>
      <c r="NNP23" s="92">
        <v>0</v>
      </c>
      <c r="NNQ23" s="92">
        <v>0</v>
      </c>
      <c r="NNR23" s="92">
        <v>0</v>
      </c>
      <c r="NNS23" s="92">
        <v>0</v>
      </c>
      <c r="NNT23" s="92">
        <v>0</v>
      </c>
      <c r="NNU23" s="92">
        <v>0</v>
      </c>
      <c r="NNV23" s="92">
        <v>0</v>
      </c>
      <c r="NNW23" s="92">
        <v>0</v>
      </c>
      <c r="NNX23" s="92">
        <v>0</v>
      </c>
      <c r="NNY23" s="92">
        <v>0</v>
      </c>
      <c r="NNZ23" s="92">
        <v>0</v>
      </c>
      <c r="NOA23" s="92">
        <v>0</v>
      </c>
      <c r="NOB23" s="92">
        <v>0</v>
      </c>
      <c r="NOC23" s="92">
        <v>0</v>
      </c>
      <c r="NOD23" s="92">
        <v>0</v>
      </c>
      <c r="NOE23" s="92">
        <v>0</v>
      </c>
      <c r="NOF23" s="92">
        <v>0</v>
      </c>
      <c r="NOG23" s="92">
        <v>0</v>
      </c>
      <c r="NOH23" s="92">
        <v>0</v>
      </c>
      <c r="NOI23" s="92">
        <v>0</v>
      </c>
      <c r="NOJ23" s="92">
        <v>0</v>
      </c>
      <c r="NOK23" s="92">
        <v>0</v>
      </c>
      <c r="NOL23" s="92">
        <v>0</v>
      </c>
      <c r="NOM23" s="92">
        <v>0</v>
      </c>
      <c r="NON23" s="92">
        <v>0</v>
      </c>
      <c r="NOO23" s="92">
        <v>0</v>
      </c>
      <c r="NOP23" s="92">
        <v>0</v>
      </c>
      <c r="NOQ23" s="92">
        <v>0</v>
      </c>
      <c r="NOR23" s="92">
        <v>0</v>
      </c>
      <c r="NOS23" s="92">
        <v>0</v>
      </c>
      <c r="NOT23" s="92">
        <v>0</v>
      </c>
      <c r="NOU23" s="92">
        <v>0</v>
      </c>
      <c r="NOV23" s="92">
        <v>0</v>
      </c>
      <c r="NOW23" s="92">
        <v>0</v>
      </c>
      <c r="NOX23" s="92">
        <v>0</v>
      </c>
      <c r="NOY23" s="92">
        <v>0</v>
      </c>
      <c r="NOZ23" s="92">
        <v>0</v>
      </c>
      <c r="NPA23" s="92">
        <v>0</v>
      </c>
      <c r="NPB23" s="92">
        <v>0</v>
      </c>
      <c r="NPC23" s="92">
        <v>0</v>
      </c>
      <c r="NPD23" s="92">
        <v>0</v>
      </c>
      <c r="NPE23" s="92">
        <v>0</v>
      </c>
      <c r="NPF23" s="92">
        <v>0</v>
      </c>
      <c r="NPG23" s="92">
        <v>0</v>
      </c>
      <c r="NPH23" s="92">
        <v>0</v>
      </c>
      <c r="NPI23" s="92">
        <v>0</v>
      </c>
      <c r="NPJ23" s="92">
        <v>0</v>
      </c>
      <c r="NPK23" s="92">
        <v>0</v>
      </c>
      <c r="NPL23" s="92">
        <v>0</v>
      </c>
      <c r="NPM23" s="92">
        <v>0</v>
      </c>
      <c r="NPN23" s="92">
        <v>0</v>
      </c>
      <c r="NPO23" s="92">
        <v>0</v>
      </c>
      <c r="NPP23" s="92">
        <v>0</v>
      </c>
      <c r="NPQ23" s="92">
        <v>0</v>
      </c>
      <c r="NPR23" s="92">
        <v>0</v>
      </c>
      <c r="NPS23" s="92">
        <v>0</v>
      </c>
      <c r="NPT23" s="92">
        <v>0</v>
      </c>
      <c r="NPU23" s="92">
        <v>0</v>
      </c>
      <c r="NPV23" s="92">
        <v>0</v>
      </c>
      <c r="NPW23" s="92">
        <v>0</v>
      </c>
      <c r="NPX23" s="92">
        <v>0</v>
      </c>
      <c r="NPY23" s="92">
        <v>0</v>
      </c>
      <c r="NPZ23" s="92">
        <v>0</v>
      </c>
      <c r="NQA23" s="92">
        <v>0</v>
      </c>
      <c r="NQB23" s="92">
        <v>0</v>
      </c>
      <c r="NQC23" s="92">
        <v>0</v>
      </c>
      <c r="NQD23" s="92">
        <v>0</v>
      </c>
      <c r="NQE23" s="92">
        <v>0</v>
      </c>
      <c r="NQF23" s="92">
        <v>0</v>
      </c>
      <c r="NQG23" s="92">
        <v>0</v>
      </c>
      <c r="NQH23" s="92">
        <v>0</v>
      </c>
      <c r="NQI23" s="92">
        <v>0</v>
      </c>
      <c r="NQJ23" s="92">
        <v>0</v>
      </c>
      <c r="NQK23" s="92">
        <v>0</v>
      </c>
      <c r="NQL23" s="92">
        <v>0</v>
      </c>
      <c r="NQM23" s="92">
        <v>0</v>
      </c>
      <c r="NQN23" s="92">
        <v>0</v>
      </c>
      <c r="NQO23" s="92">
        <v>0</v>
      </c>
      <c r="NQP23" s="92">
        <v>0</v>
      </c>
      <c r="NQQ23" s="92">
        <v>0</v>
      </c>
      <c r="NQR23" s="92">
        <v>0</v>
      </c>
      <c r="NQS23" s="92">
        <v>0</v>
      </c>
      <c r="NQT23" s="92">
        <v>0</v>
      </c>
      <c r="NQU23" s="92">
        <v>0</v>
      </c>
      <c r="NQV23" s="92">
        <v>0</v>
      </c>
      <c r="NQW23" s="92">
        <v>0</v>
      </c>
      <c r="NQX23" s="92">
        <v>0</v>
      </c>
      <c r="NQY23" s="92">
        <v>0</v>
      </c>
      <c r="NQZ23" s="92">
        <v>0</v>
      </c>
      <c r="NRA23" s="92">
        <v>0</v>
      </c>
      <c r="NRB23" s="92">
        <v>0</v>
      </c>
      <c r="NRC23" s="92">
        <v>0</v>
      </c>
      <c r="NRD23" s="92">
        <v>0</v>
      </c>
      <c r="NRE23" s="92">
        <v>0</v>
      </c>
      <c r="NRF23" s="92">
        <v>0</v>
      </c>
      <c r="NRG23" s="92">
        <v>0</v>
      </c>
      <c r="NRH23" s="92">
        <v>0</v>
      </c>
      <c r="NRI23" s="92">
        <v>0</v>
      </c>
      <c r="NRJ23" s="92">
        <v>0</v>
      </c>
      <c r="NRK23" s="92">
        <v>0</v>
      </c>
      <c r="NRL23" s="92">
        <v>0</v>
      </c>
      <c r="NRM23" s="92">
        <v>0</v>
      </c>
      <c r="NRN23" s="92">
        <v>0</v>
      </c>
      <c r="NRO23" s="92">
        <v>0</v>
      </c>
      <c r="NRP23" s="92">
        <v>0</v>
      </c>
      <c r="NRQ23" s="92">
        <v>0</v>
      </c>
      <c r="NRR23" s="92">
        <v>0</v>
      </c>
      <c r="NRS23" s="92">
        <v>0</v>
      </c>
      <c r="NRT23" s="92">
        <v>0</v>
      </c>
      <c r="NRU23" s="92">
        <v>0</v>
      </c>
      <c r="NRV23" s="92">
        <v>0</v>
      </c>
      <c r="NRW23" s="92">
        <v>0</v>
      </c>
      <c r="NRX23" s="92">
        <v>0</v>
      </c>
      <c r="NRY23" s="92">
        <v>0</v>
      </c>
      <c r="NRZ23" s="92">
        <v>0</v>
      </c>
      <c r="NSA23" s="92">
        <v>0</v>
      </c>
      <c r="NSB23" s="92">
        <v>0</v>
      </c>
      <c r="NSC23" s="92">
        <v>0</v>
      </c>
      <c r="NSD23" s="92">
        <v>0</v>
      </c>
      <c r="NSE23" s="92">
        <v>0</v>
      </c>
      <c r="NSF23" s="92">
        <v>0</v>
      </c>
      <c r="NSG23" s="92">
        <v>0</v>
      </c>
      <c r="NSH23" s="92">
        <v>0</v>
      </c>
      <c r="NSI23" s="92">
        <v>0</v>
      </c>
      <c r="NSJ23" s="92">
        <v>0</v>
      </c>
      <c r="NSK23" s="92">
        <v>0</v>
      </c>
      <c r="NSL23" s="92">
        <v>0</v>
      </c>
      <c r="NSM23" s="92">
        <v>0</v>
      </c>
      <c r="NSN23" s="92">
        <v>0</v>
      </c>
      <c r="NSO23" s="92">
        <v>0</v>
      </c>
      <c r="NSP23" s="92">
        <v>0</v>
      </c>
      <c r="NSQ23" s="92">
        <v>0</v>
      </c>
      <c r="NSR23" s="92">
        <v>0</v>
      </c>
      <c r="NSS23" s="92">
        <v>0</v>
      </c>
      <c r="NST23" s="92">
        <v>0</v>
      </c>
      <c r="NSU23" s="92">
        <v>0</v>
      </c>
      <c r="NSV23" s="92">
        <v>0</v>
      </c>
      <c r="NSW23" s="92">
        <v>0</v>
      </c>
      <c r="NSX23" s="92">
        <v>0</v>
      </c>
      <c r="NSY23" s="92">
        <v>0</v>
      </c>
      <c r="NSZ23" s="92">
        <v>0</v>
      </c>
      <c r="NTA23" s="92">
        <v>0</v>
      </c>
      <c r="NTB23" s="92">
        <v>0</v>
      </c>
      <c r="NTC23" s="92">
        <v>0</v>
      </c>
      <c r="NTD23" s="92">
        <v>0</v>
      </c>
      <c r="NTE23" s="92">
        <v>0</v>
      </c>
      <c r="NTF23" s="92">
        <v>0</v>
      </c>
      <c r="NTG23" s="92">
        <v>0</v>
      </c>
      <c r="NTH23" s="92">
        <v>0</v>
      </c>
      <c r="NTI23" s="92">
        <v>0</v>
      </c>
      <c r="NTJ23" s="92">
        <v>0</v>
      </c>
      <c r="NTK23" s="92">
        <v>0</v>
      </c>
      <c r="NTL23" s="92">
        <v>0</v>
      </c>
      <c r="NTM23" s="92">
        <v>0</v>
      </c>
      <c r="NTN23" s="92">
        <v>0</v>
      </c>
      <c r="NTO23" s="92">
        <v>0</v>
      </c>
      <c r="NTP23" s="92">
        <v>0</v>
      </c>
      <c r="NTQ23" s="92">
        <v>0</v>
      </c>
      <c r="NTR23" s="92">
        <v>0</v>
      </c>
      <c r="NTS23" s="92">
        <v>0</v>
      </c>
      <c r="NTT23" s="92">
        <v>0</v>
      </c>
      <c r="NTU23" s="92">
        <v>0</v>
      </c>
      <c r="NTV23" s="92">
        <v>0</v>
      </c>
      <c r="NTW23" s="92">
        <v>0</v>
      </c>
      <c r="NTX23" s="92">
        <v>0</v>
      </c>
      <c r="NTY23" s="92">
        <v>0</v>
      </c>
      <c r="NTZ23" s="92">
        <v>0</v>
      </c>
      <c r="NUA23" s="92">
        <v>0</v>
      </c>
      <c r="NUB23" s="92">
        <v>0</v>
      </c>
      <c r="NUC23" s="92">
        <v>0</v>
      </c>
      <c r="NUD23" s="92">
        <v>0</v>
      </c>
      <c r="NUE23" s="92">
        <v>0</v>
      </c>
      <c r="NUF23" s="92">
        <v>0</v>
      </c>
      <c r="NUG23" s="92">
        <v>0</v>
      </c>
      <c r="NUH23" s="92">
        <v>0</v>
      </c>
      <c r="NUI23" s="92">
        <v>0</v>
      </c>
      <c r="NUJ23" s="92">
        <v>0</v>
      </c>
      <c r="NUK23" s="92">
        <v>0</v>
      </c>
      <c r="NUL23" s="92">
        <v>0</v>
      </c>
      <c r="NUM23" s="92">
        <v>0</v>
      </c>
      <c r="NUN23" s="92">
        <v>0</v>
      </c>
      <c r="NUO23" s="92">
        <v>0</v>
      </c>
      <c r="NUP23" s="92">
        <v>0</v>
      </c>
      <c r="NUQ23" s="92">
        <v>0</v>
      </c>
      <c r="NUR23" s="92">
        <v>0</v>
      </c>
      <c r="NUS23" s="92">
        <v>0</v>
      </c>
      <c r="NUT23" s="92">
        <v>0</v>
      </c>
      <c r="NUU23" s="92">
        <v>0</v>
      </c>
      <c r="NUV23" s="92">
        <v>0</v>
      </c>
      <c r="NUW23" s="92">
        <v>0</v>
      </c>
      <c r="NUX23" s="92">
        <v>0</v>
      </c>
      <c r="NUY23" s="92">
        <v>0</v>
      </c>
      <c r="NUZ23" s="92">
        <v>0</v>
      </c>
      <c r="NVA23" s="92">
        <v>0</v>
      </c>
      <c r="NVB23" s="92">
        <v>0</v>
      </c>
      <c r="NVC23" s="92">
        <v>0</v>
      </c>
      <c r="NVD23" s="92">
        <v>0</v>
      </c>
      <c r="NVE23" s="92">
        <v>0</v>
      </c>
      <c r="NVF23" s="92">
        <v>0</v>
      </c>
      <c r="NVG23" s="92">
        <v>0</v>
      </c>
      <c r="NVH23" s="92">
        <v>0</v>
      </c>
      <c r="NVI23" s="92">
        <v>0</v>
      </c>
      <c r="NVJ23" s="92">
        <v>0</v>
      </c>
      <c r="NVK23" s="92">
        <v>0</v>
      </c>
      <c r="NVL23" s="92">
        <v>0</v>
      </c>
      <c r="NVM23" s="92">
        <v>0</v>
      </c>
      <c r="NVN23" s="92">
        <v>0</v>
      </c>
      <c r="NVO23" s="92">
        <v>0</v>
      </c>
      <c r="NVP23" s="92">
        <v>0</v>
      </c>
      <c r="NVQ23" s="92">
        <v>0</v>
      </c>
      <c r="NVR23" s="92">
        <v>0</v>
      </c>
      <c r="NVS23" s="92">
        <v>0</v>
      </c>
      <c r="NVT23" s="92">
        <v>0</v>
      </c>
      <c r="NVU23" s="92">
        <v>0</v>
      </c>
      <c r="NVV23" s="92">
        <v>0</v>
      </c>
      <c r="NVW23" s="92">
        <v>0</v>
      </c>
      <c r="NVX23" s="92">
        <v>0</v>
      </c>
      <c r="NVY23" s="92">
        <v>0</v>
      </c>
      <c r="NVZ23" s="92">
        <v>0</v>
      </c>
      <c r="NWA23" s="92">
        <v>0</v>
      </c>
      <c r="NWB23" s="92">
        <v>0</v>
      </c>
      <c r="NWC23" s="92">
        <v>0</v>
      </c>
      <c r="NWD23" s="92">
        <v>0</v>
      </c>
      <c r="NWE23" s="92">
        <v>0</v>
      </c>
      <c r="NWF23" s="92">
        <v>0</v>
      </c>
      <c r="NWG23" s="92">
        <v>0</v>
      </c>
      <c r="NWH23" s="92">
        <v>0</v>
      </c>
      <c r="NWI23" s="92">
        <v>0</v>
      </c>
      <c r="NWJ23" s="92">
        <v>0</v>
      </c>
      <c r="NWK23" s="92">
        <v>0</v>
      </c>
      <c r="NWL23" s="92">
        <v>0</v>
      </c>
      <c r="NWM23" s="92">
        <v>0</v>
      </c>
      <c r="NWN23" s="92">
        <v>0</v>
      </c>
      <c r="NWO23" s="92">
        <v>0</v>
      </c>
      <c r="NWP23" s="92">
        <v>0</v>
      </c>
      <c r="NWQ23" s="92">
        <v>0</v>
      </c>
      <c r="NWR23" s="92">
        <v>0</v>
      </c>
      <c r="NWS23" s="92">
        <v>0</v>
      </c>
      <c r="NWT23" s="92">
        <v>0</v>
      </c>
      <c r="NWU23" s="92">
        <v>0</v>
      </c>
      <c r="NWV23" s="92">
        <v>0</v>
      </c>
      <c r="NWW23" s="92">
        <v>0</v>
      </c>
      <c r="NWX23" s="92">
        <v>0</v>
      </c>
      <c r="NWY23" s="92">
        <v>0</v>
      </c>
      <c r="NWZ23" s="92">
        <v>0</v>
      </c>
      <c r="NXA23" s="92">
        <v>0</v>
      </c>
      <c r="NXB23" s="92">
        <v>0</v>
      </c>
      <c r="NXC23" s="92">
        <v>0</v>
      </c>
      <c r="NXD23" s="92">
        <v>0</v>
      </c>
      <c r="NXE23" s="92">
        <v>0</v>
      </c>
      <c r="NXF23" s="92">
        <v>0</v>
      </c>
      <c r="NXG23" s="92">
        <v>0</v>
      </c>
      <c r="NXH23" s="92">
        <v>0</v>
      </c>
      <c r="NXI23" s="92">
        <v>0</v>
      </c>
      <c r="NXJ23" s="92">
        <v>0</v>
      </c>
      <c r="NXK23" s="92">
        <v>0</v>
      </c>
      <c r="NXL23" s="92">
        <v>0</v>
      </c>
      <c r="NXM23" s="92">
        <v>0</v>
      </c>
      <c r="NXN23" s="92">
        <v>0</v>
      </c>
      <c r="NXO23" s="92">
        <v>0</v>
      </c>
      <c r="NXP23" s="92">
        <v>0</v>
      </c>
      <c r="NXQ23" s="92">
        <v>0</v>
      </c>
      <c r="NXR23" s="92">
        <v>0</v>
      </c>
      <c r="NXS23" s="92">
        <v>0</v>
      </c>
      <c r="NXT23" s="92">
        <v>0</v>
      </c>
      <c r="NXU23" s="92">
        <v>0</v>
      </c>
      <c r="NXV23" s="92">
        <v>0</v>
      </c>
      <c r="NXW23" s="92">
        <v>0</v>
      </c>
      <c r="NXX23" s="92">
        <v>0</v>
      </c>
      <c r="NXY23" s="92">
        <v>0</v>
      </c>
      <c r="NXZ23" s="92">
        <v>0</v>
      </c>
      <c r="NYA23" s="92">
        <v>0</v>
      </c>
      <c r="NYB23" s="92">
        <v>0</v>
      </c>
      <c r="NYC23" s="92">
        <v>0</v>
      </c>
      <c r="NYD23" s="92">
        <v>0</v>
      </c>
      <c r="NYE23" s="92">
        <v>0</v>
      </c>
      <c r="NYF23" s="92">
        <v>0</v>
      </c>
      <c r="NYG23" s="92">
        <v>0</v>
      </c>
      <c r="NYH23" s="92">
        <v>0</v>
      </c>
      <c r="NYI23" s="92">
        <v>0</v>
      </c>
      <c r="NYJ23" s="92">
        <v>0</v>
      </c>
      <c r="NYK23" s="92">
        <v>0</v>
      </c>
      <c r="NYL23" s="92">
        <v>0</v>
      </c>
      <c r="NYM23" s="92">
        <v>0</v>
      </c>
      <c r="NYN23" s="92">
        <v>0</v>
      </c>
      <c r="NYO23" s="92">
        <v>0</v>
      </c>
      <c r="NYP23" s="92">
        <v>0</v>
      </c>
      <c r="NYQ23" s="92">
        <v>0</v>
      </c>
      <c r="NYR23" s="92">
        <v>0</v>
      </c>
      <c r="NYS23" s="92">
        <v>0</v>
      </c>
      <c r="NYT23" s="92">
        <v>0</v>
      </c>
      <c r="NYU23" s="92">
        <v>0</v>
      </c>
      <c r="NYV23" s="92">
        <v>0</v>
      </c>
      <c r="NYW23" s="92">
        <v>0</v>
      </c>
      <c r="NYX23" s="92">
        <v>0</v>
      </c>
      <c r="NYY23" s="92">
        <v>0</v>
      </c>
      <c r="NYZ23" s="92">
        <v>0</v>
      </c>
      <c r="NZA23" s="92">
        <v>0</v>
      </c>
      <c r="NZB23" s="92">
        <v>0</v>
      </c>
      <c r="NZC23" s="92">
        <v>0</v>
      </c>
      <c r="NZD23" s="92">
        <v>0</v>
      </c>
      <c r="NZE23" s="92">
        <v>0</v>
      </c>
      <c r="NZF23" s="92">
        <v>0</v>
      </c>
      <c r="NZG23" s="92">
        <v>0</v>
      </c>
      <c r="NZH23" s="92">
        <v>0</v>
      </c>
      <c r="NZI23" s="92">
        <v>0</v>
      </c>
      <c r="NZJ23" s="92">
        <v>0</v>
      </c>
      <c r="NZK23" s="92">
        <v>0</v>
      </c>
      <c r="NZL23" s="92">
        <v>0</v>
      </c>
      <c r="NZM23" s="92">
        <v>0</v>
      </c>
      <c r="NZN23" s="92">
        <v>0</v>
      </c>
      <c r="NZO23" s="92">
        <v>0</v>
      </c>
      <c r="NZP23" s="92">
        <v>0</v>
      </c>
      <c r="NZQ23" s="92">
        <v>0</v>
      </c>
      <c r="NZR23" s="92">
        <v>0</v>
      </c>
      <c r="NZS23" s="92">
        <v>0</v>
      </c>
      <c r="NZT23" s="92">
        <v>0</v>
      </c>
      <c r="NZU23" s="92">
        <v>0</v>
      </c>
      <c r="NZV23" s="92">
        <v>0</v>
      </c>
      <c r="NZW23" s="92">
        <v>0</v>
      </c>
      <c r="NZX23" s="92">
        <v>0</v>
      </c>
      <c r="NZY23" s="92">
        <v>0</v>
      </c>
      <c r="NZZ23" s="92">
        <v>0</v>
      </c>
      <c r="OAA23" s="92">
        <v>0</v>
      </c>
      <c r="OAB23" s="92">
        <v>0</v>
      </c>
      <c r="OAC23" s="92">
        <v>0</v>
      </c>
      <c r="OAD23" s="92">
        <v>0</v>
      </c>
      <c r="OAE23" s="92">
        <v>0</v>
      </c>
      <c r="OAF23" s="92">
        <v>0</v>
      </c>
      <c r="OAG23" s="92">
        <v>0</v>
      </c>
      <c r="OAH23" s="92">
        <v>0</v>
      </c>
      <c r="OAI23" s="92">
        <v>0</v>
      </c>
      <c r="OAJ23" s="92">
        <v>0</v>
      </c>
      <c r="OAK23" s="92">
        <v>0</v>
      </c>
      <c r="OAL23" s="92">
        <v>0</v>
      </c>
      <c r="OAM23" s="92">
        <v>0</v>
      </c>
      <c r="OAN23" s="92">
        <v>0</v>
      </c>
      <c r="OAO23" s="92">
        <v>0</v>
      </c>
      <c r="OAP23" s="92">
        <v>0</v>
      </c>
      <c r="OAQ23" s="92">
        <v>0</v>
      </c>
      <c r="OAR23" s="92">
        <v>0</v>
      </c>
      <c r="OAS23" s="92">
        <v>0</v>
      </c>
      <c r="OAT23" s="92">
        <v>0</v>
      </c>
      <c r="OAU23" s="92">
        <v>0</v>
      </c>
      <c r="OAV23" s="92">
        <v>0</v>
      </c>
      <c r="OAW23" s="92">
        <v>0</v>
      </c>
      <c r="OAX23" s="92">
        <v>0</v>
      </c>
      <c r="OAY23" s="92">
        <v>0</v>
      </c>
      <c r="OAZ23" s="92">
        <v>0</v>
      </c>
      <c r="OBA23" s="92">
        <v>0</v>
      </c>
      <c r="OBB23" s="92">
        <v>0</v>
      </c>
      <c r="OBC23" s="92">
        <v>0</v>
      </c>
      <c r="OBD23" s="92">
        <v>0</v>
      </c>
      <c r="OBE23" s="92">
        <v>0</v>
      </c>
      <c r="OBF23" s="92">
        <v>0</v>
      </c>
      <c r="OBG23" s="92">
        <v>0</v>
      </c>
      <c r="OBH23" s="92">
        <v>0</v>
      </c>
      <c r="OBI23" s="92">
        <v>0</v>
      </c>
      <c r="OBJ23" s="92">
        <v>0</v>
      </c>
      <c r="OBK23" s="92">
        <v>0</v>
      </c>
      <c r="OBL23" s="92">
        <v>0</v>
      </c>
      <c r="OBM23" s="92">
        <v>0</v>
      </c>
      <c r="OBN23" s="92">
        <v>0</v>
      </c>
      <c r="OBO23" s="92">
        <v>0</v>
      </c>
      <c r="OBP23" s="92">
        <v>0</v>
      </c>
      <c r="OBQ23" s="92">
        <v>0</v>
      </c>
      <c r="OBR23" s="92">
        <v>0</v>
      </c>
      <c r="OBS23" s="92">
        <v>0</v>
      </c>
      <c r="OBT23" s="92">
        <v>0</v>
      </c>
      <c r="OBU23" s="92">
        <v>0</v>
      </c>
      <c r="OBV23" s="92">
        <v>0</v>
      </c>
      <c r="OBW23" s="92">
        <v>0</v>
      </c>
      <c r="OBX23" s="92">
        <v>0</v>
      </c>
      <c r="OBY23" s="92">
        <v>0</v>
      </c>
      <c r="OBZ23" s="92">
        <v>0</v>
      </c>
      <c r="OCA23" s="92">
        <v>0</v>
      </c>
      <c r="OCB23" s="92">
        <v>0</v>
      </c>
      <c r="OCC23" s="92">
        <v>0</v>
      </c>
      <c r="OCD23" s="92">
        <v>0</v>
      </c>
      <c r="OCE23" s="92">
        <v>0</v>
      </c>
      <c r="OCF23" s="92">
        <v>0</v>
      </c>
      <c r="OCG23" s="92">
        <v>0</v>
      </c>
      <c r="OCH23" s="92">
        <v>0</v>
      </c>
      <c r="OCI23" s="92">
        <v>0</v>
      </c>
      <c r="OCJ23" s="92">
        <v>0</v>
      </c>
      <c r="OCK23" s="92">
        <v>0</v>
      </c>
      <c r="OCL23" s="92">
        <v>0</v>
      </c>
      <c r="OCM23" s="92">
        <v>0</v>
      </c>
      <c r="OCN23" s="92">
        <v>0</v>
      </c>
      <c r="OCO23" s="92">
        <v>0</v>
      </c>
      <c r="OCP23" s="92">
        <v>0</v>
      </c>
      <c r="OCQ23" s="92">
        <v>0</v>
      </c>
      <c r="OCR23" s="92">
        <v>0</v>
      </c>
      <c r="OCS23" s="92">
        <v>0</v>
      </c>
      <c r="OCT23" s="92">
        <v>0</v>
      </c>
      <c r="OCU23" s="92">
        <v>0</v>
      </c>
      <c r="OCV23" s="92">
        <v>0</v>
      </c>
      <c r="OCW23" s="92">
        <v>0</v>
      </c>
      <c r="OCX23" s="92">
        <v>0</v>
      </c>
      <c r="OCY23" s="92">
        <v>0</v>
      </c>
      <c r="OCZ23" s="92">
        <v>0</v>
      </c>
      <c r="ODA23" s="92">
        <v>0</v>
      </c>
      <c r="ODB23" s="92">
        <v>0</v>
      </c>
      <c r="ODC23" s="92">
        <v>0</v>
      </c>
      <c r="ODD23" s="92">
        <v>0</v>
      </c>
      <c r="ODE23" s="92">
        <v>0</v>
      </c>
      <c r="ODF23" s="92">
        <v>0</v>
      </c>
      <c r="ODG23" s="92">
        <v>0</v>
      </c>
      <c r="ODH23" s="92">
        <v>0</v>
      </c>
      <c r="ODI23" s="92">
        <v>0</v>
      </c>
      <c r="ODJ23" s="92">
        <v>0</v>
      </c>
      <c r="ODK23" s="92">
        <v>0</v>
      </c>
      <c r="ODL23" s="92">
        <v>0</v>
      </c>
      <c r="ODM23" s="92">
        <v>0</v>
      </c>
      <c r="ODN23" s="92">
        <v>0</v>
      </c>
      <c r="ODO23" s="92">
        <v>0</v>
      </c>
      <c r="ODP23" s="92">
        <v>0</v>
      </c>
      <c r="ODQ23" s="92">
        <v>0</v>
      </c>
      <c r="ODR23" s="92">
        <v>0</v>
      </c>
      <c r="ODS23" s="92">
        <v>0</v>
      </c>
      <c r="ODT23" s="92">
        <v>0</v>
      </c>
      <c r="ODU23" s="92">
        <v>0</v>
      </c>
      <c r="ODV23" s="92">
        <v>0</v>
      </c>
      <c r="ODW23" s="92">
        <v>0</v>
      </c>
      <c r="ODX23" s="92">
        <v>0</v>
      </c>
      <c r="ODY23" s="92">
        <v>0</v>
      </c>
      <c r="ODZ23" s="92">
        <v>0</v>
      </c>
      <c r="OEA23" s="92">
        <v>0</v>
      </c>
      <c r="OEB23" s="92">
        <v>0</v>
      </c>
      <c r="OEC23" s="92">
        <v>0</v>
      </c>
      <c r="OED23" s="92">
        <v>0</v>
      </c>
      <c r="OEE23" s="92">
        <v>0</v>
      </c>
      <c r="OEF23" s="92">
        <v>0</v>
      </c>
      <c r="OEG23" s="92">
        <v>0</v>
      </c>
      <c r="OEH23" s="92">
        <v>0</v>
      </c>
      <c r="OEI23" s="92">
        <v>0</v>
      </c>
      <c r="OEJ23" s="92">
        <v>0</v>
      </c>
      <c r="OEK23" s="92">
        <v>0</v>
      </c>
      <c r="OEL23" s="92">
        <v>0</v>
      </c>
      <c r="OEM23" s="92">
        <v>0</v>
      </c>
      <c r="OEN23" s="92">
        <v>0</v>
      </c>
      <c r="OEO23" s="92">
        <v>0</v>
      </c>
      <c r="OEP23" s="92">
        <v>0</v>
      </c>
      <c r="OEQ23" s="92">
        <v>0</v>
      </c>
      <c r="OER23" s="92">
        <v>0</v>
      </c>
      <c r="OES23" s="92">
        <v>0</v>
      </c>
      <c r="OET23" s="92">
        <v>0</v>
      </c>
      <c r="OEU23" s="92">
        <v>0</v>
      </c>
      <c r="OEV23" s="92">
        <v>0</v>
      </c>
      <c r="OEW23" s="92">
        <v>0</v>
      </c>
      <c r="OEX23" s="92">
        <v>0</v>
      </c>
      <c r="OEY23" s="92">
        <v>0</v>
      </c>
      <c r="OEZ23" s="92">
        <v>0</v>
      </c>
      <c r="OFA23" s="92">
        <v>0</v>
      </c>
      <c r="OFB23" s="92">
        <v>0</v>
      </c>
      <c r="OFC23" s="92">
        <v>0</v>
      </c>
      <c r="OFD23" s="92">
        <v>0</v>
      </c>
      <c r="OFE23" s="92">
        <v>0</v>
      </c>
      <c r="OFF23" s="92">
        <v>0</v>
      </c>
      <c r="OFG23" s="92">
        <v>0</v>
      </c>
      <c r="OFH23" s="92">
        <v>0</v>
      </c>
      <c r="OFI23" s="92">
        <v>0</v>
      </c>
      <c r="OFJ23" s="92">
        <v>0</v>
      </c>
      <c r="OFK23" s="92">
        <v>0</v>
      </c>
      <c r="OFL23" s="92">
        <v>0</v>
      </c>
      <c r="OFM23" s="92">
        <v>0</v>
      </c>
      <c r="OFN23" s="92">
        <v>0</v>
      </c>
      <c r="OFO23" s="92">
        <v>0</v>
      </c>
      <c r="OFP23" s="92">
        <v>0</v>
      </c>
      <c r="OFQ23" s="92">
        <v>0</v>
      </c>
      <c r="OFR23" s="92">
        <v>0</v>
      </c>
      <c r="OFS23" s="92">
        <v>0</v>
      </c>
      <c r="OFT23" s="92">
        <v>0</v>
      </c>
      <c r="OFU23" s="92">
        <v>0</v>
      </c>
      <c r="OFV23" s="92">
        <v>0</v>
      </c>
      <c r="OFW23" s="92">
        <v>0</v>
      </c>
      <c r="OFX23" s="92">
        <v>0</v>
      </c>
      <c r="OFY23" s="92">
        <v>0</v>
      </c>
      <c r="OFZ23" s="92">
        <v>0</v>
      </c>
      <c r="OGA23" s="92">
        <v>0</v>
      </c>
      <c r="OGB23" s="92">
        <v>0</v>
      </c>
      <c r="OGC23" s="92">
        <v>0</v>
      </c>
      <c r="OGD23" s="92">
        <v>0</v>
      </c>
      <c r="OGE23" s="92">
        <v>0</v>
      </c>
      <c r="OGF23" s="92">
        <v>0</v>
      </c>
      <c r="OGG23" s="92">
        <v>0</v>
      </c>
      <c r="OGH23" s="92">
        <v>0</v>
      </c>
      <c r="OGI23" s="92">
        <v>0</v>
      </c>
      <c r="OGJ23" s="92">
        <v>0</v>
      </c>
      <c r="OGK23" s="92">
        <v>0</v>
      </c>
      <c r="OGL23" s="92">
        <v>0</v>
      </c>
      <c r="OGM23" s="92">
        <v>0</v>
      </c>
      <c r="OGN23" s="92">
        <v>0</v>
      </c>
      <c r="OGO23" s="92">
        <v>0</v>
      </c>
      <c r="OGP23" s="92">
        <v>0</v>
      </c>
      <c r="OGQ23" s="92">
        <v>0</v>
      </c>
      <c r="OGR23" s="92">
        <v>0</v>
      </c>
      <c r="OGS23" s="92">
        <v>0</v>
      </c>
      <c r="OGT23" s="92">
        <v>0</v>
      </c>
      <c r="OGU23" s="92">
        <v>0</v>
      </c>
      <c r="OGV23" s="92">
        <v>0</v>
      </c>
      <c r="OGW23" s="92">
        <v>0</v>
      </c>
      <c r="OGX23" s="92">
        <v>0</v>
      </c>
      <c r="OGY23" s="92">
        <v>0</v>
      </c>
      <c r="OGZ23" s="92">
        <v>0</v>
      </c>
      <c r="OHA23" s="92">
        <v>0</v>
      </c>
      <c r="OHB23" s="92">
        <v>0</v>
      </c>
      <c r="OHC23" s="92">
        <v>0</v>
      </c>
      <c r="OHD23" s="92">
        <v>0</v>
      </c>
      <c r="OHE23" s="92">
        <v>0</v>
      </c>
      <c r="OHF23" s="92">
        <v>0</v>
      </c>
      <c r="OHG23" s="92">
        <v>0</v>
      </c>
      <c r="OHH23" s="92">
        <v>0</v>
      </c>
      <c r="OHI23" s="92">
        <v>0</v>
      </c>
      <c r="OHJ23" s="92">
        <v>0</v>
      </c>
      <c r="OHK23" s="92">
        <v>0</v>
      </c>
      <c r="OHL23" s="92">
        <v>0</v>
      </c>
      <c r="OHM23" s="92">
        <v>0</v>
      </c>
      <c r="OHN23" s="92">
        <v>0</v>
      </c>
      <c r="OHO23" s="92">
        <v>0</v>
      </c>
      <c r="OHP23" s="92">
        <v>0</v>
      </c>
      <c r="OHQ23" s="92">
        <v>0</v>
      </c>
      <c r="OHR23" s="92">
        <v>0</v>
      </c>
      <c r="OHS23" s="92">
        <v>0</v>
      </c>
      <c r="OHT23" s="92">
        <v>0</v>
      </c>
      <c r="OHU23" s="92">
        <v>0</v>
      </c>
      <c r="OHV23" s="92">
        <v>0</v>
      </c>
      <c r="OHW23" s="92">
        <v>0</v>
      </c>
      <c r="OHX23" s="92">
        <v>0</v>
      </c>
      <c r="OHY23" s="92">
        <v>0</v>
      </c>
      <c r="OHZ23" s="92">
        <v>0</v>
      </c>
      <c r="OIA23" s="92">
        <v>0</v>
      </c>
      <c r="OIB23" s="92">
        <v>0</v>
      </c>
      <c r="OIC23" s="92">
        <v>0</v>
      </c>
      <c r="OID23" s="92">
        <v>0</v>
      </c>
      <c r="OIE23" s="92">
        <v>0</v>
      </c>
      <c r="OIF23" s="92">
        <v>0</v>
      </c>
      <c r="OIG23" s="92">
        <v>0</v>
      </c>
      <c r="OIH23" s="92">
        <v>0</v>
      </c>
      <c r="OII23" s="92">
        <v>0</v>
      </c>
      <c r="OIJ23" s="92">
        <v>0</v>
      </c>
      <c r="OIK23" s="92">
        <v>0</v>
      </c>
      <c r="OIL23" s="92">
        <v>0</v>
      </c>
      <c r="OIM23" s="92">
        <v>0</v>
      </c>
      <c r="OIN23" s="92">
        <v>0</v>
      </c>
      <c r="OIO23" s="92">
        <v>0</v>
      </c>
      <c r="OIP23" s="92">
        <v>0</v>
      </c>
      <c r="OIQ23" s="92">
        <v>0</v>
      </c>
      <c r="OIR23" s="92">
        <v>0</v>
      </c>
      <c r="OIS23" s="92">
        <v>0</v>
      </c>
      <c r="OIT23" s="92">
        <v>0</v>
      </c>
      <c r="OIU23" s="92">
        <v>0</v>
      </c>
      <c r="OIV23" s="92">
        <v>0</v>
      </c>
      <c r="OIW23" s="92">
        <v>0</v>
      </c>
      <c r="OIX23" s="92">
        <v>0</v>
      </c>
      <c r="OIY23" s="92">
        <v>0</v>
      </c>
      <c r="OIZ23" s="92">
        <v>0</v>
      </c>
      <c r="OJA23" s="92">
        <v>0</v>
      </c>
      <c r="OJB23" s="92">
        <v>0</v>
      </c>
      <c r="OJC23" s="92">
        <v>0</v>
      </c>
      <c r="OJD23" s="92">
        <v>0</v>
      </c>
      <c r="OJE23" s="92">
        <v>0</v>
      </c>
      <c r="OJF23" s="92">
        <v>0</v>
      </c>
      <c r="OJG23" s="92">
        <v>0</v>
      </c>
      <c r="OJH23" s="92">
        <v>0</v>
      </c>
      <c r="OJI23" s="92">
        <v>0</v>
      </c>
      <c r="OJJ23" s="92">
        <v>0</v>
      </c>
      <c r="OJK23" s="92">
        <v>0</v>
      </c>
      <c r="OJL23" s="92">
        <v>0</v>
      </c>
      <c r="OJM23" s="92">
        <v>0</v>
      </c>
      <c r="OJN23" s="92">
        <v>0</v>
      </c>
      <c r="OJO23" s="92">
        <v>0</v>
      </c>
      <c r="OJP23" s="92">
        <v>0</v>
      </c>
      <c r="OJQ23" s="92">
        <v>0</v>
      </c>
      <c r="OJR23" s="92">
        <v>0</v>
      </c>
      <c r="OJS23" s="92">
        <v>0</v>
      </c>
      <c r="OJT23" s="92">
        <v>0</v>
      </c>
      <c r="OJU23" s="92">
        <v>0</v>
      </c>
      <c r="OJV23" s="92">
        <v>0</v>
      </c>
      <c r="OJW23" s="92">
        <v>0</v>
      </c>
      <c r="OJX23" s="92">
        <v>0</v>
      </c>
      <c r="OJY23" s="92">
        <v>0</v>
      </c>
      <c r="OJZ23" s="92">
        <v>0</v>
      </c>
      <c r="OKA23" s="92">
        <v>0</v>
      </c>
      <c r="OKB23" s="92">
        <v>0</v>
      </c>
      <c r="OKC23" s="92">
        <v>0</v>
      </c>
      <c r="OKD23" s="92">
        <v>0</v>
      </c>
      <c r="OKE23" s="92">
        <v>0</v>
      </c>
      <c r="OKF23" s="92">
        <v>0</v>
      </c>
      <c r="OKG23" s="92">
        <v>0</v>
      </c>
      <c r="OKH23" s="92">
        <v>0</v>
      </c>
      <c r="OKI23" s="92">
        <v>0</v>
      </c>
      <c r="OKJ23" s="92">
        <v>0</v>
      </c>
      <c r="OKK23" s="92">
        <v>0</v>
      </c>
      <c r="OKL23" s="92">
        <v>0</v>
      </c>
      <c r="OKM23" s="92">
        <v>0</v>
      </c>
      <c r="OKN23" s="92">
        <v>0</v>
      </c>
      <c r="OKO23" s="92">
        <v>0</v>
      </c>
      <c r="OKP23" s="92">
        <v>0</v>
      </c>
      <c r="OKQ23" s="92">
        <v>0</v>
      </c>
      <c r="OKR23" s="92">
        <v>0</v>
      </c>
      <c r="OKS23" s="92">
        <v>0</v>
      </c>
      <c r="OKT23" s="92">
        <v>0</v>
      </c>
      <c r="OKU23" s="92">
        <v>0</v>
      </c>
      <c r="OKV23" s="92">
        <v>0</v>
      </c>
      <c r="OKW23" s="92">
        <v>0</v>
      </c>
      <c r="OKX23" s="92">
        <v>0</v>
      </c>
      <c r="OKY23" s="92">
        <v>0</v>
      </c>
      <c r="OKZ23" s="92">
        <v>0</v>
      </c>
      <c r="OLA23" s="92">
        <v>0</v>
      </c>
      <c r="OLB23" s="92">
        <v>0</v>
      </c>
      <c r="OLC23" s="92">
        <v>0</v>
      </c>
      <c r="OLD23" s="92">
        <v>0</v>
      </c>
      <c r="OLE23" s="92">
        <v>0</v>
      </c>
      <c r="OLF23" s="92">
        <v>0</v>
      </c>
      <c r="OLG23" s="92">
        <v>0</v>
      </c>
      <c r="OLH23" s="92">
        <v>0</v>
      </c>
      <c r="OLI23" s="92">
        <v>0</v>
      </c>
      <c r="OLJ23" s="92">
        <v>0</v>
      </c>
      <c r="OLK23" s="92">
        <v>0</v>
      </c>
      <c r="OLL23" s="92">
        <v>0</v>
      </c>
      <c r="OLM23" s="92">
        <v>0</v>
      </c>
      <c r="OLN23" s="92">
        <v>0</v>
      </c>
      <c r="OLO23" s="92">
        <v>0</v>
      </c>
      <c r="OLP23" s="92">
        <v>0</v>
      </c>
      <c r="OLQ23" s="92">
        <v>0</v>
      </c>
      <c r="OLR23" s="92">
        <v>0</v>
      </c>
      <c r="OLS23" s="92">
        <v>0</v>
      </c>
      <c r="OLT23" s="92">
        <v>0</v>
      </c>
      <c r="OLU23" s="92">
        <v>0</v>
      </c>
      <c r="OLV23" s="92">
        <v>0</v>
      </c>
      <c r="OLW23" s="92">
        <v>0</v>
      </c>
      <c r="OLX23" s="92">
        <v>0</v>
      </c>
      <c r="OLY23" s="92">
        <v>0</v>
      </c>
      <c r="OLZ23" s="92">
        <v>0</v>
      </c>
      <c r="OMA23" s="92">
        <v>0</v>
      </c>
      <c r="OMB23" s="92">
        <v>0</v>
      </c>
      <c r="OMC23" s="92">
        <v>0</v>
      </c>
      <c r="OMD23" s="92">
        <v>0</v>
      </c>
      <c r="OME23" s="92">
        <v>0</v>
      </c>
      <c r="OMF23" s="92">
        <v>0</v>
      </c>
      <c r="OMG23" s="92">
        <v>0</v>
      </c>
      <c r="OMH23" s="92">
        <v>0</v>
      </c>
      <c r="OMI23" s="92">
        <v>0</v>
      </c>
      <c r="OMJ23" s="92">
        <v>0</v>
      </c>
      <c r="OMK23" s="92">
        <v>0</v>
      </c>
      <c r="OML23" s="92">
        <v>0</v>
      </c>
      <c r="OMM23" s="92">
        <v>0</v>
      </c>
      <c r="OMN23" s="92">
        <v>0</v>
      </c>
      <c r="OMO23" s="92">
        <v>0</v>
      </c>
      <c r="OMP23" s="92">
        <v>0</v>
      </c>
      <c r="OMQ23" s="92">
        <v>0</v>
      </c>
      <c r="OMR23" s="92">
        <v>0</v>
      </c>
      <c r="OMS23" s="92">
        <v>0</v>
      </c>
      <c r="OMT23" s="92">
        <v>0</v>
      </c>
      <c r="OMU23" s="92">
        <v>0</v>
      </c>
      <c r="OMV23" s="92">
        <v>0</v>
      </c>
      <c r="OMW23" s="92">
        <v>0</v>
      </c>
      <c r="OMX23" s="92">
        <v>0</v>
      </c>
      <c r="OMY23" s="92">
        <v>0</v>
      </c>
      <c r="OMZ23" s="92">
        <v>0</v>
      </c>
      <c r="ONA23" s="92">
        <v>0</v>
      </c>
      <c r="ONB23" s="92">
        <v>0</v>
      </c>
      <c r="ONC23" s="92">
        <v>0</v>
      </c>
      <c r="OND23" s="92">
        <v>0</v>
      </c>
      <c r="ONE23" s="92">
        <v>0</v>
      </c>
      <c r="ONF23" s="92">
        <v>0</v>
      </c>
      <c r="ONG23" s="92">
        <v>0</v>
      </c>
      <c r="ONH23" s="92">
        <v>0</v>
      </c>
      <c r="ONI23" s="92">
        <v>0</v>
      </c>
      <c r="ONJ23" s="92">
        <v>0</v>
      </c>
      <c r="ONK23" s="92">
        <v>0</v>
      </c>
      <c r="ONL23" s="92">
        <v>0</v>
      </c>
      <c r="ONM23" s="92">
        <v>0</v>
      </c>
      <c r="ONN23" s="92">
        <v>0</v>
      </c>
      <c r="ONO23" s="92">
        <v>0</v>
      </c>
      <c r="ONP23" s="92">
        <v>0</v>
      </c>
      <c r="ONQ23" s="92">
        <v>0</v>
      </c>
      <c r="ONR23" s="92">
        <v>0</v>
      </c>
      <c r="ONS23" s="92">
        <v>0</v>
      </c>
      <c r="ONT23" s="92">
        <v>0</v>
      </c>
      <c r="ONU23" s="92">
        <v>0</v>
      </c>
      <c r="ONV23" s="92">
        <v>0</v>
      </c>
      <c r="ONW23" s="92">
        <v>0</v>
      </c>
      <c r="ONX23" s="92">
        <v>0</v>
      </c>
      <c r="ONY23" s="92">
        <v>0</v>
      </c>
      <c r="ONZ23" s="92">
        <v>0</v>
      </c>
      <c r="OOA23" s="92">
        <v>0</v>
      </c>
      <c r="OOB23" s="92">
        <v>0</v>
      </c>
      <c r="OOC23" s="92">
        <v>0</v>
      </c>
      <c r="OOD23" s="92">
        <v>0</v>
      </c>
      <c r="OOE23" s="92">
        <v>0</v>
      </c>
      <c r="OOF23" s="92">
        <v>0</v>
      </c>
      <c r="OOG23" s="92">
        <v>0</v>
      </c>
      <c r="OOH23" s="92">
        <v>0</v>
      </c>
      <c r="OOI23" s="92">
        <v>0</v>
      </c>
      <c r="OOJ23" s="92">
        <v>0</v>
      </c>
      <c r="OOK23" s="92">
        <v>0</v>
      </c>
      <c r="OOL23" s="92">
        <v>0</v>
      </c>
      <c r="OOM23" s="92">
        <v>0</v>
      </c>
      <c r="OON23" s="92">
        <v>0</v>
      </c>
      <c r="OOO23" s="92">
        <v>0</v>
      </c>
      <c r="OOP23" s="92">
        <v>0</v>
      </c>
      <c r="OOQ23" s="92">
        <v>0</v>
      </c>
      <c r="OOR23" s="92">
        <v>0</v>
      </c>
      <c r="OOS23" s="92">
        <v>0</v>
      </c>
      <c r="OOT23" s="92">
        <v>0</v>
      </c>
      <c r="OOU23" s="92">
        <v>0</v>
      </c>
      <c r="OOV23" s="92">
        <v>0</v>
      </c>
      <c r="OOW23" s="92">
        <v>0</v>
      </c>
      <c r="OOX23" s="92">
        <v>0</v>
      </c>
      <c r="OOY23" s="92">
        <v>0</v>
      </c>
      <c r="OOZ23" s="92">
        <v>0</v>
      </c>
      <c r="OPA23" s="92">
        <v>0</v>
      </c>
      <c r="OPB23" s="92">
        <v>0</v>
      </c>
      <c r="OPC23" s="92">
        <v>0</v>
      </c>
      <c r="OPD23" s="92">
        <v>0</v>
      </c>
      <c r="OPE23" s="92">
        <v>0</v>
      </c>
      <c r="OPF23" s="92">
        <v>0</v>
      </c>
      <c r="OPG23" s="92">
        <v>0</v>
      </c>
      <c r="OPH23" s="92">
        <v>0</v>
      </c>
      <c r="OPI23" s="92">
        <v>0</v>
      </c>
      <c r="OPJ23" s="92">
        <v>0</v>
      </c>
      <c r="OPK23" s="92">
        <v>0</v>
      </c>
      <c r="OPL23" s="92">
        <v>0</v>
      </c>
      <c r="OPM23" s="92">
        <v>0</v>
      </c>
      <c r="OPN23" s="92">
        <v>0</v>
      </c>
      <c r="OPO23" s="92">
        <v>0</v>
      </c>
      <c r="OPP23" s="92">
        <v>0</v>
      </c>
      <c r="OPQ23" s="92">
        <v>0</v>
      </c>
      <c r="OPR23" s="92">
        <v>0</v>
      </c>
      <c r="OPS23" s="92">
        <v>0</v>
      </c>
      <c r="OPT23" s="92">
        <v>0</v>
      </c>
      <c r="OPU23" s="92">
        <v>0</v>
      </c>
      <c r="OPV23" s="92">
        <v>0</v>
      </c>
      <c r="OPW23" s="92">
        <v>0</v>
      </c>
      <c r="OPX23" s="92">
        <v>0</v>
      </c>
      <c r="OPY23" s="92">
        <v>0</v>
      </c>
      <c r="OPZ23" s="92">
        <v>0</v>
      </c>
      <c r="OQA23" s="92">
        <v>0</v>
      </c>
      <c r="OQB23" s="92">
        <v>0</v>
      </c>
      <c r="OQC23" s="92">
        <v>0</v>
      </c>
      <c r="OQD23" s="92">
        <v>0</v>
      </c>
      <c r="OQE23" s="92">
        <v>0</v>
      </c>
      <c r="OQF23" s="92">
        <v>0</v>
      </c>
      <c r="OQG23" s="92">
        <v>0</v>
      </c>
      <c r="OQH23" s="92">
        <v>0</v>
      </c>
      <c r="OQI23" s="92">
        <v>0</v>
      </c>
      <c r="OQJ23" s="92">
        <v>0</v>
      </c>
      <c r="OQK23" s="92">
        <v>0</v>
      </c>
      <c r="OQL23" s="92">
        <v>0</v>
      </c>
      <c r="OQM23" s="92">
        <v>0</v>
      </c>
      <c r="OQN23" s="92">
        <v>0</v>
      </c>
      <c r="OQO23" s="92">
        <v>0</v>
      </c>
      <c r="OQP23" s="92">
        <v>0</v>
      </c>
      <c r="OQQ23" s="92">
        <v>0</v>
      </c>
      <c r="OQR23" s="92">
        <v>0</v>
      </c>
      <c r="OQS23" s="92">
        <v>0</v>
      </c>
      <c r="OQT23" s="92">
        <v>0</v>
      </c>
      <c r="OQU23" s="92">
        <v>0</v>
      </c>
      <c r="OQV23" s="92">
        <v>0</v>
      </c>
      <c r="OQW23" s="92">
        <v>0</v>
      </c>
      <c r="OQX23" s="92">
        <v>0</v>
      </c>
      <c r="OQY23" s="92">
        <v>0</v>
      </c>
      <c r="OQZ23" s="92">
        <v>0</v>
      </c>
      <c r="ORA23" s="92">
        <v>0</v>
      </c>
      <c r="ORB23" s="92">
        <v>0</v>
      </c>
      <c r="ORC23" s="92">
        <v>0</v>
      </c>
      <c r="ORD23" s="92">
        <v>0</v>
      </c>
      <c r="ORE23" s="92">
        <v>0</v>
      </c>
      <c r="ORF23" s="92">
        <v>0</v>
      </c>
      <c r="ORG23" s="92">
        <v>0</v>
      </c>
      <c r="ORH23" s="92">
        <v>0</v>
      </c>
      <c r="ORI23" s="92">
        <v>0</v>
      </c>
      <c r="ORJ23" s="92">
        <v>0</v>
      </c>
      <c r="ORK23" s="92">
        <v>0</v>
      </c>
      <c r="ORL23" s="92">
        <v>0</v>
      </c>
      <c r="ORM23" s="92">
        <v>0</v>
      </c>
      <c r="ORN23" s="92">
        <v>0</v>
      </c>
      <c r="ORO23" s="92">
        <v>0</v>
      </c>
      <c r="ORP23" s="92">
        <v>0</v>
      </c>
      <c r="ORQ23" s="92">
        <v>0</v>
      </c>
      <c r="ORR23" s="92">
        <v>0</v>
      </c>
      <c r="ORS23" s="92">
        <v>0</v>
      </c>
      <c r="ORT23" s="92">
        <v>0</v>
      </c>
      <c r="ORU23" s="92">
        <v>0</v>
      </c>
      <c r="ORV23" s="92">
        <v>0</v>
      </c>
      <c r="ORW23" s="92">
        <v>0</v>
      </c>
      <c r="ORX23" s="92">
        <v>0</v>
      </c>
      <c r="ORY23" s="92">
        <v>0</v>
      </c>
      <c r="ORZ23" s="92">
        <v>0</v>
      </c>
      <c r="OSA23" s="92">
        <v>0</v>
      </c>
      <c r="OSB23" s="92">
        <v>0</v>
      </c>
      <c r="OSC23" s="92">
        <v>0</v>
      </c>
      <c r="OSD23" s="92">
        <v>0</v>
      </c>
      <c r="OSE23" s="92">
        <v>0</v>
      </c>
      <c r="OSF23" s="92">
        <v>0</v>
      </c>
      <c r="OSG23" s="92">
        <v>0</v>
      </c>
      <c r="OSH23" s="92">
        <v>0</v>
      </c>
      <c r="OSI23" s="92">
        <v>0</v>
      </c>
      <c r="OSJ23" s="92">
        <v>0</v>
      </c>
      <c r="OSK23" s="92">
        <v>0</v>
      </c>
      <c r="OSL23" s="92">
        <v>0</v>
      </c>
      <c r="OSM23" s="92">
        <v>0</v>
      </c>
      <c r="OSN23" s="92">
        <v>0</v>
      </c>
      <c r="OSO23" s="92">
        <v>0</v>
      </c>
      <c r="OSP23" s="92">
        <v>0</v>
      </c>
      <c r="OSQ23" s="92">
        <v>0</v>
      </c>
      <c r="OSR23" s="92">
        <v>0</v>
      </c>
      <c r="OSS23" s="92">
        <v>0</v>
      </c>
      <c r="OST23" s="92">
        <v>0</v>
      </c>
      <c r="OSU23" s="92">
        <v>0</v>
      </c>
      <c r="OSV23" s="92">
        <v>0</v>
      </c>
      <c r="OSW23" s="92">
        <v>0</v>
      </c>
      <c r="OSX23" s="92">
        <v>0</v>
      </c>
      <c r="OSY23" s="92">
        <v>0</v>
      </c>
      <c r="OSZ23" s="92">
        <v>0</v>
      </c>
      <c r="OTA23" s="92">
        <v>0</v>
      </c>
      <c r="OTB23" s="92">
        <v>0</v>
      </c>
      <c r="OTC23" s="92">
        <v>0</v>
      </c>
      <c r="OTD23" s="92">
        <v>0</v>
      </c>
      <c r="OTE23" s="92">
        <v>0</v>
      </c>
      <c r="OTF23" s="92">
        <v>0</v>
      </c>
      <c r="OTG23" s="92">
        <v>0</v>
      </c>
      <c r="OTH23" s="92">
        <v>0</v>
      </c>
      <c r="OTI23" s="92">
        <v>0</v>
      </c>
      <c r="OTJ23" s="92">
        <v>0</v>
      </c>
      <c r="OTK23" s="92">
        <v>0</v>
      </c>
      <c r="OTL23" s="92">
        <v>0</v>
      </c>
      <c r="OTM23" s="92">
        <v>0</v>
      </c>
      <c r="OTN23" s="92">
        <v>0</v>
      </c>
      <c r="OTO23" s="92">
        <v>0</v>
      </c>
      <c r="OTP23" s="92">
        <v>0</v>
      </c>
      <c r="OTQ23" s="92">
        <v>0</v>
      </c>
      <c r="OTR23" s="92">
        <v>0</v>
      </c>
      <c r="OTS23" s="92">
        <v>0</v>
      </c>
      <c r="OTT23" s="92">
        <v>0</v>
      </c>
      <c r="OTU23" s="92">
        <v>0</v>
      </c>
      <c r="OTV23" s="92">
        <v>0</v>
      </c>
      <c r="OTW23" s="92">
        <v>0</v>
      </c>
      <c r="OTX23" s="92">
        <v>0</v>
      </c>
      <c r="OTY23" s="92">
        <v>0</v>
      </c>
      <c r="OTZ23" s="92">
        <v>0</v>
      </c>
      <c r="OUA23" s="92">
        <v>0</v>
      </c>
      <c r="OUB23" s="92">
        <v>0</v>
      </c>
      <c r="OUC23" s="92">
        <v>0</v>
      </c>
      <c r="OUD23" s="92">
        <v>0</v>
      </c>
      <c r="OUE23" s="92">
        <v>0</v>
      </c>
      <c r="OUF23" s="92">
        <v>0</v>
      </c>
      <c r="OUG23" s="92">
        <v>0</v>
      </c>
      <c r="OUH23" s="92">
        <v>0</v>
      </c>
      <c r="OUI23" s="92">
        <v>0</v>
      </c>
      <c r="OUJ23" s="92">
        <v>0</v>
      </c>
      <c r="OUK23" s="92">
        <v>0</v>
      </c>
      <c r="OUL23" s="92">
        <v>0</v>
      </c>
      <c r="OUM23" s="92">
        <v>0</v>
      </c>
      <c r="OUN23" s="92">
        <v>0</v>
      </c>
      <c r="OUO23" s="92">
        <v>0</v>
      </c>
      <c r="OUP23" s="92">
        <v>0</v>
      </c>
      <c r="OUQ23" s="92">
        <v>0</v>
      </c>
      <c r="OUR23" s="92">
        <v>0</v>
      </c>
      <c r="OUS23" s="92">
        <v>0</v>
      </c>
      <c r="OUT23" s="92">
        <v>0</v>
      </c>
      <c r="OUU23" s="92">
        <v>0</v>
      </c>
      <c r="OUV23" s="92">
        <v>0</v>
      </c>
      <c r="OUW23" s="92">
        <v>0</v>
      </c>
      <c r="OUX23" s="92">
        <v>0</v>
      </c>
      <c r="OUY23" s="92">
        <v>0</v>
      </c>
      <c r="OUZ23" s="92">
        <v>0</v>
      </c>
      <c r="OVA23" s="92">
        <v>0</v>
      </c>
      <c r="OVB23" s="92">
        <v>0</v>
      </c>
      <c r="OVC23" s="92">
        <v>0</v>
      </c>
      <c r="OVD23" s="92">
        <v>0</v>
      </c>
      <c r="OVE23" s="92">
        <v>0</v>
      </c>
      <c r="OVF23" s="92">
        <v>0</v>
      </c>
      <c r="OVG23" s="92">
        <v>0</v>
      </c>
      <c r="OVH23" s="92">
        <v>0</v>
      </c>
      <c r="OVI23" s="92">
        <v>0</v>
      </c>
      <c r="OVJ23" s="92">
        <v>0</v>
      </c>
      <c r="OVK23" s="92">
        <v>0</v>
      </c>
      <c r="OVL23" s="92">
        <v>0</v>
      </c>
      <c r="OVM23" s="92">
        <v>0</v>
      </c>
      <c r="OVN23" s="92">
        <v>0</v>
      </c>
      <c r="OVO23" s="92">
        <v>0</v>
      </c>
      <c r="OVP23" s="92">
        <v>0</v>
      </c>
      <c r="OVQ23" s="92">
        <v>0</v>
      </c>
      <c r="OVR23" s="92">
        <v>0</v>
      </c>
      <c r="OVS23" s="92">
        <v>0</v>
      </c>
      <c r="OVT23" s="92">
        <v>0</v>
      </c>
      <c r="OVU23" s="92">
        <v>0</v>
      </c>
      <c r="OVV23" s="92">
        <v>0</v>
      </c>
      <c r="OVW23" s="92">
        <v>0</v>
      </c>
      <c r="OVX23" s="92">
        <v>0</v>
      </c>
      <c r="OVY23" s="92">
        <v>0</v>
      </c>
      <c r="OVZ23" s="92">
        <v>0</v>
      </c>
      <c r="OWA23" s="92">
        <v>0</v>
      </c>
      <c r="OWB23" s="92">
        <v>0</v>
      </c>
      <c r="OWC23" s="92">
        <v>0</v>
      </c>
      <c r="OWD23" s="92">
        <v>0</v>
      </c>
      <c r="OWE23" s="92">
        <v>0</v>
      </c>
      <c r="OWF23" s="92">
        <v>0</v>
      </c>
      <c r="OWG23" s="92">
        <v>0</v>
      </c>
      <c r="OWH23" s="92">
        <v>0</v>
      </c>
      <c r="OWI23" s="92">
        <v>0</v>
      </c>
      <c r="OWJ23" s="92">
        <v>0</v>
      </c>
      <c r="OWK23" s="92">
        <v>0</v>
      </c>
      <c r="OWL23" s="92">
        <v>0</v>
      </c>
      <c r="OWM23" s="92">
        <v>0</v>
      </c>
      <c r="OWN23" s="92">
        <v>0</v>
      </c>
      <c r="OWO23" s="92">
        <v>0</v>
      </c>
      <c r="OWP23" s="92">
        <v>0</v>
      </c>
      <c r="OWQ23" s="92">
        <v>0</v>
      </c>
      <c r="OWR23" s="92">
        <v>0</v>
      </c>
      <c r="OWS23" s="92">
        <v>0</v>
      </c>
      <c r="OWT23" s="92">
        <v>0</v>
      </c>
      <c r="OWU23" s="92">
        <v>0</v>
      </c>
      <c r="OWV23" s="92">
        <v>0</v>
      </c>
      <c r="OWW23" s="92">
        <v>0</v>
      </c>
      <c r="OWX23" s="92">
        <v>0</v>
      </c>
      <c r="OWY23" s="92">
        <v>0</v>
      </c>
      <c r="OWZ23" s="92">
        <v>0</v>
      </c>
      <c r="OXA23" s="92">
        <v>0</v>
      </c>
      <c r="OXB23" s="92">
        <v>0</v>
      </c>
      <c r="OXC23" s="92">
        <v>0</v>
      </c>
      <c r="OXD23" s="92">
        <v>0</v>
      </c>
      <c r="OXE23" s="92">
        <v>0</v>
      </c>
      <c r="OXF23" s="92">
        <v>0</v>
      </c>
      <c r="OXG23" s="92">
        <v>0</v>
      </c>
      <c r="OXH23" s="92">
        <v>0</v>
      </c>
      <c r="OXI23" s="92">
        <v>0</v>
      </c>
      <c r="OXJ23" s="92">
        <v>0</v>
      </c>
      <c r="OXK23" s="92">
        <v>0</v>
      </c>
      <c r="OXL23" s="92">
        <v>0</v>
      </c>
      <c r="OXM23" s="92">
        <v>0</v>
      </c>
      <c r="OXN23" s="92">
        <v>0</v>
      </c>
      <c r="OXO23" s="92">
        <v>0</v>
      </c>
      <c r="OXP23" s="92">
        <v>0</v>
      </c>
      <c r="OXQ23" s="92">
        <v>0</v>
      </c>
      <c r="OXR23" s="92">
        <v>0</v>
      </c>
      <c r="OXS23" s="92">
        <v>0</v>
      </c>
      <c r="OXT23" s="92">
        <v>0</v>
      </c>
      <c r="OXU23" s="92">
        <v>0</v>
      </c>
      <c r="OXV23" s="92">
        <v>0</v>
      </c>
      <c r="OXW23" s="92">
        <v>0</v>
      </c>
      <c r="OXX23" s="92">
        <v>0</v>
      </c>
      <c r="OXY23" s="92">
        <v>0</v>
      </c>
      <c r="OXZ23" s="92">
        <v>0</v>
      </c>
      <c r="OYA23" s="92">
        <v>0</v>
      </c>
      <c r="OYB23" s="92">
        <v>0</v>
      </c>
      <c r="OYC23" s="92">
        <v>0</v>
      </c>
      <c r="OYD23" s="92">
        <v>0</v>
      </c>
      <c r="OYE23" s="92">
        <v>0</v>
      </c>
      <c r="OYF23" s="92">
        <v>0</v>
      </c>
      <c r="OYG23" s="92">
        <v>0</v>
      </c>
      <c r="OYH23" s="92">
        <v>0</v>
      </c>
      <c r="OYI23" s="92">
        <v>0</v>
      </c>
      <c r="OYJ23" s="92">
        <v>0</v>
      </c>
      <c r="OYK23" s="92">
        <v>0</v>
      </c>
      <c r="OYL23" s="92">
        <v>0</v>
      </c>
      <c r="OYM23" s="92">
        <v>0</v>
      </c>
      <c r="OYN23" s="92">
        <v>0</v>
      </c>
      <c r="OYO23" s="92">
        <v>0</v>
      </c>
      <c r="OYP23" s="92">
        <v>0</v>
      </c>
      <c r="OYQ23" s="92">
        <v>0</v>
      </c>
      <c r="OYR23" s="92">
        <v>0</v>
      </c>
      <c r="OYS23" s="92">
        <v>0</v>
      </c>
      <c r="OYT23" s="92">
        <v>0</v>
      </c>
      <c r="OYU23" s="92">
        <v>0</v>
      </c>
      <c r="OYV23" s="92">
        <v>0</v>
      </c>
      <c r="OYW23" s="92">
        <v>0</v>
      </c>
      <c r="OYX23" s="92">
        <v>0</v>
      </c>
      <c r="OYY23" s="92">
        <v>0</v>
      </c>
      <c r="OYZ23" s="92">
        <v>0</v>
      </c>
      <c r="OZA23" s="92">
        <v>0</v>
      </c>
      <c r="OZB23" s="92">
        <v>0</v>
      </c>
      <c r="OZC23" s="92">
        <v>0</v>
      </c>
      <c r="OZD23" s="92">
        <v>0</v>
      </c>
      <c r="OZE23" s="92">
        <v>0</v>
      </c>
      <c r="OZF23" s="92">
        <v>0</v>
      </c>
      <c r="OZG23" s="92">
        <v>0</v>
      </c>
      <c r="OZH23" s="92">
        <v>0</v>
      </c>
      <c r="OZI23" s="92">
        <v>0</v>
      </c>
      <c r="OZJ23" s="92">
        <v>0</v>
      </c>
      <c r="OZK23" s="92">
        <v>0</v>
      </c>
      <c r="OZL23" s="92">
        <v>0</v>
      </c>
      <c r="OZM23" s="92">
        <v>0</v>
      </c>
      <c r="OZN23" s="92">
        <v>0</v>
      </c>
      <c r="OZO23" s="92">
        <v>0</v>
      </c>
      <c r="OZP23" s="92">
        <v>0</v>
      </c>
      <c r="OZQ23" s="92">
        <v>0</v>
      </c>
      <c r="OZR23" s="92">
        <v>0</v>
      </c>
      <c r="OZS23" s="92">
        <v>0</v>
      </c>
      <c r="OZT23" s="92">
        <v>0</v>
      </c>
      <c r="OZU23" s="92">
        <v>0</v>
      </c>
      <c r="OZV23" s="92">
        <v>0</v>
      </c>
      <c r="OZW23" s="92">
        <v>0</v>
      </c>
      <c r="OZX23" s="92">
        <v>0</v>
      </c>
      <c r="OZY23" s="92">
        <v>0</v>
      </c>
      <c r="OZZ23" s="92">
        <v>0</v>
      </c>
      <c r="PAA23" s="92">
        <v>0</v>
      </c>
      <c r="PAB23" s="92">
        <v>0</v>
      </c>
      <c r="PAC23" s="92">
        <v>0</v>
      </c>
      <c r="PAD23" s="92">
        <v>0</v>
      </c>
      <c r="PAE23" s="92">
        <v>0</v>
      </c>
      <c r="PAF23" s="92">
        <v>0</v>
      </c>
      <c r="PAG23" s="92">
        <v>0</v>
      </c>
      <c r="PAH23" s="92">
        <v>0</v>
      </c>
      <c r="PAI23" s="92">
        <v>0</v>
      </c>
      <c r="PAJ23" s="92">
        <v>0</v>
      </c>
      <c r="PAK23" s="92">
        <v>0</v>
      </c>
      <c r="PAL23" s="92">
        <v>0</v>
      </c>
      <c r="PAM23" s="92">
        <v>0</v>
      </c>
      <c r="PAN23" s="92">
        <v>0</v>
      </c>
      <c r="PAO23" s="92">
        <v>0</v>
      </c>
      <c r="PAP23" s="92">
        <v>0</v>
      </c>
      <c r="PAQ23" s="92">
        <v>0</v>
      </c>
      <c r="PAR23" s="92">
        <v>0</v>
      </c>
      <c r="PAS23" s="92">
        <v>0</v>
      </c>
      <c r="PAT23" s="92">
        <v>0</v>
      </c>
      <c r="PAU23" s="92">
        <v>0</v>
      </c>
      <c r="PAV23" s="92">
        <v>0</v>
      </c>
      <c r="PAW23" s="92">
        <v>0</v>
      </c>
      <c r="PAX23" s="92">
        <v>0</v>
      </c>
      <c r="PAY23" s="92">
        <v>0</v>
      </c>
      <c r="PAZ23" s="92">
        <v>0</v>
      </c>
      <c r="PBA23" s="92">
        <v>0</v>
      </c>
      <c r="PBB23" s="92">
        <v>0</v>
      </c>
      <c r="PBC23" s="92">
        <v>0</v>
      </c>
      <c r="PBD23" s="92">
        <v>0</v>
      </c>
      <c r="PBE23" s="92">
        <v>0</v>
      </c>
      <c r="PBF23" s="92">
        <v>0</v>
      </c>
      <c r="PBG23" s="92">
        <v>0</v>
      </c>
      <c r="PBH23" s="92">
        <v>0</v>
      </c>
      <c r="PBI23" s="92">
        <v>0</v>
      </c>
      <c r="PBJ23" s="92">
        <v>0</v>
      </c>
      <c r="PBK23" s="92">
        <v>0</v>
      </c>
      <c r="PBL23" s="92">
        <v>0</v>
      </c>
      <c r="PBM23" s="92">
        <v>0</v>
      </c>
      <c r="PBN23" s="92">
        <v>0</v>
      </c>
      <c r="PBO23" s="92">
        <v>0</v>
      </c>
      <c r="PBP23" s="92">
        <v>0</v>
      </c>
      <c r="PBQ23" s="92">
        <v>0</v>
      </c>
      <c r="PBR23" s="92">
        <v>0</v>
      </c>
      <c r="PBS23" s="92">
        <v>0</v>
      </c>
      <c r="PBT23" s="92">
        <v>0</v>
      </c>
      <c r="PBU23" s="92">
        <v>0</v>
      </c>
      <c r="PBV23" s="92">
        <v>0</v>
      </c>
      <c r="PBW23" s="92">
        <v>0</v>
      </c>
      <c r="PBX23" s="92">
        <v>0</v>
      </c>
      <c r="PBY23" s="92">
        <v>0</v>
      </c>
      <c r="PBZ23" s="92">
        <v>0</v>
      </c>
      <c r="PCA23" s="92">
        <v>0</v>
      </c>
      <c r="PCB23" s="92">
        <v>0</v>
      </c>
      <c r="PCC23" s="92">
        <v>0</v>
      </c>
      <c r="PCD23" s="92">
        <v>0</v>
      </c>
      <c r="PCE23" s="92">
        <v>0</v>
      </c>
      <c r="PCF23" s="92">
        <v>0</v>
      </c>
      <c r="PCG23" s="92">
        <v>0</v>
      </c>
      <c r="PCH23" s="92">
        <v>0</v>
      </c>
      <c r="PCI23" s="92">
        <v>0</v>
      </c>
      <c r="PCJ23" s="92">
        <v>0</v>
      </c>
      <c r="PCK23" s="92">
        <v>0</v>
      </c>
      <c r="PCL23" s="92">
        <v>0</v>
      </c>
      <c r="PCM23" s="92">
        <v>0</v>
      </c>
      <c r="PCN23" s="92">
        <v>0</v>
      </c>
      <c r="PCO23" s="92">
        <v>0</v>
      </c>
      <c r="PCP23" s="92">
        <v>0</v>
      </c>
      <c r="PCQ23" s="92">
        <v>0</v>
      </c>
      <c r="PCR23" s="92">
        <v>0</v>
      </c>
      <c r="PCS23" s="92">
        <v>0</v>
      </c>
      <c r="PCT23" s="92">
        <v>0</v>
      </c>
      <c r="PCU23" s="92">
        <v>0</v>
      </c>
      <c r="PCV23" s="92">
        <v>0</v>
      </c>
      <c r="PCW23" s="92">
        <v>0</v>
      </c>
      <c r="PCX23" s="92">
        <v>0</v>
      </c>
      <c r="PCY23" s="92">
        <v>0</v>
      </c>
      <c r="PCZ23" s="92">
        <v>0</v>
      </c>
      <c r="PDA23" s="92">
        <v>0</v>
      </c>
      <c r="PDB23" s="92">
        <v>0</v>
      </c>
      <c r="PDC23" s="92">
        <v>0</v>
      </c>
      <c r="PDD23" s="92">
        <v>0</v>
      </c>
      <c r="PDE23" s="92">
        <v>0</v>
      </c>
      <c r="PDF23" s="92">
        <v>0</v>
      </c>
      <c r="PDG23" s="92">
        <v>0</v>
      </c>
      <c r="PDH23" s="92">
        <v>0</v>
      </c>
      <c r="PDI23" s="92">
        <v>0</v>
      </c>
      <c r="PDJ23" s="92">
        <v>0</v>
      </c>
      <c r="PDK23" s="92">
        <v>0</v>
      </c>
      <c r="PDL23" s="92">
        <v>0</v>
      </c>
      <c r="PDM23" s="92">
        <v>0</v>
      </c>
      <c r="PDN23" s="92">
        <v>0</v>
      </c>
      <c r="PDO23" s="92">
        <v>0</v>
      </c>
      <c r="PDP23" s="92">
        <v>0</v>
      </c>
      <c r="PDQ23" s="92">
        <v>0</v>
      </c>
      <c r="PDR23" s="92">
        <v>0</v>
      </c>
      <c r="PDS23" s="92">
        <v>0</v>
      </c>
      <c r="PDT23" s="92">
        <v>0</v>
      </c>
      <c r="PDU23" s="92">
        <v>0</v>
      </c>
      <c r="PDV23" s="92">
        <v>0</v>
      </c>
      <c r="PDW23" s="92">
        <v>0</v>
      </c>
      <c r="PDX23" s="92">
        <v>0</v>
      </c>
      <c r="PDY23" s="92">
        <v>0</v>
      </c>
      <c r="PDZ23" s="92">
        <v>0</v>
      </c>
      <c r="PEA23" s="92">
        <v>0</v>
      </c>
      <c r="PEB23" s="92">
        <v>0</v>
      </c>
      <c r="PEC23" s="92">
        <v>0</v>
      </c>
      <c r="PED23" s="92">
        <v>0</v>
      </c>
      <c r="PEE23" s="92">
        <v>0</v>
      </c>
      <c r="PEF23" s="92">
        <v>0</v>
      </c>
      <c r="PEG23" s="92">
        <v>0</v>
      </c>
      <c r="PEH23" s="92">
        <v>0</v>
      </c>
      <c r="PEI23" s="92">
        <v>0</v>
      </c>
      <c r="PEJ23" s="92">
        <v>0</v>
      </c>
      <c r="PEK23" s="92">
        <v>0</v>
      </c>
      <c r="PEL23" s="92">
        <v>0</v>
      </c>
      <c r="PEM23" s="92">
        <v>0</v>
      </c>
      <c r="PEN23" s="92">
        <v>0</v>
      </c>
      <c r="PEO23" s="92">
        <v>0</v>
      </c>
      <c r="PEP23" s="92">
        <v>0</v>
      </c>
      <c r="PEQ23" s="92">
        <v>0</v>
      </c>
      <c r="PER23" s="92">
        <v>0</v>
      </c>
      <c r="PES23" s="92">
        <v>0</v>
      </c>
      <c r="PET23" s="92">
        <v>0</v>
      </c>
      <c r="PEU23" s="92">
        <v>0</v>
      </c>
      <c r="PEV23" s="92">
        <v>0</v>
      </c>
      <c r="PEW23" s="92">
        <v>0</v>
      </c>
      <c r="PEX23" s="92">
        <v>0</v>
      </c>
      <c r="PEY23" s="92">
        <v>0</v>
      </c>
      <c r="PEZ23" s="92">
        <v>0</v>
      </c>
      <c r="PFA23" s="92">
        <v>0</v>
      </c>
      <c r="PFB23" s="92">
        <v>0</v>
      </c>
      <c r="PFC23" s="92">
        <v>0</v>
      </c>
      <c r="PFD23" s="92">
        <v>0</v>
      </c>
      <c r="PFE23" s="92">
        <v>0</v>
      </c>
      <c r="PFF23" s="92">
        <v>0</v>
      </c>
      <c r="PFG23" s="92">
        <v>0</v>
      </c>
      <c r="PFH23" s="92">
        <v>0</v>
      </c>
      <c r="PFI23" s="92">
        <v>0</v>
      </c>
      <c r="PFJ23" s="92">
        <v>0</v>
      </c>
      <c r="PFK23" s="92">
        <v>0</v>
      </c>
      <c r="PFL23" s="92">
        <v>0</v>
      </c>
      <c r="PFM23" s="92">
        <v>0</v>
      </c>
      <c r="PFN23" s="92">
        <v>0</v>
      </c>
      <c r="PFO23" s="92">
        <v>0</v>
      </c>
      <c r="PFP23" s="92">
        <v>0</v>
      </c>
      <c r="PFQ23" s="92">
        <v>0</v>
      </c>
      <c r="PFR23" s="92">
        <v>0</v>
      </c>
      <c r="PFS23" s="92">
        <v>0</v>
      </c>
      <c r="PFT23" s="92">
        <v>0</v>
      </c>
      <c r="PFU23" s="92">
        <v>0</v>
      </c>
      <c r="PFV23" s="92">
        <v>0</v>
      </c>
      <c r="PFW23" s="92">
        <v>0</v>
      </c>
      <c r="PFX23" s="92">
        <v>0</v>
      </c>
      <c r="PFY23" s="92">
        <v>0</v>
      </c>
      <c r="PFZ23" s="92">
        <v>0</v>
      </c>
      <c r="PGA23" s="92">
        <v>0</v>
      </c>
      <c r="PGB23" s="92">
        <v>0</v>
      </c>
      <c r="PGC23" s="92">
        <v>0</v>
      </c>
      <c r="PGD23" s="92">
        <v>0</v>
      </c>
      <c r="PGE23" s="92">
        <v>0</v>
      </c>
      <c r="PGF23" s="92">
        <v>0</v>
      </c>
      <c r="PGG23" s="92">
        <v>0</v>
      </c>
      <c r="PGH23" s="92">
        <v>0</v>
      </c>
      <c r="PGI23" s="92">
        <v>0</v>
      </c>
      <c r="PGJ23" s="92">
        <v>0</v>
      </c>
      <c r="PGK23" s="92">
        <v>0</v>
      </c>
      <c r="PGL23" s="92">
        <v>0</v>
      </c>
      <c r="PGM23" s="92">
        <v>0</v>
      </c>
      <c r="PGN23" s="92">
        <v>0</v>
      </c>
      <c r="PGO23" s="92">
        <v>0</v>
      </c>
      <c r="PGP23" s="92">
        <v>0</v>
      </c>
      <c r="PGQ23" s="92">
        <v>0</v>
      </c>
      <c r="PGR23" s="92">
        <v>0</v>
      </c>
      <c r="PGS23" s="92">
        <v>0</v>
      </c>
      <c r="PGT23" s="92">
        <v>0</v>
      </c>
      <c r="PGU23" s="92">
        <v>0</v>
      </c>
      <c r="PGV23" s="92">
        <v>0</v>
      </c>
      <c r="PGW23" s="92">
        <v>0</v>
      </c>
      <c r="PGX23" s="92">
        <v>0</v>
      </c>
      <c r="PGY23" s="92">
        <v>0</v>
      </c>
      <c r="PGZ23" s="92">
        <v>0</v>
      </c>
      <c r="PHA23" s="92">
        <v>0</v>
      </c>
      <c r="PHB23" s="92">
        <v>0</v>
      </c>
      <c r="PHC23" s="92">
        <v>0</v>
      </c>
      <c r="PHD23" s="92">
        <v>0</v>
      </c>
      <c r="PHE23" s="92">
        <v>0</v>
      </c>
      <c r="PHF23" s="92">
        <v>0</v>
      </c>
      <c r="PHG23" s="92">
        <v>0</v>
      </c>
      <c r="PHH23" s="92">
        <v>0</v>
      </c>
      <c r="PHI23" s="92">
        <v>0</v>
      </c>
      <c r="PHJ23" s="92">
        <v>0</v>
      </c>
      <c r="PHK23" s="92">
        <v>0</v>
      </c>
      <c r="PHL23" s="92">
        <v>0</v>
      </c>
      <c r="PHM23" s="92">
        <v>0</v>
      </c>
      <c r="PHN23" s="92">
        <v>0</v>
      </c>
      <c r="PHO23" s="92">
        <v>0</v>
      </c>
      <c r="PHP23" s="92">
        <v>0</v>
      </c>
      <c r="PHQ23" s="92">
        <v>0</v>
      </c>
      <c r="PHR23" s="92">
        <v>0</v>
      </c>
      <c r="PHS23" s="92">
        <v>0</v>
      </c>
      <c r="PHT23" s="92">
        <v>0</v>
      </c>
      <c r="PHU23" s="92">
        <v>0</v>
      </c>
      <c r="PHV23" s="92">
        <v>0</v>
      </c>
      <c r="PHW23" s="92">
        <v>0</v>
      </c>
      <c r="PHX23" s="92">
        <v>0</v>
      </c>
      <c r="PHY23" s="92">
        <v>0</v>
      </c>
      <c r="PHZ23" s="92">
        <v>0</v>
      </c>
      <c r="PIA23" s="92">
        <v>0</v>
      </c>
      <c r="PIB23" s="92">
        <v>0</v>
      </c>
      <c r="PIC23" s="92">
        <v>0</v>
      </c>
      <c r="PID23" s="92">
        <v>0</v>
      </c>
      <c r="PIE23" s="92">
        <v>0</v>
      </c>
      <c r="PIF23" s="92">
        <v>0</v>
      </c>
      <c r="PIG23" s="92">
        <v>0</v>
      </c>
      <c r="PIH23" s="92">
        <v>0</v>
      </c>
      <c r="PII23" s="92">
        <v>0</v>
      </c>
      <c r="PIJ23" s="92">
        <v>0</v>
      </c>
      <c r="PIK23" s="92">
        <v>0</v>
      </c>
      <c r="PIL23" s="92">
        <v>0</v>
      </c>
      <c r="PIM23" s="92">
        <v>0</v>
      </c>
      <c r="PIN23" s="92">
        <v>0</v>
      </c>
      <c r="PIO23" s="92">
        <v>0</v>
      </c>
      <c r="PIP23" s="92">
        <v>0</v>
      </c>
      <c r="PIQ23" s="92">
        <v>0</v>
      </c>
      <c r="PIR23" s="92">
        <v>0</v>
      </c>
      <c r="PIS23" s="92">
        <v>0</v>
      </c>
      <c r="PIT23" s="92">
        <v>0</v>
      </c>
      <c r="PIU23" s="92">
        <v>0</v>
      </c>
      <c r="PIV23" s="92">
        <v>0</v>
      </c>
      <c r="PIW23" s="92">
        <v>0</v>
      </c>
      <c r="PIX23" s="92">
        <v>0</v>
      </c>
      <c r="PIY23" s="92">
        <v>0</v>
      </c>
      <c r="PIZ23" s="92">
        <v>0</v>
      </c>
      <c r="PJA23" s="92">
        <v>0</v>
      </c>
      <c r="PJB23" s="92">
        <v>0</v>
      </c>
      <c r="PJC23" s="92">
        <v>0</v>
      </c>
      <c r="PJD23" s="92">
        <v>0</v>
      </c>
      <c r="PJE23" s="92">
        <v>0</v>
      </c>
      <c r="PJF23" s="92">
        <v>0</v>
      </c>
      <c r="PJG23" s="92">
        <v>0</v>
      </c>
      <c r="PJH23" s="92">
        <v>0</v>
      </c>
      <c r="PJI23" s="92">
        <v>0</v>
      </c>
      <c r="PJJ23" s="92">
        <v>0</v>
      </c>
      <c r="PJK23" s="92">
        <v>0</v>
      </c>
      <c r="PJL23" s="92">
        <v>0</v>
      </c>
      <c r="PJM23" s="92">
        <v>0</v>
      </c>
      <c r="PJN23" s="92">
        <v>0</v>
      </c>
      <c r="PJO23" s="92">
        <v>0</v>
      </c>
      <c r="PJP23" s="92">
        <v>0</v>
      </c>
      <c r="PJQ23" s="92">
        <v>0</v>
      </c>
      <c r="PJR23" s="92">
        <v>0</v>
      </c>
      <c r="PJS23" s="92">
        <v>0</v>
      </c>
      <c r="PJT23" s="92">
        <v>0</v>
      </c>
      <c r="PJU23" s="92">
        <v>0</v>
      </c>
      <c r="PJV23" s="92">
        <v>0</v>
      </c>
      <c r="PJW23" s="92">
        <v>0</v>
      </c>
      <c r="PJX23" s="92">
        <v>0</v>
      </c>
      <c r="PJY23" s="92">
        <v>0</v>
      </c>
      <c r="PJZ23" s="92">
        <v>0</v>
      </c>
      <c r="PKA23" s="92">
        <v>0</v>
      </c>
      <c r="PKB23" s="92">
        <v>0</v>
      </c>
      <c r="PKC23" s="92">
        <v>0</v>
      </c>
      <c r="PKD23" s="92">
        <v>0</v>
      </c>
      <c r="PKE23" s="92">
        <v>0</v>
      </c>
      <c r="PKF23" s="92">
        <v>0</v>
      </c>
      <c r="PKG23" s="92">
        <v>0</v>
      </c>
      <c r="PKH23" s="92">
        <v>0</v>
      </c>
      <c r="PKI23" s="92">
        <v>0</v>
      </c>
      <c r="PKJ23" s="92">
        <v>0</v>
      </c>
      <c r="PKK23" s="92">
        <v>0</v>
      </c>
      <c r="PKL23" s="92">
        <v>0</v>
      </c>
      <c r="PKM23" s="92">
        <v>0</v>
      </c>
      <c r="PKN23" s="92">
        <v>0</v>
      </c>
      <c r="PKO23" s="92">
        <v>0</v>
      </c>
      <c r="PKP23" s="92">
        <v>0</v>
      </c>
      <c r="PKQ23" s="92">
        <v>0</v>
      </c>
      <c r="PKR23" s="92">
        <v>0</v>
      </c>
      <c r="PKS23" s="92">
        <v>0</v>
      </c>
      <c r="PKT23" s="92">
        <v>0</v>
      </c>
      <c r="PKU23" s="92">
        <v>0</v>
      </c>
      <c r="PKV23" s="92">
        <v>0</v>
      </c>
      <c r="PKW23" s="92">
        <v>0</v>
      </c>
      <c r="PKX23" s="92">
        <v>0</v>
      </c>
      <c r="PKY23" s="92">
        <v>0</v>
      </c>
      <c r="PKZ23" s="92">
        <v>0</v>
      </c>
      <c r="PLA23" s="92">
        <v>0</v>
      </c>
      <c r="PLB23" s="92">
        <v>0</v>
      </c>
      <c r="PLC23" s="92">
        <v>0</v>
      </c>
      <c r="PLD23" s="92">
        <v>0</v>
      </c>
      <c r="PLE23" s="92">
        <v>0</v>
      </c>
      <c r="PLF23" s="92">
        <v>0</v>
      </c>
      <c r="PLG23" s="92">
        <v>0</v>
      </c>
      <c r="PLH23" s="92">
        <v>0</v>
      </c>
      <c r="PLI23" s="92">
        <v>0</v>
      </c>
      <c r="PLJ23" s="92">
        <v>0</v>
      </c>
      <c r="PLK23" s="92">
        <v>0</v>
      </c>
      <c r="PLL23" s="92">
        <v>0</v>
      </c>
      <c r="PLM23" s="92">
        <v>0</v>
      </c>
      <c r="PLN23" s="92">
        <v>0</v>
      </c>
      <c r="PLO23" s="92">
        <v>0</v>
      </c>
      <c r="PLP23" s="92">
        <v>0</v>
      </c>
      <c r="PLQ23" s="92">
        <v>0</v>
      </c>
      <c r="PLR23" s="92">
        <v>0</v>
      </c>
      <c r="PLS23" s="92">
        <v>0</v>
      </c>
      <c r="PLT23" s="92">
        <v>0</v>
      </c>
      <c r="PLU23" s="92">
        <v>0</v>
      </c>
      <c r="PLV23" s="92">
        <v>0</v>
      </c>
      <c r="PLW23" s="92">
        <v>0</v>
      </c>
      <c r="PLX23" s="92">
        <v>0</v>
      </c>
      <c r="PLY23" s="92">
        <v>0</v>
      </c>
      <c r="PLZ23" s="92">
        <v>0</v>
      </c>
      <c r="PMA23" s="92">
        <v>0</v>
      </c>
      <c r="PMB23" s="92">
        <v>0</v>
      </c>
      <c r="PMC23" s="92">
        <v>0</v>
      </c>
      <c r="PMD23" s="92">
        <v>0</v>
      </c>
      <c r="PME23" s="92">
        <v>0</v>
      </c>
      <c r="PMF23" s="92">
        <v>0</v>
      </c>
      <c r="PMG23" s="92">
        <v>0</v>
      </c>
      <c r="PMH23" s="92">
        <v>0</v>
      </c>
      <c r="PMI23" s="92">
        <v>0</v>
      </c>
      <c r="PMJ23" s="92">
        <v>0</v>
      </c>
      <c r="PMK23" s="92">
        <v>0</v>
      </c>
      <c r="PML23" s="92">
        <v>0</v>
      </c>
      <c r="PMM23" s="92">
        <v>0</v>
      </c>
      <c r="PMN23" s="92">
        <v>0</v>
      </c>
      <c r="PMO23" s="92">
        <v>0</v>
      </c>
      <c r="PMP23" s="92">
        <v>0</v>
      </c>
      <c r="PMQ23" s="92">
        <v>0</v>
      </c>
      <c r="PMR23" s="92">
        <v>0</v>
      </c>
      <c r="PMS23" s="92">
        <v>0</v>
      </c>
      <c r="PMT23" s="92">
        <v>0</v>
      </c>
      <c r="PMU23" s="92">
        <v>0</v>
      </c>
      <c r="PMV23" s="92">
        <v>0</v>
      </c>
      <c r="PMW23" s="92">
        <v>0</v>
      </c>
      <c r="PMX23" s="92">
        <v>0</v>
      </c>
      <c r="PMY23" s="92">
        <v>0</v>
      </c>
      <c r="PMZ23" s="92">
        <v>0</v>
      </c>
      <c r="PNA23" s="92">
        <v>0</v>
      </c>
      <c r="PNB23" s="92">
        <v>0</v>
      </c>
      <c r="PNC23" s="92">
        <v>0</v>
      </c>
      <c r="PND23" s="92">
        <v>0</v>
      </c>
      <c r="PNE23" s="92">
        <v>0</v>
      </c>
      <c r="PNF23" s="92">
        <v>0</v>
      </c>
      <c r="PNG23" s="92">
        <v>0</v>
      </c>
      <c r="PNH23" s="92">
        <v>0</v>
      </c>
      <c r="PNI23" s="92">
        <v>0</v>
      </c>
      <c r="PNJ23" s="92">
        <v>0</v>
      </c>
      <c r="PNK23" s="92">
        <v>0</v>
      </c>
      <c r="PNL23" s="92">
        <v>0</v>
      </c>
      <c r="PNM23" s="92">
        <v>0</v>
      </c>
      <c r="PNN23" s="92">
        <v>0</v>
      </c>
      <c r="PNO23" s="92">
        <v>0</v>
      </c>
      <c r="PNP23" s="92">
        <v>0</v>
      </c>
      <c r="PNQ23" s="92">
        <v>0</v>
      </c>
      <c r="PNR23" s="92">
        <v>0</v>
      </c>
      <c r="PNS23" s="92">
        <v>0</v>
      </c>
      <c r="PNT23" s="92">
        <v>0</v>
      </c>
      <c r="PNU23" s="92">
        <v>0</v>
      </c>
      <c r="PNV23" s="92">
        <v>0</v>
      </c>
      <c r="PNW23" s="92">
        <v>0</v>
      </c>
      <c r="PNX23" s="92">
        <v>0</v>
      </c>
      <c r="PNY23" s="92">
        <v>0</v>
      </c>
      <c r="PNZ23" s="92">
        <v>0</v>
      </c>
      <c r="POA23" s="92">
        <v>0</v>
      </c>
      <c r="POB23" s="92">
        <v>0</v>
      </c>
      <c r="POC23" s="92">
        <v>0</v>
      </c>
      <c r="POD23" s="92">
        <v>0</v>
      </c>
      <c r="POE23" s="92">
        <v>0</v>
      </c>
      <c r="POF23" s="92">
        <v>0</v>
      </c>
      <c r="POG23" s="92">
        <v>0</v>
      </c>
      <c r="POH23" s="92">
        <v>0</v>
      </c>
      <c r="POI23" s="92">
        <v>0</v>
      </c>
      <c r="POJ23" s="92">
        <v>0</v>
      </c>
      <c r="POK23" s="92">
        <v>0</v>
      </c>
      <c r="POL23" s="92">
        <v>0</v>
      </c>
      <c r="POM23" s="92">
        <v>0</v>
      </c>
      <c r="PON23" s="92">
        <v>0</v>
      </c>
      <c r="POO23" s="92">
        <v>0</v>
      </c>
      <c r="POP23" s="92">
        <v>0</v>
      </c>
      <c r="POQ23" s="92">
        <v>0</v>
      </c>
      <c r="POR23" s="92">
        <v>0</v>
      </c>
      <c r="POS23" s="92">
        <v>0</v>
      </c>
      <c r="POT23" s="92">
        <v>0</v>
      </c>
      <c r="POU23" s="92">
        <v>0</v>
      </c>
      <c r="POV23" s="92">
        <v>0</v>
      </c>
      <c r="POW23" s="92">
        <v>0</v>
      </c>
      <c r="POX23" s="92">
        <v>0</v>
      </c>
      <c r="POY23" s="92">
        <v>0</v>
      </c>
      <c r="POZ23" s="92">
        <v>0</v>
      </c>
      <c r="PPA23" s="92">
        <v>0</v>
      </c>
      <c r="PPB23" s="92">
        <v>0</v>
      </c>
      <c r="PPC23" s="92">
        <v>0</v>
      </c>
      <c r="PPD23" s="92">
        <v>0</v>
      </c>
      <c r="PPE23" s="92">
        <v>0</v>
      </c>
      <c r="PPF23" s="92">
        <v>0</v>
      </c>
      <c r="PPG23" s="92">
        <v>0</v>
      </c>
      <c r="PPH23" s="92">
        <v>0</v>
      </c>
      <c r="PPI23" s="92">
        <v>0</v>
      </c>
      <c r="PPJ23" s="92">
        <v>0</v>
      </c>
      <c r="PPK23" s="92">
        <v>0</v>
      </c>
      <c r="PPL23" s="92">
        <v>0</v>
      </c>
      <c r="PPM23" s="92">
        <v>0</v>
      </c>
      <c r="PPN23" s="92">
        <v>0</v>
      </c>
      <c r="PPO23" s="92">
        <v>0</v>
      </c>
      <c r="PPP23" s="92">
        <v>0</v>
      </c>
      <c r="PPQ23" s="92">
        <v>0</v>
      </c>
      <c r="PPR23" s="92">
        <v>0</v>
      </c>
      <c r="PPS23" s="92">
        <v>0</v>
      </c>
      <c r="PPT23" s="92">
        <v>0</v>
      </c>
      <c r="PPU23" s="92">
        <v>0</v>
      </c>
      <c r="PPV23" s="92">
        <v>0</v>
      </c>
      <c r="PPW23" s="92">
        <v>0</v>
      </c>
      <c r="PPX23" s="92">
        <v>0</v>
      </c>
      <c r="PPY23" s="92">
        <v>0</v>
      </c>
      <c r="PPZ23" s="92">
        <v>0</v>
      </c>
      <c r="PQA23" s="92">
        <v>0</v>
      </c>
      <c r="PQB23" s="92">
        <v>0</v>
      </c>
      <c r="PQC23" s="92">
        <v>0</v>
      </c>
      <c r="PQD23" s="92">
        <v>0</v>
      </c>
      <c r="PQE23" s="92">
        <v>0</v>
      </c>
      <c r="PQF23" s="92">
        <v>0</v>
      </c>
      <c r="PQG23" s="92">
        <v>0</v>
      </c>
      <c r="PQH23" s="92">
        <v>0</v>
      </c>
      <c r="PQI23" s="92">
        <v>0</v>
      </c>
      <c r="PQJ23" s="92">
        <v>0</v>
      </c>
      <c r="PQK23" s="92">
        <v>0</v>
      </c>
      <c r="PQL23" s="92">
        <v>0</v>
      </c>
      <c r="PQM23" s="92">
        <v>0</v>
      </c>
      <c r="PQN23" s="92">
        <v>0</v>
      </c>
      <c r="PQO23" s="92">
        <v>0</v>
      </c>
      <c r="PQP23" s="92">
        <v>0</v>
      </c>
      <c r="PQQ23" s="92">
        <v>0</v>
      </c>
      <c r="PQR23" s="92">
        <v>0</v>
      </c>
      <c r="PQS23" s="92">
        <v>0</v>
      </c>
      <c r="PQT23" s="92">
        <v>0</v>
      </c>
      <c r="PQU23" s="92">
        <v>0</v>
      </c>
      <c r="PQV23" s="92">
        <v>0</v>
      </c>
      <c r="PQW23" s="92">
        <v>0</v>
      </c>
      <c r="PQX23" s="92">
        <v>0</v>
      </c>
      <c r="PQY23" s="92">
        <v>0</v>
      </c>
      <c r="PQZ23" s="92">
        <v>0</v>
      </c>
      <c r="PRA23" s="92">
        <v>0</v>
      </c>
      <c r="PRB23" s="92">
        <v>0</v>
      </c>
      <c r="PRC23" s="92">
        <v>0</v>
      </c>
      <c r="PRD23" s="92">
        <v>0</v>
      </c>
      <c r="PRE23" s="92">
        <v>0</v>
      </c>
      <c r="PRF23" s="92">
        <v>0</v>
      </c>
      <c r="PRG23" s="92">
        <v>0</v>
      </c>
      <c r="PRH23" s="92">
        <v>0</v>
      </c>
      <c r="PRI23" s="92">
        <v>0</v>
      </c>
      <c r="PRJ23" s="92">
        <v>0</v>
      </c>
      <c r="PRK23" s="92">
        <v>0</v>
      </c>
      <c r="PRL23" s="92">
        <v>0</v>
      </c>
      <c r="PRM23" s="92">
        <v>0</v>
      </c>
      <c r="PRN23" s="92">
        <v>0</v>
      </c>
      <c r="PRO23" s="92">
        <v>0</v>
      </c>
      <c r="PRP23" s="92">
        <v>0</v>
      </c>
      <c r="PRQ23" s="92">
        <v>0</v>
      </c>
      <c r="PRR23" s="92">
        <v>0</v>
      </c>
      <c r="PRS23" s="92">
        <v>0</v>
      </c>
      <c r="PRT23" s="92">
        <v>0</v>
      </c>
      <c r="PRU23" s="92">
        <v>0</v>
      </c>
      <c r="PRV23" s="92">
        <v>0</v>
      </c>
      <c r="PRW23" s="92">
        <v>0</v>
      </c>
      <c r="PRX23" s="92">
        <v>0</v>
      </c>
      <c r="PRY23" s="92">
        <v>0</v>
      </c>
      <c r="PRZ23" s="92">
        <v>0</v>
      </c>
      <c r="PSA23" s="92">
        <v>0</v>
      </c>
      <c r="PSB23" s="92">
        <v>0</v>
      </c>
      <c r="PSC23" s="92">
        <v>0</v>
      </c>
      <c r="PSD23" s="92">
        <v>0</v>
      </c>
      <c r="PSE23" s="92">
        <v>0</v>
      </c>
      <c r="PSF23" s="92">
        <v>0</v>
      </c>
      <c r="PSG23" s="92">
        <v>0</v>
      </c>
      <c r="PSH23" s="92">
        <v>0</v>
      </c>
      <c r="PSI23" s="92">
        <v>0</v>
      </c>
      <c r="PSJ23" s="92">
        <v>0</v>
      </c>
      <c r="PSK23" s="92">
        <v>0</v>
      </c>
      <c r="PSL23" s="92">
        <v>0</v>
      </c>
      <c r="PSM23" s="92">
        <v>0</v>
      </c>
      <c r="PSN23" s="92">
        <v>0</v>
      </c>
      <c r="PSO23" s="92">
        <v>0</v>
      </c>
      <c r="PSP23" s="92">
        <v>0</v>
      </c>
      <c r="PSQ23" s="92">
        <v>0</v>
      </c>
      <c r="PSR23" s="92">
        <v>0</v>
      </c>
      <c r="PSS23" s="92">
        <v>0</v>
      </c>
      <c r="PST23" s="92">
        <v>0</v>
      </c>
      <c r="PSU23" s="92">
        <v>0</v>
      </c>
      <c r="PSV23" s="92">
        <v>0</v>
      </c>
      <c r="PSW23" s="92">
        <v>0</v>
      </c>
      <c r="PSX23" s="92">
        <v>0</v>
      </c>
      <c r="PSY23" s="92">
        <v>0</v>
      </c>
      <c r="PSZ23" s="92">
        <v>0</v>
      </c>
      <c r="PTA23" s="92">
        <v>0</v>
      </c>
      <c r="PTB23" s="92">
        <v>0</v>
      </c>
      <c r="PTC23" s="92">
        <v>0</v>
      </c>
      <c r="PTD23" s="92">
        <v>0</v>
      </c>
      <c r="PTE23" s="92">
        <v>0</v>
      </c>
      <c r="PTF23" s="92">
        <v>0</v>
      </c>
      <c r="PTG23" s="92">
        <v>0</v>
      </c>
      <c r="PTH23" s="92">
        <v>0</v>
      </c>
      <c r="PTI23" s="92">
        <v>0</v>
      </c>
      <c r="PTJ23" s="92">
        <v>0</v>
      </c>
      <c r="PTK23" s="92">
        <v>0</v>
      </c>
      <c r="PTL23" s="92">
        <v>0</v>
      </c>
      <c r="PTM23" s="92">
        <v>0</v>
      </c>
      <c r="PTN23" s="92">
        <v>0</v>
      </c>
      <c r="PTO23" s="92">
        <v>0</v>
      </c>
      <c r="PTP23" s="92">
        <v>0</v>
      </c>
      <c r="PTQ23" s="92">
        <v>0</v>
      </c>
      <c r="PTR23" s="92">
        <v>0</v>
      </c>
      <c r="PTS23" s="92">
        <v>0</v>
      </c>
      <c r="PTT23" s="92">
        <v>0</v>
      </c>
      <c r="PTU23" s="92">
        <v>0</v>
      </c>
      <c r="PTV23" s="92">
        <v>0</v>
      </c>
      <c r="PTW23" s="92">
        <v>0</v>
      </c>
      <c r="PTX23" s="92">
        <v>0</v>
      </c>
      <c r="PTY23" s="92">
        <v>0</v>
      </c>
      <c r="PTZ23" s="92">
        <v>0</v>
      </c>
      <c r="PUA23" s="92">
        <v>0</v>
      </c>
      <c r="PUB23" s="92">
        <v>0</v>
      </c>
      <c r="PUC23" s="92">
        <v>0</v>
      </c>
      <c r="PUD23" s="92">
        <v>0</v>
      </c>
      <c r="PUE23" s="92">
        <v>0</v>
      </c>
      <c r="PUF23" s="92">
        <v>0</v>
      </c>
      <c r="PUG23" s="92">
        <v>0</v>
      </c>
      <c r="PUH23" s="92">
        <v>0</v>
      </c>
      <c r="PUI23" s="92">
        <v>0</v>
      </c>
      <c r="PUJ23" s="92">
        <v>0</v>
      </c>
      <c r="PUK23" s="92">
        <v>0</v>
      </c>
      <c r="PUL23" s="92">
        <v>0</v>
      </c>
      <c r="PUM23" s="92">
        <v>0</v>
      </c>
      <c r="PUN23" s="92">
        <v>0</v>
      </c>
      <c r="PUO23" s="92">
        <v>0</v>
      </c>
      <c r="PUP23" s="92">
        <v>0</v>
      </c>
      <c r="PUQ23" s="92">
        <v>0</v>
      </c>
      <c r="PUR23" s="92">
        <v>0</v>
      </c>
      <c r="PUS23" s="92">
        <v>0</v>
      </c>
      <c r="PUT23" s="92">
        <v>0</v>
      </c>
      <c r="PUU23" s="92">
        <v>0</v>
      </c>
      <c r="PUV23" s="92">
        <v>0</v>
      </c>
      <c r="PUW23" s="92">
        <v>0</v>
      </c>
      <c r="PUX23" s="92">
        <v>0</v>
      </c>
      <c r="PUY23" s="92">
        <v>0</v>
      </c>
      <c r="PUZ23" s="92">
        <v>0</v>
      </c>
      <c r="PVA23" s="92">
        <v>0</v>
      </c>
      <c r="PVB23" s="92">
        <v>0</v>
      </c>
      <c r="PVC23" s="92">
        <v>0</v>
      </c>
      <c r="PVD23" s="92">
        <v>0</v>
      </c>
      <c r="PVE23" s="92">
        <v>0</v>
      </c>
      <c r="PVF23" s="92">
        <v>0</v>
      </c>
      <c r="PVG23" s="92">
        <v>0</v>
      </c>
      <c r="PVH23" s="92">
        <v>0</v>
      </c>
      <c r="PVI23" s="92">
        <v>0</v>
      </c>
      <c r="PVJ23" s="92">
        <v>0</v>
      </c>
      <c r="PVK23" s="92">
        <v>0</v>
      </c>
      <c r="PVL23" s="92">
        <v>0</v>
      </c>
      <c r="PVM23" s="92">
        <v>0</v>
      </c>
      <c r="PVN23" s="92">
        <v>0</v>
      </c>
      <c r="PVO23" s="92">
        <v>0</v>
      </c>
      <c r="PVP23" s="92">
        <v>0</v>
      </c>
      <c r="PVQ23" s="92">
        <v>0</v>
      </c>
      <c r="PVR23" s="92">
        <v>0</v>
      </c>
      <c r="PVS23" s="92">
        <v>0</v>
      </c>
      <c r="PVT23" s="92">
        <v>0</v>
      </c>
      <c r="PVU23" s="92">
        <v>0</v>
      </c>
      <c r="PVV23" s="92">
        <v>0</v>
      </c>
      <c r="PVW23" s="92">
        <v>0</v>
      </c>
      <c r="PVX23" s="92">
        <v>0</v>
      </c>
      <c r="PVY23" s="92">
        <v>0</v>
      </c>
      <c r="PVZ23" s="92">
        <v>0</v>
      </c>
      <c r="PWA23" s="92">
        <v>0</v>
      </c>
      <c r="PWB23" s="92">
        <v>0</v>
      </c>
      <c r="PWC23" s="92">
        <v>0</v>
      </c>
      <c r="PWD23" s="92">
        <v>0</v>
      </c>
      <c r="PWE23" s="92">
        <v>0</v>
      </c>
      <c r="PWF23" s="92">
        <v>0</v>
      </c>
      <c r="PWG23" s="92">
        <v>0</v>
      </c>
      <c r="PWH23" s="92">
        <v>0</v>
      </c>
      <c r="PWI23" s="92">
        <v>0</v>
      </c>
      <c r="PWJ23" s="92">
        <v>0</v>
      </c>
      <c r="PWK23" s="92">
        <v>0</v>
      </c>
      <c r="PWL23" s="92">
        <v>0</v>
      </c>
      <c r="PWM23" s="92">
        <v>0</v>
      </c>
      <c r="PWN23" s="92">
        <v>0</v>
      </c>
      <c r="PWO23" s="92">
        <v>0</v>
      </c>
      <c r="PWP23" s="92">
        <v>0</v>
      </c>
      <c r="PWQ23" s="92">
        <v>0</v>
      </c>
      <c r="PWR23" s="92">
        <v>0</v>
      </c>
      <c r="PWS23" s="92">
        <v>0</v>
      </c>
      <c r="PWT23" s="92">
        <v>0</v>
      </c>
      <c r="PWU23" s="92">
        <v>0</v>
      </c>
      <c r="PWV23" s="92">
        <v>0</v>
      </c>
      <c r="PWW23" s="92">
        <v>0</v>
      </c>
      <c r="PWX23" s="92">
        <v>0</v>
      </c>
      <c r="PWY23" s="92">
        <v>0</v>
      </c>
      <c r="PWZ23" s="92">
        <v>0</v>
      </c>
      <c r="PXA23" s="92">
        <v>0</v>
      </c>
      <c r="PXB23" s="92">
        <v>0</v>
      </c>
      <c r="PXC23" s="92">
        <v>0</v>
      </c>
      <c r="PXD23" s="92">
        <v>0</v>
      </c>
      <c r="PXE23" s="92">
        <v>0</v>
      </c>
      <c r="PXF23" s="92">
        <v>0</v>
      </c>
      <c r="PXG23" s="92">
        <v>0</v>
      </c>
      <c r="PXH23" s="92">
        <v>0</v>
      </c>
      <c r="PXI23" s="92">
        <v>0</v>
      </c>
      <c r="PXJ23" s="92">
        <v>0</v>
      </c>
      <c r="PXK23" s="92">
        <v>0</v>
      </c>
      <c r="PXL23" s="92">
        <v>0</v>
      </c>
      <c r="PXM23" s="92">
        <v>0</v>
      </c>
      <c r="PXN23" s="92">
        <v>0</v>
      </c>
      <c r="PXO23" s="92">
        <v>0</v>
      </c>
      <c r="PXP23" s="92">
        <v>0</v>
      </c>
      <c r="PXQ23" s="92">
        <v>0</v>
      </c>
      <c r="PXR23" s="92">
        <v>0</v>
      </c>
      <c r="PXS23" s="92">
        <v>0</v>
      </c>
      <c r="PXT23" s="92">
        <v>0</v>
      </c>
      <c r="PXU23" s="92">
        <v>0</v>
      </c>
      <c r="PXV23" s="92">
        <v>0</v>
      </c>
      <c r="PXW23" s="92">
        <v>0</v>
      </c>
      <c r="PXX23" s="92">
        <v>0</v>
      </c>
      <c r="PXY23" s="92">
        <v>0</v>
      </c>
      <c r="PXZ23" s="92">
        <v>0</v>
      </c>
      <c r="PYA23" s="92">
        <v>0</v>
      </c>
      <c r="PYB23" s="92">
        <v>0</v>
      </c>
      <c r="PYC23" s="92">
        <v>0</v>
      </c>
      <c r="PYD23" s="92">
        <v>0</v>
      </c>
      <c r="PYE23" s="92">
        <v>0</v>
      </c>
      <c r="PYF23" s="92">
        <v>0</v>
      </c>
      <c r="PYG23" s="92">
        <v>0</v>
      </c>
      <c r="PYH23" s="92">
        <v>0</v>
      </c>
      <c r="PYI23" s="92">
        <v>0</v>
      </c>
      <c r="PYJ23" s="92">
        <v>0</v>
      </c>
      <c r="PYK23" s="92">
        <v>0</v>
      </c>
      <c r="PYL23" s="92">
        <v>0</v>
      </c>
      <c r="PYM23" s="92">
        <v>0</v>
      </c>
      <c r="PYN23" s="92">
        <v>0</v>
      </c>
      <c r="PYO23" s="92">
        <v>0</v>
      </c>
      <c r="PYP23" s="92">
        <v>0</v>
      </c>
      <c r="PYQ23" s="92">
        <v>0</v>
      </c>
      <c r="PYR23" s="92">
        <v>0</v>
      </c>
      <c r="PYS23" s="92">
        <v>0</v>
      </c>
      <c r="PYT23" s="92">
        <v>0</v>
      </c>
      <c r="PYU23" s="92">
        <v>0</v>
      </c>
      <c r="PYV23" s="92">
        <v>0</v>
      </c>
      <c r="PYW23" s="92">
        <v>0</v>
      </c>
      <c r="PYX23" s="92">
        <v>0</v>
      </c>
      <c r="PYY23" s="92">
        <v>0</v>
      </c>
      <c r="PYZ23" s="92">
        <v>0</v>
      </c>
      <c r="PZA23" s="92">
        <v>0</v>
      </c>
      <c r="PZB23" s="92">
        <v>0</v>
      </c>
      <c r="PZC23" s="92">
        <v>0</v>
      </c>
      <c r="PZD23" s="92">
        <v>0</v>
      </c>
      <c r="PZE23" s="92">
        <v>0</v>
      </c>
      <c r="PZF23" s="92">
        <v>0</v>
      </c>
      <c r="PZG23" s="92">
        <v>0</v>
      </c>
      <c r="PZH23" s="92">
        <v>0</v>
      </c>
      <c r="PZI23" s="92">
        <v>0</v>
      </c>
      <c r="PZJ23" s="92">
        <v>0</v>
      </c>
      <c r="PZK23" s="92">
        <v>0</v>
      </c>
      <c r="PZL23" s="92">
        <v>0</v>
      </c>
      <c r="PZM23" s="92">
        <v>0</v>
      </c>
      <c r="PZN23" s="92">
        <v>0</v>
      </c>
      <c r="PZO23" s="92">
        <v>0</v>
      </c>
      <c r="PZP23" s="92">
        <v>0</v>
      </c>
      <c r="PZQ23" s="92">
        <v>0</v>
      </c>
      <c r="PZR23" s="92">
        <v>0</v>
      </c>
      <c r="PZS23" s="92">
        <v>0</v>
      </c>
      <c r="PZT23" s="92">
        <v>0</v>
      </c>
      <c r="PZU23" s="92">
        <v>0</v>
      </c>
      <c r="PZV23" s="92">
        <v>0</v>
      </c>
      <c r="PZW23" s="92">
        <v>0</v>
      </c>
      <c r="PZX23" s="92">
        <v>0</v>
      </c>
      <c r="PZY23" s="92">
        <v>0</v>
      </c>
      <c r="PZZ23" s="92">
        <v>0</v>
      </c>
      <c r="QAA23" s="92">
        <v>0</v>
      </c>
      <c r="QAB23" s="92">
        <v>0</v>
      </c>
      <c r="QAC23" s="92">
        <v>0</v>
      </c>
      <c r="QAD23" s="92">
        <v>0</v>
      </c>
      <c r="QAE23" s="92">
        <v>0</v>
      </c>
      <c r="QAF23" s="92">
        <v>0</v>
      </c>
      <c r="QAG23" s="92">
        <v>0</v>
      </c>
      <c r="QAH23" s="92">
        <v>0</v>
      </c>
      <c r="QAI23" s="92">
        <v>0</v>
      </c>
      <c r="QAJ23" s="92">
        <v>0</v>
      </c>
      <c r="QAK23" s="92">
        <v>0</v>
      </c>
      <c r="QAL23" s="92">
        <v>0</v>
      </c>
      <c r="QAM23" s="92">
        <v>0</v>
      </c>
      <c r="QAN23" s="92">
        <v>0</v>
      </c>
      <c r="QAO23" s="92">
        <v>0</v>
      </c>
      <c r="QAP23" s="92">
        <v>0</v>
      </c>
      <c r="QAQ23" s="92">
        <v>0</v>
      </c>
      <c r="QAR23" s="92">
        <v>0</v>
      </c>
      <c r="QAS23" s="92">
        <v>0</v>
      </c>
      <c r="QAT23" s="92">
        <v>0</v>
      </c>
      <c r="QAU23" s="92">
        <v>0</v>
      </c>
      <c r="QAV23" s="92">
        <v>0</v>
      </c>
      <c r="QAW23" s="92">
        <v>0</v>
      </c>
      <c r="QAX23" s="92">
        <v>0</v>
      </c>
      <c r="QAY23" s="92">
        <v>0</v>
      </c>
      <c r="QAZ23" s="92">
        <v>0</v>
      </c>
      <c r="QBA23" s="92">
        <v>0</v>
      </c>
      <c r="QBB23" s="92">
        <v>0</v>
      </c>
      <c r="QBC23" s="92">
        <v>0</v>
      </c>
      <c r="QBD23" s="92">
        <v>0</v>
      </c>
      <c r="QBE23" s="92">
        <v>0</v>
      </c>
      <c r="QBF23" s="92">
        <v>0</v>
      </c>
      <c r="QBG23" s="92">
        <v>0</v>
      </c>
      <c r="QBH23" s="92">
        <v>0</v>
      </c>
      <c r="QBI23" s="92">
        <v>0</v>
      </c>
      <c r="QBJ23" s="92">
        <v>0</v>
      </c>
      <c r="QBK23" s="92">
        <v>0</v>
      </c>
      <c r="QBL23" s="92">
        <v>0</v>
      </c>
      <c r="QBM23" s="92">
        <v>0</v>
      </c>
      <c r="QBN23" s="92">
        <v>0</v>
      </c>
      <c r="QBO23" s="92">
        <v>0</v>
      </c>
      <c r="QBP23" s="92">
        <v>0</v>
      </c>
      <c r="QBQ23" s="92">
        <v>0</v>
      </c>
      <c r="QBR23" s="92">
        <v>0</v>
      </c>
      <c r="QBS23" s="92">
        <v>0</v>
      </c>
      <c r="QBT23" s="92">
        <v>0</v>
      </c>
      <c r="QBU23" s="92">
        <v>0</v>
      </c>
      <c r="QBV23" s="92">
        <v>0</v>
      </c>
      <c r="QBW23" s="92">
        <v>0</v>
      </c>
      <c r="QBX23" s="92">
        <v>0</v>
      </c>
      <c r="QBY23" s="92">
        <v>0</v>
      </c>
      <c r="QBZ23" s="92">
        <v>0</v>
      </c>
      <c r="QCA23" s="92">
        <v>0</v>
      </c>
      <c r="QCB23" s="92">
        <v>0</v>
      </c>
      <c r="QCC23" s="92">
        <v>0</v>
      </c>
      <c r="QCD23" s="92">
        <v>0</v>
      </c>
      <c r="QCE23" s="92">
        <v>0</v>
      </c>
      <c r="QCF23" s="92">
        <v>0</v>
      </c>
      <c r="QCG23" s="92">
        <v>0</v>
      </c>
      <c r="QCH23" s="92">
        <v>0</v>
      </c>
      <c r="QCI23" s="92">
        <v>0</v>
      </c>
      <c r="QCJ23" s="92">
        <v>0</v>
      </c>
      <c r="QCK23" s="92">
        <v>0</v>
      </c>
      <c r="QCL23" s="92">
        <v>0</v>
      </c>
      <c r="QCM23" s="92">
        <v>0</v>
      </c>
      <c r="QCN23" s="92">
        <v>0</v>
      </c>
      <c r="QCO23" s="92">
        <v>0</v>
      </c>
      <c r="QCP23" s="92">
        <v>0</v>
      </c>
      <c r="QCQ23" s="92">
        <v>0</v>
      </c>
      <c r="QCR23" s="92">
        <v>0</v>
      </c>
      <c r="QCS23" s="92">
        <v>0</v>
      </c>
      <c r="QCT23" s="92">
        <v>0</v>
      </c>
      <c r="QCU23" s="92">
        <v>0</v>
      </c>
      <c r="QCV23" s="92">
        <v>0</v>
      </c>
      <c r="QCW23" s="92">
        <v>0</v>
      </c>
      <c r="QCX23" s="92">
        <v>0</v>
      </c>
      <c r="QCY23" s="92">
        <v>0</v>
      </c>
      <c r="QCZ23" s="92">
        <v>0</v>
      </c>
      <c r="QDA23" s="92">
        <v>0</v>
      </c>
      <c r="QDB23" s="92">
        <v>0</v>
      </c>
      <c r="QDC23" s="92">
        <v>0</v>
      </c>
      <c r="QDD23" s="92">
        <v>0</v>
      </c>
      <c r="QDE23" s="92">
        <v>0</v>
      </c>
      <c r="QDF23" s="92">
        <v>0</v>
      </c>
      <c r="QDG23" s="92">
        <v>0</v>
      </c>
      <c r="QDH23" s="92">
        <v>0</v>
      </c>
      <c r="QDI23" s="92">
        <v>0</v>
      </c>
      <c r="QDJ23" s="92">
        <v>0</v>
      </c>
      <c r="QDK23" s="92">
        <v>0</v>
      </c>
      <c r="QDL23" s="92">
        <v>0</v>
      </c>
      <c r="QDM23" s="92">
        <v>0</v>
      </c>
      <c r="QDN23" s="92">
        <v>0</v>
      </c>
      <c r="QDO23" s="92">
        <v>0</v>
      </c>
      <c r="QDP23" s="92">
        <v>0</v>
      </c>
      <c r="QDQ23" s="92">
        <v>0</v>
      </c>
      <c r="QDR23" s="92">
        <v>0</v>
      </c>
      <c r="QDS23" s="92">
        <v>0</v>
      </c>
      <c r="QDT23" s="92">
        <v>0</v>
      </c>
      <c r="QDU23" s="92">
        <v>0</v>
      </c>
      <c r="QDV23" s="92">
        <v>0</v>
      </c>
      <c r="QDW23" s="92">
        <v>0</v>
      </c>
      <c r="QDX23" s="92">
        <v>0</v>
      </c>
      <c r="QDY23" s="92">
        <v>0</v>
      </c>
      <c r="QDZ23" s="92">
        <v>0</v>
      </c>
      <c r="QEA23" s="92">
        <v>0</v>
      </c>
      <c r="QEB23" s="92">
        <v>0</v>
      </c>
      <c r="QEC23" s="92">
        <v>0</v>
      </c>
      <c r="QED23" s="92">
        <v>0</v>
      </c>
      <c r="QEE23" s="92">
        <v>0</v>
      </c>
      <c r="QEF23" s="92">
        <v>0</v>
      </c>
      <c r="QEG23" s="92">
        <v>0</v>
      </c>
      <c r="QEH23" s="92">
        <v>0</v>
      </c>
      <c r="QEI23" s="92">
        <v>0</v>
      </c>
      <c r="QEJ23" s="92">
        <v>0</v>
      </c>
      <c r="QEK23" s="92">
        <v>0</v>
      </c>
      <c r="QEL23" s="92">
        <v>0</v>
      </c>
      <c r="QEM23" s="92">
        <v>0</v>
      </c>
      <c r="QEN23" s="92">
        <v>0</v>
      </c>
      <c r="QEO23" s="92">
        <v>0</v>
      </c>
      <c r="QEP23" s="92">
        <v>0</v>
      </c>
      <c r="QEQ23" s="92">
        <v>0</v>
      </c>
      <c r="QER23" s="92">
        <v>0</v>
      </c>
      <c r="QES23" s="92">
        <v>0</v>
      </c>
      <c r="QET23" s="92">
        <v>0</v>
      </c>
      <c r="QEU23" s="92">
        <v>0</v>
      </c>
      <c r="QEV23" s="92">
        <v>0</v>
      </c>
      <c r="QEW23" s="92">
        <v>0</v>
      </c>
      <c r="QEX23" s="92">
        <v>0</v>
      </c>
      <c r="QEY23" s="92">
        <v>0</v>
      </c>
      <c r="QEZ23" s="92">
        <v>0</v>
      </c>
      <c r="QFA23" s="92">
        <v>0</v>
      </c>
      <c r="QFB23" s="92">
        <v>0</v>
      </c>
      <c r="QFC23" s="92">
        <v>0</v>
      </c>
      <c r="QFD23" s="92">
        <v>0</v>
      </c>
      <c r="QFE23" s="92">
        <v>0</v>
      </c>
      <c r="QFF23" s="92">
        <v>0</v>
      </c>
      <c r="QFG23" s="92">
        <v>0</v>
      </c>
      <c r="QFH23" s="92">
        <v>0</v>
      </c>
      <c r="QFI23" s="92">
        <v>0</v>
      </c>
      <c r="QFJ23" s="92">
        <v>0</v>
      </c>
      <c r="QFK23" s="92">
        <v>0</v>
      </c>
      <c r="QFL23" s="92">
        <v>0</v>
      </c>
      <c r="QFM23" s="92">
        <v>0</v>
      </c>
      <c r="QFN23" s="92">
        <v>0</v>
      </c>
      <c r="QFO23" s="92">
        <v>0</v>
      </c>
      <c r="QFP23" s="92">
        <v>0</v>
      </c>
      <c r="QFQ23" s="92">
        <v>0</v>
      </c>
      <c r="QFR23" s="92">
        <v>0</v>
      </c>
      <c r="QFS23" s="92">
        <v>0</v>
      </c>
      <c r="QFT23" s="92">
        <v>0</v>
      </c>
      <c r="QFU23" s="92">
        <v>0</v>
      </c>
      <c r="QFV23" s="92">
        <v>0</v>
      </c>
      <c r="QFW23" s="92">
        <v>0</v>
      </c>
      <c r="QFX23" s="92">
        <v>0</v>
      </c>
      <c r="QFY23" s="92">
        <v>0</v>
      </c>
      <c r="QFZ23" s="92">
        <v>0</v>
      </c>
      <c r="QGA23" s="92">
        <v>0</v>
      </c>
      <c r="QGB23" s="92">
        <v>0</v>
      </c>
      <c r="QGC23" s="92">
        <v>0</v>
      </c>
      <c r="QGD23" s="92">
        <v>0</v>
      </c>
      <c r="QGE23" s="92">
        <v>0</v>
      </c>
      <c r="QGF23" s="92">
        <v>0</v>
      </c>
      <c r="QGG23" s="92">
        <v>0</v>
      </c>
      <c r="QGH23" s="92">
        <v>0</v>
      </c>
      <c r="QGI23" s="92">
        <v>0</v>
      </c>
      <c r="QGJ23" s="92">
        <v>0</v>
      </c>
      <c r="QGK23" s="92">
        <v>0</v>
      </c>
      <c r="QGL23" s="92">
        <v>0</v>
      </c>
      <c r="QGM23" s="92">
        <v>0</v>
      </c>
      <c r="QGN23" s="92">
        <v>0</v>
      </c>
      <c r="QGO23" s="92">
        <v>0</v>
      </c>
      <c r="QGP23" s="92">
        <v>0</v>
      </c>
      <c r="QGQ23" s="92">
        <v>0</v>
      </c>
      <c r="QGR23" s="92">
        <v>0</v>
      </c>
      <c r="QGS23" s="92">
        <v>0</v>
      </c>
      <c r="QGT23" s="92">
        <v>0</v>
      </c>
      <c r="QGU23" s="92">
        <v>0</v>
      </c>
      <c r="QGV23" s="92">
        <v>0</v>
      </c>
      <c r="QGW23" s="92">
        <v>0</v>
      </c>
      <c r="QGX23" s="92">
        <v>0</v>
      </c>
      <c r="QGY23" s="92">
        <v>0</v>
      </c>
      <c r="QGZ23" s="92">
        <v>0</v>
      </c>
      <c r="QHA23" s="92">
        <v>0</v>
      </c>
      <c r="QHB23" s="92">
        <v>0</v>
      </c>
      <c r="QHC23" s="92">
        <v>0</v>
      </c>
      <c r="QHD23" s="92">
        <v>0</v>
      </c>
      <c r="QHE23" s="92">
        <v>0</v>
      </c>
      <c r="QHF23" s="92">
        <v>0</v>
      </c>
      <c r="QHG23" s="92">
        <v>0</v>
      </c>
      <c r="QHH23" s="92">
        <v>0</v>
      </c>
      <c r="QHI23" s="92">
        <v>0</v>
      </c>
      <c r="QHJ23" s="92">
        <v>0</v>
      </c>
      <c r="QHK23" s="92">
        <v>0</v>
      </c>
      <c r="QHL23" s="92">
        <v>0</v>
      </c>
      <c r="QHM23" s="92">
        <v>0</v>
      </c>
      <c r="QHN23" s="92">
        <v>0</v>
      </c>
      <c r="QHO23" s="92">
        <v>0</v>
      </c>
      <c r="QHP23" s="92">
        <v>0</v>
      </c>
      <c r="QHQ23" s="92">
        <v>0</v>
      </c>
      <c r="QHR23" s="92">
        <v>0</v>
      </c>
      <c r="QHS23" s="92">
        <v>0</v>
      </c>
      <c r="QHT23" s="92">
        <v>0</v>
      </c>
      <c r="QHU23" s="92">
        <v>0</v>
      </c>
      <c r="QHV23" s="92">
        <v>0</v>
      </c>
      <c r="QHW23" s="92">
        <v>0</v>
      </c>
      <c r="QHX23" s="92">
        <v>0</v>
      </c>
      <c r="QHY23" s="92">
        <v>0</v>
      </c>
      <c r="QHZ23" s="92">
        <v>0</v>
      </c>
      <c r="QIA23" s="92">
        <v>0</v>
      </c>
      <c r="QIB23" s="92">
        <v>0</v>
      </c>
      <c r="QIC23" s="92">
        <v>0</v>
      </c>
      <c r="QID23" s="92">
        <v>0</v>
      </c>
      <c r="QIE23" s="92">
        <v>0</v>
      </c>
      <c r="QIF23" s="92">
        <v>0</v>
      </c>
      <c r="QIG23" s="92">
        <v>0</v>
      </c>
      <c r="QIH23" s="92">
        <v>0</v>
      </c>
      <c r="QII23" s="92">
        <v>0</v>
      </c>
      <c r="QIJ23" s="92">
        <v>0</v>
      </c>
      <c r="QIK23" s="92">
        <v>0</v>
      </c>
      <c r="QIL23" s="92">
        <v>0</v>
      </c>
      <c r="QIM23" s="92">
        <v>0</v>
      </c>
      <c r="QIN23" s="92">
        <v>0</v>
      </c>
      <c r="QIO23" s="92">
        <v>0</v>
      </c>
      <c r="QIP23" s="92">
        <v>0</v>
      </c>
      <c r="QIQ23" s="92">
        <v>0</v>
      </c>
      <c r="QIR23" s="92">
        <v>0</v>
      </c>
      <c r="QIS23" s="92">
        <v>0</v>
      </c>
      <c r="QIT23" s="92">
        <v>0</v>
      </c>
      <c r="QIU23" s="92">
        <v>0</v>
      </c>
      <c r="QIV23" s="92">
        <v>0</v>
      </c>
      <c r="QIW23" s="92">
        <v>0</v>
      </c>
      <c r="QIX23" s="92">
        <v>0</v>
      </c>
      <c r="QIY23" s="92">
        <v>0</v>
      </c>
      <c r="QIZ23" s="92">
        <v>0</v>
      </c>
      <c r="QJA23" s="92">
        <v>0</v>
      </c>
      <c r="QJB23" s="92">
        <v>0</v>
      </c>
      <c r="QJC23" s="92">
        <v>0</v>
      </c>
      <c r="QJD23" s="92">
        <v>0</v>
      </c>
      <c r="QJE23" s="92">
        <v>0</v>
      </c>
      <c r="QJF23" s="92">
        <v>0</v>
      </c>
      <c r="QJG23" s="92">
        <v>0</v>
      </c>
      <c r="QJH23" s="92">
        <v>0</v>
      </c>
      <c r="QJI23" s="92">
        <v>0</v>
      </c>
      <c r="QJJ23" s="92">
        <v>0</v>
      </c>
      <c r="QJK23" s="92">
        <v>0</v>
      </c>
      <c r="QJL23" s="92">
        <v>0</v>
      </c>
      <c r="QJM23" s="92">
        <v>0</v>
      </c>
      <c r="QJN23" s="92">
        <v>0</v>
      </c>
      <c r="QJO23" s="92">
        <v>0</v>
      </c>
      <c r="QJP23" s="92">
        <v>0</v>
      </c>
      <c r="QJQ23" s="92">
        <v>0</v>
      </c>
      <c r="QJR23" s="92">
        <v>0</v>
      </c>
      <c r="QJS23" s="92">
        <v>0</v>
      </c>
      <c r="QJT23" s="92">
        <v>0</v>
      </c>
      <c r="QJU23" s="92">
        <v>0</v>
      </c>
      <c r="QJV23" s="92">
        <v>0</v>
      </c>
      <c r="QJW23" s="92">
        <v>0</v>
      </c>
      <c r="QJX23" s="92">
        <v>0</v>
      </c>
      <c r="QJY23" s="92">
        <v>0</v>
      </c>
      <c r="QJZ23" s="92">
        <v>0</v>
      </c>
      <c r="QKA23" s="92">
        <v>0</v>
      </c>
      <c r="QKB23" s="92">
        <v>0</v>
      </c>
      <c r="QKC23" s="92">
        <v>0</v>
      </c>
      <c r="QKD23" s="92">
        <v>0</v>
      </c>
      <c r="QKE23" s="92">
        <v>0</v>
      </c>
      <c r="QKF23" s="92">
        <v>0</v>
      </c>
      <c r="QKG23" s="92">
        <v>0</v>
      </c>
      <c r="QKH23" s="92">
        <v>0</v>
      </c>
      <c r="QKI23" s="92">
        <v>0</v>
      </c>
      <c r="QKJ23" s="92">
        <v>0</v>
      </c>
      <c r="QKK23" s="92">
        <v>0</v>
      </c>
      <c r="QKL23" s="92">
        <v>0</v>
      </c>
      <c r="QKM23" s="92">
        <v>0</v>
      </c>
      <c r="QKN23" s="92">
        <v>0</v>
      </c>
      <c r="QKO23" s="92">
        <v>0</v>
      </c>
      <c r="QKP23" s="92">
        <v>0</v>
      </c>
      <c r="QKQ23" s="92">
        <v>0</v>
      </c>
      <c r="QKR23" s="92">
        <v>0</v>
      </c>
      <c r="QKS23" s="92">
        <v>0</v>
      </c>
      <c r="QKT23" s="92">
        <v>0</v>
      </c>
      <c r="QKU23" s="92">
        <v>0</v>
      </c>
      <c r="QKV23" s="92">
        <v>0</v>
      </c>
      <c r="QKW23" s="92">
        <v>0</v>
      </c>
      <c r="QKX23" s="92">
        <v>0</v>
      </c>
      <c r="QKY23" s="92">
        <v>0</v>
      </c>
      <c r="QKZ23" s="92">
        <v>0</v>
      </c>
      <c r="QLA23" s="92">
        <v>0</v>
      </c>
      <c r="QLB23" s="92">
        <v>0</v>
      </c>
      <c r="QLC23" s="92">
        <v>0</v>
      </c>
      <c r="QLD23" s="92">
        <v>0</v>
      </c>
      <c r="QLE23" s="92">
        <v>0</v>
      </c>
      <c r="QLF23" s="92">
        <v>0</v>
      </c>
      <c r="QLG23" s="92">
        <v>0</v>
      </c>
      <c r="QLH23" s="92">
        <v>0</v>
      </c>
      <c r="QLI23" s="92">
        <v>0</v>
      </c>
      <c r="QLJ23" s="92">
        <v>0</v>
      </c>
      <c r="QLK23" s="92">
        <v>0</v>
      </c>
      <c r="QLL23" s="92">
        <v>0</v>
      </c>
      <c r="QLM23" s="92">
        <v>0</v>
      </c>
      <c r="QLN23" s="92">
        <v>0</v>
      </c>
      <c r="QLO23" s="92">
        <v>0</v>
      </c>
      <c r="QLP23" s="92">
        <v>0</v>
      </c>
      <c r="QLQ23" s="92">
        <v>0</v>
      </c>
      <c r="QLR23" s="92">
        <v>0</v>
      </c>
      <c r="QLS23" s="92">
        <v>0</v>
      </c>
      <c r="QLT23" s="92">
        <v>0</v>
      </c>
      <c r="QLU23" s="92">
        <v>0</v>
      </c>
      <c r="QLV23" s="92">
        <v>0</v>
      </c>
      <c r="QLW23" s="92">
        <v>0</v>
      </c>
      <c r="QLX23" s="92">
        <v>0</v>
      </c>
      <c r="QLY23" s="92">
        <v>0</v>
      </c>
      <c r="QLZ23" s="92">
        <v>0</v>
      </c>
      <c r="QMA23" s="92">
        <v>0</v>
      </c>
      <c r="QMB23" s="92">
        <v>0</v>
      </c>
      <c r="QMC23" s="92">
        <v>0</v>
      </c>
      <c r="QMD23" s="92">
        <v>0</v>
      </c>
      <c r="QME23" s="92">
        <v>0</v>
      </c>
      <c r="QMF23" s="92">
        <v>0</v>
      </c>
      <c r="QMG23" s="92">
        <v>0</v>
      </c>
      <c r="QMH23" s="92">
        <v>0</v>
      </c>
      <c r="QMI23" s="92">
        <v>0</v>
      </c>
      <c r="QMJ23" s="92">
        <v>0</v>
      </c>
      <c r="QMK23" s="92">
        <v>0</v>
      </c>
      <c r="QML23" s="92">
        <v>0</v>
      </c>
      <c r="QMM23" s="92">
        <v>0</v>
      </c>
      <c r="QMN23" s="92">
        <v>0</v>
      </c>
      <c r="QMO23" s="92">
        <v>0</v>
      </c>
      <c r="QMP23" s="92">
        <v>0</v>
      </c>
      <c r="QMQ23" s="92">
        <v>0</v>
      </c>
      <c r="QMR23" s="92">
        <v>0</v>
      </c>
      <c r="QMS23" s="92">
        <v>0</v>
      </c>
      <c r="QMT23" s="92">
        <v>0</v>
      </c>
      <c r="QMU23" s="92">
        <v>0</v>
      </c>
      <c r="QMV23" s="92">
        <v>0</v>
      </c>
      <c r="QMW23" s="92">
        <v>0</v>
      </c>
      <c r="QMX23" s="92">
        <v>0</v>
      </c>
      <c r="QMY23" s="92">
        <v>0</v>
      </c>
      <c r="QMZ23" s="92">
        <v>0</v>
      </c>
      <c r="QNA23" s="92">
        <v>0</v>
      </c>
      <c r="QNB23" s="92">
        <v>0</v>
      </c>
      <c r="QNC23" s="92">
        <v>0</v>
      </c>
      <c r="QND23" s="92">
        <v>0</v>
      </c>
      <c r="QNE23" s="92">
        <v>0</v>
      </c>
      <c r="QNF23" s="92">
        <v>0</v>
      </c>
      <c r="QNG23" s="92">
        <v>0</v>
      </c>
      <c r="QNH23" s="92">
        <v>0</v>
      </c>
      <c r="QNI23" s="92">
        <v>0</v>
      </c>
      <c r="QNJ23" s="92">
        <v>0</v>
      </c>
      <c r="QNK23" s="92">
        <v>0</v>
      </c>
      <c r="QNL23" s="92">
        <v>0</v>
      </c>
      <c r="QNM23" s="92">
        <v>0</v>
      </c>
      <c r="QNN23" s="92">
        <v>0</v>
      </c>
      <c r="QNO23" s="92">
        <v>0</v>
      </c>
      <c r="QNP23" s="92">
        <v>0</v>
      </c>
      <c r="QNQ23" s="92">
        <v>0</v>
      </c>
      <c r="QNR23" s="92">
        <v>0</v>
      </c>
      <c r="QNS23" s="92">
        <v>0</v>
      </c>
      <c r="QNT23" s="92">
        <v>0</v>
      </c>
      <c r="QNU23" s="92">
        <v>0</v>
      </c>
      <c r="QNV23" s="92">
        <v>0</v>
      </c>
      <c r="QNW23" s="92">
        <v>0</v>
      </c>
      <c r="QNX23" s="92">
        <v>0</v>
      </c>
      <c r="QNY23" s="92">
        <v>0</v>
      </c>
      <c r="QNZ23" s="92">
        <v>0</v>
      </c>
      <c r="QOA23" s="92">
        <v>0</v>
      </c>
      <c r="QOB23" s="92">
        <v>0</v>
      </c>
      <c r="QOC23" s="92">
        <v>0</v>
      </c>
      <c r="QOD23" s="92">
        <v>0</v>
      </c>
      <c r="QOE23" s="92">
        <v>0</v>
      </c>
      <c r="QOF23" s="92">
        <v>0</v>
      </c>
      <c r="QOG23" s="92">
        <v>0</v>
      </c>
      <c r="QOH23" s="92">
        <v>0</v>
      </c>
      <c r="QOI23" s="92">
        <v>0</v>
      </c>
      <c r="QOJ23" s="92">
        <v>0</v>
      </c>
      <c r="QOK23" s="92">
        <v>0</v>
      </c>
      <c r="QOL23" s="92">
        <v>0</v>
      </c>
      <c r="QOM23" s="92">
        <v>0</v>
      </c>
      <c r="QON23" s="92">
        <v>0</v>
      </c>
      <c r="QOO23" s="92">
        <v>0</v>
      </c>
      <c r="QOP23" s="92">
        <v>0</v>
      </c>
      <c r="QOQ23" s="92">
        <v>0</v>
      </c>
      <c r="QOR23" s="92">
        <v>0</v>
      </c>
      <c r="QOS23" s="92">
        <v>0</v>
      </c>
      <c r="QOT23" s="92">
        <v>0</v>
      </c>
      <c r="QOU23" s="92">
        <v>0</v>
      </c>
      <c r="QOV23" s="92">
        <v>0</v>
      </c>
      <c r="QOW23" s="92">
        <v>0</v>
      </c>
      <c r="QOX23" s="92">
        <v>0</v>
      </c>
      <c r="QOY23" s="92">
        <v>0</v>
      </c>
      <c r="QOZ23" s="92">
        <v>0</v>
      </c>
      <c r="QPA23" s="92">
        <v>0</v>
      </c>
      <c r="QPB23" s="92">
        <v>0</v>
      </c>
      <c r="QPC23" s="92">
        <v>0</v>
      </c>
      <c r="QPD23" s="92">
        <v>0</v>
      </c>
      <c r="QPE23" s="92">
        <v>0</v>
      </c>
      <c r="QPF23" s="92">
        <v>0</v>
      </c>
      <c r="QPG23" s="92">
        <v>0</v>
      </c>
      <c r="QPH23" s="92">
        <v>0</v>
      </c>
      <c r="QPI23" s="92">
        <v>0</v>
      </c>
      <c r="QPJ23" s="92">
        <v>0</v>
      </c>
      <c r="QPK23" s="92">
        <v>0</v>
      </c>
      <c r="QPL23" s="92">
        <v>0</v>
      </c>
      <c r="QPM23" s="92">
        <v>0</v>
      </c>
      <c r="QPN23" s="92">
        <v>0</v>
      </c>
      <c r="QPO23" s="92">
        <v>0</v>
      </c>
      <c r="QPP23" s="92">
        <v>0</v>
      </c>
      <c r="QPQ23" s="92">
        <v>0</v>
      </c>
      <c r="QPR23" s="92">
        <v>0</v>
      </c>
      <c r="QPS23" s="92">
        <v>0</v>
      </c>
      <c r="QPT23" s="92">
        <v>0</v>
      </c>
      <c r="QPU23" s="92">
        <v>0</v>
      </c>
      <c r="QPV23" s="92">
        <v>0</v>
      </c>
      <c r="QPW23" s="92">
        <v>0</v>
      </c>
      <c r="QPX23" s="92">
        <v>0</v>
      </c>
      <c r="QPY23" s="92">
        <v>0</v>
      </c>
      <c r="QPZ23" s="92">
        <v>0</v>
      </c>
      <c r="QQA23" s="92">
        <v>0</v>
      </c>
      <c r="QQB23" s="92">
        <v>0</v>
      </c>
      <c r="QQC23" s="92">
        <v>0</v>
      </c>
      <c r="QQD23" s="92">
        <v>0</v>
      </c>
      <c r="QQE23" s="92">
        <v>0</v>
      </c>
      <c r="QQF23" s="92">
        <v>0</v>
      </c>
      <c r="QQG23" s="92">
        <v>0</v>
      </c>
      <c r="QQH23" s="92">
        <v>0</v>
      </c>
      <c r="QQI23" s="92">
        <v>0</v>
      </c>
      <c r="QQJ23" s="92">
        <v>0</v>
      </c>
      <c r="QQK23" s="92">
        <v>0</v>
      </c>
      <c r="QQL23" s="92">
        <v>0</v>
      </c>
      <c r="QQM23" s="92">
        <v>0</v>
      </c>
      <c r="QQN23" s="92">
        <v>0</v>
      </c>
      <c r="QQO23" s="92">
        <v>0</v>
      </c>
      <c r="QQP23" s="92">
        <v>0</v>
      </c>
      <c r="QQQ23" s="92">
        <v>0</v>
      </c>
      <c r="QQR23" s="92">
        <v>0</v>
      </c>
      <c r="QQS23" s="92">
        <v>0</v>
      </c>
      <c r="QQT23" s="92">
        <v>0</v>
      </c>
      <c r="QQU23" s="92">
        <v>0</v>
      </c>
      <c r="QQV23" s="92">
        <v>0</v>
      </c>
      <c r="QQW23" s="92">
        <v>0</v>
      </c>
      <c r="QQX23" s="92">
        <v>0</v>
      </c>
      <c r="QQY23" s="92">
        <v>0</v>
      </c>
      <c r="QQZ23" s="92">
        <v>0</v>
      </c>
      <c r="QRA23" s="92">
        <v>0</v>
      </c>
      <c r="QRB23" s="92">
        <v>0</v>
      </c>
      <c r="QRC23" s="92">
        <v>0</v>
      </c>
      <c r="QRD23" s="92">
        <v>0</v>
      </c>
      <c r="QRE23" s="92">
        <v>0</v>
      </c>
      <c r="QRF23" s="92">
        <v>0</v>
      </c>
      <c r="QRG23" s="92">
        <v>0</v>
      </c>
      <c r="QRH23" s="92">
        <v>0</v>
      </c>
      <c r="QRI23" s="92">
        <v>0</v>
      </c>
      <c r="QRJ23" s="92">
        <v>0</v>
      </c>
      <c r="QRK23" s="92">
        <v>0</v>
      </c>
      <c r="QRL23" s="92">
        <v>0</v>
      </c>
      <c r="QRM23" s="92">
        <v>0</v>
      </c>
      <c r="QRN23" s="92">
        <v>0</v>
      </c>
      <c r="QRO23" s="92">
        <v>0</v>
      </c>
      <c r="QRP23" s="92">
        <v>0</v>
      </c>
      <c r="QRQ23" s="92">
        <v>0</v>
      </c>
      <c r="QRR23" s="92">
        <v>0</v>
      </c>
      <c r="QRS23" s="92">
        <v>0</v>
      </c>
      <c r="QRT23" s="92">
        <v>0</v>
      </c>
      <c r="QRU23" s="92">
        <v>0</v>
      </c>
      <c r="QRV23" s="92">
        <v>0</v>
      </c>
      <c r="QRW23" s="92">
        <v>0</v>
      </c>
      <c r="QRX23" s="92">
        <v>0</v>
      </c>
      <c r="QRY23" s="92">
        <v>0</v>
      </c>
      <c r="QRZ23" s="92">
        <v>0</v>
      </c>
      <c r="QSA23" s="92">
        <v>0</v>
      </c>
      <c r="QSB23" s="92">
        <v>0</v>
      </c>
      <c r="QSC23" s="92">
        <v>0</v>
      </c>
      <c r="QSD23" s="92">
        <v>0</v>
      </c>
      <c r="QSE23" s="92">
        <v>0</v>
      </c>
      <c r="QSF23" s="92">
        <v>0</v>
      </c>
      <c r="QSG23" s="92">
        <v>0</v>
      </c>
      <c r="QSH23" s="92">
        <v>0</v>
      </c>
      <c r="QSI23" s="92">
        <v>0</v>
      </c>
      <c r="QSJ23" s="92">
        <v>0</v>
      </c>
      <c r="QSK23" s="92">
        <v>0</v>
      </c>
      <c r="QSL23" s="92">
        <v>0</v>
      </c>
      <c r="QSM23" s="92">
        <v>0</v>
      </c>
      <c r="QSN23" s="92">
        <v>0</v>
      </c>
      <c r="QSO23" s="92">
        <v>0</v>
      </c>
      <c r="QSP23" s="92">
        <v>0</v>
      </c>
      <c r="QSQ23" s="92">
        <v>0</v>
      </c>
      <c r="QSR23" s="92">
        <v>0</v>
      </c>
      <c r="QSS23" s="92">
        <v>0</v>
      </c>
      <c r="QST23" s="92">
        <v>0</v>
      </c>
      <c r="QSU23" s="92">
        <v>0</v>
      </c>
      <c r="QSV23" s="92">
        <v>0</v>
      </c>
      <c r="QSW23" s="92">
        <v>0</v>
      </c>
      <c r="QSX23" s="92">
        <v>0</v>
      </c>
      <c r="QSY23" s="92">
        <v>0</v>
      </c>
      <c r="QSZ23" s="92">
        <v>0</v>
      </c>
      <c r="QTA23" s="92">
        <v>0</v>
      </c>
      <c r="QTB23" s="92">
        <v>0</v>
      </c>
      <c r="QTC23" s="92">
        <v>0</v>
      </c>
      <c r="QTD23" s="92">
        <v>0</v>
      </c>
      <c r="QTE23" s="92">
        <v>0</v>
      </c>
      <c r="QTF23" s="92">
        <v>0</v>
      </c>
      <c r="QTG23" s="92">
        <v>0</v>
      </c>
      <c r="QTH23" s="92">
        <v>0</v>
      </c>
      <c r="QTI23" s="92">
        <v>0</v>
      </c>
      <c r="QTJ23" s="92">
        <v>0</v>
      </c>
      <c r="QTK23" s="92">
        <v>0</v>
      </c>
      <c r="QTL23" s="92">
        <v>0</v>
      </c>
      <c r="QTM23" s="92">
        <v>0</v>
      </c>
      <c r="QTN23" s="92">
        <v>0</v>
      </c>
      <c r="QTO23" s="92">
        <v>0</v>
      </c>
      <c r="QTP23" s="92">
        <v>0</v>
      </c>
      <c r="QTQ23" s="92">
        <v>0</v>
      </c>
      <c r="QTR23" s="92">
        <v>0</v>
      </c>
      <c r="QTS23" s="92">
        <v>0</v>
      </c>
      <c r="QTT23" s="92">
        <v>0</v>
      </c>
      <c r="QTU23" s="92">
        <v>0</v>
      </c>
      <c r="QTV23" s="92">
        <v>0</v>
      </c>
      <c r="QTW23" s="92">
        <v>0</v>
      </c>
      <c r="QTX23" s="92">
        <v>0</v>
      </c>
      <c r="QTY23" s="92">
        <v>0</v>
      </c>
      <c r="QTZ23" s="92">
        <v>0</v>
      </c>
      <c r="QUA23" s="92">
        <v>0</v>
      </c>
      <c r="QUB23" s="92">
        <v>0</v>
      </c>
      <c r="QUC23" s="92">
        <v>0</v>
      </c>
      <c r="QUD23" s="92">
        <v>0</v>
      </c>
      <c r="QUE23" s="92">
        <v>0</v>
      </c>
      <c r="QUF23" s="92">
        <v>0</v>
      </c>
      <c r="QUG23" s="92">
        <v>0</v>
      </c>
      <c r="QUH23" s="92">
        <v>0</v>
      </c>
      <c r="QUI23" s="92">
        <v>0</v>
      </c>
      <c r="QUJ23" s="92">
        <v>0</v>
      </c>
      <c r="QUK23" s="92">
        <v>0</v>
      </c>
      <c r="QUL23" s="92">
        <v>0</v>
      </c>
      <c r="QUM23" s="92">
        <v>0</v>
      </c>
      <c r="QUN23" s="92">
        <v>0</v>
      </c>
      <c r="QUO23" s="92">
        <v>0</v>
      </c>
      <c r="QUP23" s="92">
        <v>0</v>
      </c>
      <c r="QUQ23" s="92">
        <v>0</v>
      </c>
      <c r="QUR23" s="92">
        <v>0</v>
      </c>
      <c r="QUS23" s="92">
        <v>0</v>
      </c>
      <c r="QUT23" s="92">
        <v>0</v>
      </c>
      <c r="QUU23" s="92">
        <v>0</v>
      </c>
      <c r="QUV23" s="92">
        <v>0</v>
      </c>
      <c r="QUW23" s="92">
        <v>0</v>
      </c>
      <c r="QUX23" s="92">
        <v>0</v>
      </c>
      <c r="QUY23" s="92">
        <v>0</v>
      </c>
      <c r="QUZ23" s="92">
        <v>0</v>
      </c>
      <c r="QVA23" s="92">
        <v>0</v>
      </c>
      <c r="QVB23" s="92">
        <v>0</v>
      </c>
      <c r="QVC23" s="92">
        <v>0</v>
      </c>
      <c r="QVD23" s="92">
        <v>0</v>
      </c>
      <c r="QVE23" s="92">
        <v>0</v>
      </c>
      <c r="QVF23" s="92">
        <v>0</v>
      </c>
      <c r="QVG23" s="92">
        <v>0</v>
      </c>
      <c r="QVH23" s="92">
        <v>0</v>
      </c>
      <c r="QVI23" s="92">
        <v>0</v>
      </c>
      <c r="QVJ23" s="92">
        <v>0</v>
      </c>
      <c r="QVK23" s="92">
        <v>0</v>
      </c>
      <c r="QVL23" s="92">
        <v>0</v>
      </c>
      <c r="QVM23" s="92">
        <v>0</v>
      </c>
      <c r="QVN23" s="92">
        <v>0</v>
      </c>
      <c r="QVO23" s="92">
        <v>0</v>
      </c>
      <c r="QVP23" s="92">
        <v>0</v>
      </c>
      <c r="QVQ23" s="92">
        <v>0</v>
      </c>
      <c r="QVR23" s="92">
        <v>0</v>
      </c>
      <c r="QVS23" s="92">
        <v>0</v>
      </c>
      <c r="QVT23" s="92">
        <v>0</v>
      </c>
      <c r="QVU23" s="92">
        <v>0</v>
      </c>
      <c r="QVV23" s="92">
        <v>0</v>
      </c>
      <c r="QVW23" s="92">
        <v>0</v>
      </c>
      <c r="QVX23" s="92">
        <v>0</v>
      </c>
      <c r="QVY23" s="92">
        <v>0</v>
      </c>
      <c r="QVZ23" s="92">
        <v>0</v>
      </c>
      <c r="QWA23" s="92">
        <v>0</v>
      </c>
      <c r="QWB23" s="92">
        <v>0</v>
      </c>
      <c r="QWC23" s="92">
        <v>0</v>
      </c>
      <c r="QWD23" s="92">
        <v>0</v>
      </c>
      <c r="QWE23" s="92">
        <v>0</v>
      </c>
      <c r="QWF23" s="92">
        <v>0</v>
      </c>
      <c r="QWG23" s="92">
        <v>0</v>
      </c>
      <c r="QWH23" s="92">
        <v>0</v>
      </c>
      <c r="QWI23" s="92">
        <v>0</v>
      </c>
      <c r="QWJ23" s="92">
        <v>0</v>
      </c>
      <c r="QWK23" s="92">
        <v>0</v>
      </c>
      <c r="QWL23" s="92">
        <v>0</v>
      </c>
      <c r="QWM23" s="92">
        <v>0</v>
      </c>
      <c r="QWN23" s="92">
        <v>0</v>
      </c>
      <c r="QWO23" s="92">
        <v>0</v>
      </c>
      <c r="QWP23" s="92">
        <v>0</v>
      </c>
      <c r="QWQ23" s="92">
        <v>0</v>
      </c>
      <c r="QWR23" s="92">
        <v>0</v>
      </c>
      <c r="QWS23" s="92">
        <v>0</v>
      </c>
      <c r="QWT23" s="92">
        <v>0</v>
      </c>
      <c r="QWU23" s="92">
        <v>0</v>
      </c>
      <c r="QWV23" s="92">
        <v>0</v>
      </c>
      <c r="QWW23" s="92">
        <v>0</v>
      </c>
      <c r="QWX23" s="92">
        <v>0</v>
      </c>
      <c r="QWY23" s="92">
        <v>0</v>
      </c>
      <c r="QWZ23" s="92">
        <v>0</v>
      </c>
      <c r="QXA23" s="92">
        <v>0</v>
      </c>
      <c r="QXB23" s="92">
        <v>0</v>
      </c>
      <c r="QXC23" s="92">
        <v>0</v>
      </c>
      <c r="QXD23" s="92">
        <v>0</v>
      </c>
      <c r="QXE23" s="92">
        <v>0</v>
      </c>
      <c r="QXF23" s="92">
        <v>0</v>
      </c>
      <c r="QXG23" s="92">
        <v>0</v>
      </c>
      <c r="QXH23" s="92">
        <v>0</v>
      </c>
      <c r="QXI23" s="92">
        <v>0</v>
      </c>
      <c r="QXJ23" s="92">
        <v>0</v>
      </c>
      <c r="QXK23" s="92">
        <v>0</v>
      </c>
      <c r="QXL23" s="92">
        <v>0</v>
      </c>
      <c r="QXM23" s="92">
        <v>0</v>
      </c>
      <c r="QXN23" s="92">
        <v>0</v>
      </c>
      <c r="QXO23" s="92">
        <v>0</v>
      </c>
      <c r="QXP23" s="92">
        <v>0</v>
      </c>
      <c r="QXQ23" s="92">
        <v>0</v>
      </c>
      <c r="QXR23" s="92">
        <v>0</v>
      </c>
      <c r="QXS23" s="92">
        <v>0</v>
      </c>
      <c r="QXT23" s="92">
        <v>0</v>
      </c>
      <c r="QXU23" s="92">
        <v>0</v>
      </c>
      <c r="QXV23" s="92">
        <v>0</v>
      </c>
      <c r="QXW23" s="92">
        <v>0</v>
      </c>
      <c r="QXX23" s="92">
        <v>0</v>
      </c>
      <c r="QXY23" s="92">
        <v>0</v>
      </c>
      <c r="QXZ23" s="92">
        <v>0</v>
      </c>
      <c r="QYA23" s="92">
        <v>0</v>
      </c>
      <c r="QYB23" s="92">
        <v>0</v>
      </c>
      <c r="QYC23" s="92">
        <v>0</v>
      </c>
      <c r="QYD23" s="92">
        <v>0</v>
      </c>
      <c r="QYE23" s="92">
        <v>0</v>
      </c>
      <c r="QYF23" s="92">
        <v>0</v>
      </c>
      <c r="QYG23" s="92">
        <v>0</v>
      </c>
      <c r="QYH23" s="92">
        <v>0</v>
      </c>
      <c r="QYI23" s="92">
        <v>0</v>
      </c>
      <c r="QYJ23" s="92">
        <v>0</v>
      </c>
      <c r="QYK23" s="92">
        <v>0</v>
      </c>
      <c r="QYL23" s="92">
        <v>0</v>
      </c>
      <c r="QYM23" s="92">
        <v>0</v>
      </c>
      <c r="QYN23" s="92">
        <v>0</v>
      </c>
      <c r="QYO23" s="92">
        <v>0</v>
      </c>
      <c r="QYP23" s="92">
        <v>0</v>
      </c>
      <c r="QYQ23" s="92">
        <v>0</v>
      </c>
      <c r="QYR23" s="92">
        <v>0</v>
      </c>
      <c r="QYS23" s="92">
        <v>0</v>
      </c>
      <c r="QYT23" s="92">
        <v>0</v>
      </c>
      <c r="QYU23" s="92">
        <v>0</v>
      </c>
      <c r="QYV23" s="92">
        <v>0</v>
      </c>
      <c r="QYW23" s="92">
        <v>0</v>
      </c>
      <c r="QYX23" s="92">
        <v>0</v>
      </c>
      <c r="QYY23" s="92">
        <v>0</v>
      </c>
      <c r="QYZ23" s="92">
        <v>0</v>
      </c>
      <c r="QZA23" s="92">
        <v>0</v>
      </c>
      <c r="QZB23" s="92">
        <v>0</v>
      </c>
      <c r="QZC23" s="92">
        <v>0</v>
      </c>
      <c r="QZD23" s="92">
        <v>0</v>
      </c>
      <c r="QZE23" s="92">
        <v>0</v>
      </c>
      <c r="QZF23" s="92">
        <v>0</v>
      </c>
      <c r="QZG23" s="92">
        <v>0</v>
      </c>
      <c r="QZH23" s="92">
        <v>0</v>
      </c>
      <c r="QZI23" s="92">
        <v>0</v>
      </c>
      <c r="QZJ23" s="92">
        <v>0</v>
      </c>
      <c r="QZK23" s="92">
        <v>0</v>
      </c>
      <c r="QZL23" s="92">
        <v>0</v>
      </c>
      <c r="QZM23" s="92">
        <v>0</v>
      </c>
      <c r="QZN23" s="92">
        <v>0</v>
      </c>
      <c r="QZO23" s="92">
        <v>0</v>
      </c>
      <c r="QZP23" s="92">
        <v>0</v>
      </c>
      <c r="QZQ23" s="92">
        <v>0</v>
      </c>
      <c r="QZR23" s="92">
        <v>0</v>
      </c>
      <c r="QZS23" s="92">
        <v>0</v>
      </c>
      <c r="QZT23" s="92">
        <v>0</v>
      </c>
      <c r="QZU23" s="92">
        <v>0</v>
      </c>
      <c r="QZV23" s="92">
        <v>0</v>
      </c>
      <c r="QZW23" s="92">
        <v>0</v>
      </c>
      <c r="QZX23" s="92">
        <v>0</v>
      </c>
      <c r="QZY23" s="92">
        <v>0</v>
      </c>
      <c r="QZZ23" s="92">
        <v>0</v>
      </c>
      <c r="RAA23" s="92">
        <v>0</v>
      </c>
      <c r="RAB23" s="92">
        <v>0</v>
      </c>
      <c r="RAC23" s="92">
        <v>0</v>
      </c>
      <c r="RAD23" s="92">
        <v>0</v>
      </c>
      <c r="RAE23" s="92">
        <v>0</v>
      </c>
      <c r="RAF23" s="92">
        <v>0</v>
      </c>
      <c r="RAG23" s="92">
        <v>0</v>
      </c>
      <c r="RAH23" s="92">
        <v>0</v>
      </c>
      <c r="RAI23" s="92">
        <v>0</v>
      </c>
      <c r="RAJ23" s="92">
        <v>0</v>
      </c>
      <c r="RAK23" s="92">
        <v>0</v>
      </c>
      <c r="RAL23" s="92">
        <v>0</v>
      </c>
      <c r="RAM23" s="92">
        <v>0</v>
      </c>
      <c r="RAN23" s="92">
        <v>0</v>
      </c>
      <c r="RAO23" s="92">
        <v>0</v>
      </c>
      <c r="RAP23" s="92">
        <v>0</v>
      </c>
      <c r="RAQ23" s="92">
        <v>0</v>
      </c>
      <c r="RAR23" s="92">
        <v>0</v>
      </c>
      <c r="RAS23" s="92">
        <v>0</v>
      </c>
      <c r="RAT23" s="92">
        <v>0</v>
      </c>
      <c r="RAU23" s="92">
        <v>0</v>
      </c>
      <c r="RAV23" s="92">
        <v>0</v>
      </c>
      <c r="RAW23" s="92">
        <v>0</v>
      </c>
      <c r="RAX23" s="92">
        <v>0</v>
      </c>
      <c r="RAY23" s="92">
        <v>0</v>
      </c>
      <c r="RAZ23" s="92">
        <v>0</v>
      </c>
      <c r="RBA23" s="92">
        <v>0</v>
      </c>
      <c r="RBB23" s="92">
        <v>0</v>
      </c>
      <c r="RBC23" s="92">
        <v>0</v>
      </c>
      <c r="RBD23" s="92">
        <v>0</v>
      </c>
      <c r="RBE23" s="92">
        <v>0</v>
      </c>
      <c r="RBF23" s="92">
        <v>0</v>
      </c>
      <c r="RBG23" s="92">
        <v>0</v>
      </c>
      <c r="RBH23" s="92">
        <v>0</v>
      </c>
      <c r="RBI23" s="92">
        <v>0</v>
      </c>
      <c r="RBJ23" s="92">
        <v>0</v>
      </c>
      <c r="RBK23" s="92">
        <v>0</v>
      </c>
      <c r="RBL23" s="92">
        <v>0</v>
      </c>
      <c r="RBM23" s="92">
        <v>0</v>
      </c>
      <c r="RBN23" s="92">
        <v>0</v>
      </c>
      <c r="RBO23" s="92">
        <v>0</v>
      </c>
      <c r="RBP23" s="92">
        <v>0</v>
      </c>
      <c r="RBQ23" s="92">
        <v>0</v>
      </c>
      <c r="RBR23" s="92">
        <v>0</v>
      </c>
      <c r="RBS23" s="92">
        <v>0</v>
      </c>
      <c r="RBT23" s="92">
        <v>0</v>
      </c>
      <c r="RBU23" s="92">
        <v>0</v>
      </c>
      <c r="RBV23" s="92">
        <v>0</v>
      </c>
      <c r="RBW23" s="92">
        <v>0</v>
      </c>
      <c r="RBX23" s="92">
        <v>0</v>
      </c>
      <c r="RBY23" s="92">
        <v>0</v>
      </c>
      <c r="RBZ23" s="92">
        <v>0</v>
      </c>
      <c r="RCA23" s="92">
        <v>0</v>
      </c>
      <c r="RCB23" s="92">
        <v>0</v>
      </c>
      <c r="RCC23" s="92">
        <v>0</v>
      </c>
      <c r="RCD23" s="92">
        <v>0</v>
      </c>
      <c r="RCE23" s="92">
        <v>0</v>
      </c>
      <c r="RCF23" s="92">
        <v>0</v>
      </c>
      <c r="RCG23" s="92">
        <v>0</v>
      </c>
      <c r="RCH23" s="92">
        <v>0</v>
      </c>
      <c r="RCI23" s="92">
        <v>0</v>
      </c>
      <c r="RCJ23" s="92">
        <v>0</v>
      </c>
      <c r="RCK23" s="92">
        <v>0</v>
      </c>
      <c r="RCL23" s="92">
        <v>0</v>
      </c>
      <c r="RCM23" s="92">
        <v>0</v>
      </c>
      <c r="RCN23" s="92">
        <v>0</v>
      </c>
      <c r="RCO23" s="92">
        <v>0</v>
      </c>
      <c r="RCP23" s="92">
        <v>0</v>
      </c>
      <c r="RCQ23" s="92">
        <v>0</v>
      </c>
      <c r="RCR23" s="92">
        <v>0</v>
      </c>
      <c r="RCS23" s="92">
        <v>0</v>
      </c>
      <c r="RCT23" s="92">
        <v>0</v>
      </c>
      <c r="RCU23" s="92">
        <v>0</v>
      </c>
      <c r="RCV23" s="92">
        <v>0</v>
      </c>
      <c r="RCW23" s="92">
        <v>0</v>
      </c>
      <c r="RCX23" s="92">
        <v>0</v>
      </c>
      <c r="RCY23" s="92">
        <v>0</v>
      </c>
      <c r="RCZ23" s="92">
        <v>0</v>
      </c>
      <c r="RDA23" s="92">
        <v>0</v>
      </c>
      <c r="RDB23" s="92">
        <v>0</v>
      </c>
      <c r="RDC23" s="92">
        <v>0</v>
      </c>
      <c r="RDD23" s="92">
        <v>0</v>
      </c>
      <c r="RDE23" s="92">
        <v>0</v>
      </c>
      <c r="RDF23" s="92">
        <v>0</v>
      </c>
      <c r="RDG23" s="92">
        <v>0</v>
      </c>
      <c r="RDH23" s="92">
        <v>0</v>
      </c>
      <c r="RDI23" s="92">
        <v>0</v>
      </c>
      <c r="RDJ23" s="92">
        <v>0</v>
      </c>
      <c r="RDK23" s="92">
        <v>0</v>
      </c>
      <c r="RDL23" s="92">
        <v>0</v>
      </c>
      <c r="RDM23" s="92">
        <v>0</v>
      </c>
      <c r="RDN23" s="92">
        <v>0</v>
      </c>
      <c r="RDO23" s="92">
        <v>0</v>
      </c>
      <c r="RDP23" s="92">
        <v>0</v>
      </c>
      <c r="RDQ23" s="92">
        <v>0</v>
      </c>
      <c r="RDR23" s="92">
        <v>0</v>
      </c>
      <c r="RDS23" s="92">
        <v>0</v>
      </c>
      <c r="RDT23" s="92">
        <v>0</v>
      </c>
      <c r="RDU23" s="92">
        <v>0</v>
      </c>
      <c r="RDV23" s="92">
        <v>0</v>
      </c>
      <c r="RDW23" s="92">
        <v>0</v>
      </c>
      <c r="RDX23" s="92">
        <v>0</v>
      </c>
      <c r="RDY23" s="92">
        <v>0</v>
      </c>
      <c r="RDZ23" s="92">
        <v>0</v>
      </c>
      <c r="REA23" s="92">
        <v>0</v>
      </c>
      <c r="REB23" s="92">
        <v>0</v>
      </c>
      <c r="REC23" s="92">
        <v>0</v>
      </c>
      <c r="RED23" s="92">
        <v>0</v>
      </c>
      <c r="REE23" s="92">
        <v>0</v>
      </c>
      <c r="REF23" s="92">
        <v>0</v>
      </c>
      <c r="REG23" s="92">
        <v>0</v>
      </c>
      <c r="REH23" s="92">
        <v>0</v>
      </c>
      <c r="REI23" s="92">
        <v>0</v>
      </c>
      <c r="REJ23" s="92">
        <v>0</v>
      </c>
      <c r="REK23" s="92">
        <v>0</v>
      </c>
      <c r="REL23" s="92">
        <v>0</v>
      </c>
      <c r="REM23" s="92">
        <v>0</v>
      </c>
      <c r="REN23" s="92">
        <v>0</v>
      </c>
      <c r="REO23" s="92">
        <v>0</v>
      </c>
      <c r="REP23" s="92">
        <v>0</v>
      </c>
      <c r="REQ23" s="92">
        <v>0</v>
      </c>
      <c r="RER23" s="92">
        <v>0</v>
      </c>
      <c r="RES23" s="92">
        <v>0</v>
      </c>
      <c r="RET23" s="92">
        <v>0</v>
      </c>
      <c r="REU23" s="92">
        <v>0</v>
      </c>
      <c r="REV23" s="92">
        <v>0</v>
      </c>
      <c r="REW23" s="92">
        <v>0</v>
      </c>
      <c r="REX23" s="92">
        <v>0</v>
      </c>
      <c r="REY23" s="92">
        <v>0</v>
      </c>
      <c r="REZ23" s="92">
        <v>0</v>
      </c>
      <c r="RFA23" s="92">
        <v>0</v>
      </c>
      <c r="RFB23" s="92">
        <v>0</v>
      </c>
      <c r="RFC23" s="92">
        <v>0</v>
      </c>
      <c r="RFD23" s="92">
        <v>0</v>
      </c>
      <c r="RFE23" s="92">
        <v>0</v>
      </c>
      <c r="RFF23" s="92">
        <v>0</v>
      </c>
      <c r="RFG23" s="92">
        <v>0</v>
      </c>
      <c r="RFH23" s="92">
        <v>0</v>
      </c>
      <c r="RFI23" s="92">
        <v>0</v>
      </c>
      <c r="RFJ23" s="92">
        <v>0</v>
      </c>
      <c r="RFK23" s="92">
        <v>0</v>
      </c>
      <c r="RFL23" s="92">
        <v>0</v>
      </c>
      <c r="RFM23" s="92">
        <v>0</v>
      </c>
      <c r="RFN23" s="92">
        <v>0</v>
      </c>
      <c r="RFO23" s="92">
        <v>0</v>
      </c>
      <c r="RFP23" s="92">
        <v>0</v>
      </c>
      <c r="RFQ23" s="92">
        <v>0</v>
      </c>
      <c r="RFR23" s="92">
        <v>0</v>
      </c>
      <c r="RFS23" s="92">
        <v>0</v>
      </c>
      <c r="RFT23" s="92">
        <v>0</v>
      </c>
      <c r="RFU23" s="92">
        <v>0</v>
      </c>
      <c r="RFV23" s="92">
        <v>0</v>
      </c>
      <c r="RFW23" s="92">
        <v>0</v>
      </c>
      <c r="RFX23" s="92">
        <v>0</v>
      </c>
      <c r="RFY23" s="92">
        <v>0</v>
      </c>
      <c r="RFZ23" s="92">
        <v>0</v>
      </c>
      <c r="RGA23" s="92">
        <v>0</v>
      </c>
      <c r="RGB23" s="92">
        <v>0</v>
      </c>
      <c r="RGC23" s="92">
        <v>0</v>
      </c>
      <c r="RGD23" s="92">
        <v>0</v>
      </c>
      <c r="RGE23" s="92">
        <v>0</v>
      </c>
      <c r="RGF23" s="92">
        <v>0</v>
      </c>
      <c r="RGG23" s="92">
        <v>0</v>
      </c>
      <c r="RGH23" s="92">
        <v>0</v>
      </c>
      <c r="RGI23" s="92">
        <v>0</v>
      </c>
      <c r="RGJ23" s="92">
        <v>0</v>
      </c>
      <c r="RGK23" s="92">
        <v>0</v>
      </c>
      <c r="RGL23" s="92">
        <v>0</v>
      </c>
      <c r="RGM23" s="92">
        <v>0</v>
      </c>
      <c r="RGN23" s="92">
        <v>0</v>
      </c>
      <c r="RGO23" s="92">
        <v>0</v>
      </c>
      <c r="RGP23" s="92">
        <v>0</v>
      </c>
      <c r="RGQ23" s="92">
        <v>0</v>
      </c>
      <c r="RGR23" s="92">
        <v>0</v>
      </c>
      <c r="RGS23" s="92">
        <v>0</v>
      </c>
      <c r="RGT23" s="92">
        <v>0</v>
      </c>
      <c r="RGU23" s="92">
        <v>0</v>
      </c>
      <c r="RGV23" s="92">
        <v>0</v>
      </c>
      <c r="RGW23" s="92">
        <v>0</v>
      </c>
      <c r="RGX23" s="92">
        <v>0</v>
      </c>
      <c r="RGY23" s="92">
        <v>0</v>
      </c>
      <c r="RGZ23" s="92">
        <v>0</v>
      </c>
      <c r="RHA23" s="92">
        <v>0</v>
      </c>
      <c r="RHB23" s="92">
        <v>0</v>
      </c>
      <c r="RHC23" s="92">
        <v>0</v>
      </c>
      <c r="RHD23" s="92">
        <v>0</v>
      </c>
      <c r="RHE23" s="92">
        <v>0</v>
      </c>
      <c r="RHF23" s="92">
        <v>0</v>
      </c>
      <c r="RHG23" s="92">
        <v>0</v>
      </c>
      <c r="RHH23" s="92">
        <v>0</v>
      </c>
      <c r="RHI23" s="92">
        <v>0</v>
      </c>
      <c r="RHJ23" s="92">
        <v>0</v>
      </c>
      <c r="RHK23" s="92">
        <v>0</v>
      </c>
      <c r="RHL23" s="92">
        <v>0</v>
      </c>
      <c r="RHM23" s="92">
        <v>0</v>
      </c>
      <c r="RHN23" s="92">
        <v>0</v>
      </c>
      <c r="RHO23" s="92">
        <v>0</v>
      </c>
      <c r="RHP23" s="92">
        <v>0</v>
      </c>
      <c r="RHQ23" s="92">
        <v>0</v>
      </c>
      <c r="RHR23" s="92">
        <v>0</v>
      </c>
      <c r="RHS23" s="92">
        <v>0</v>
      </c>
      <c r="RHT23" s="92">
        <v>0</v>
      </c>
      <c r="RHU23" s="92">
        <v>0</v>
      </c>
      <c r="RHV23" s="92">
        <v>0</v>
      </c>
      <c r="RHW23" s="92">
        <v>0</v>
      </c>
      <c r="RHX23" s="92">
        <v>0</v>
      </c>
      <c r="RHY23" s="92">
        <v>0</v>
      </c>
      <c r="RHZ23" s="92">
        <v>0</v>
      </c>
      <c r="RIA23" s="92">
        <v>0</v>
      </c>
      <c r="RIB23" s="92">
        <v>0</v>
      </c>
      <c r="RIC23" s="92">
        <v>0</v>
      </c>
      <c r="RID23" s="92">
        <v>0</v>
      </c>
      <c r="RIE23" s="92">
        <v>0</v>
      </c>
      <c r="RIF23" s="92">
        <v>0</v>
      </c>
      <c r="RIG23" s="92">
        <v>0</v>
      </c>
      <c r="RIH23" s="92">
        <v>0</v>
      </c>
      <c r="RII23" s="92">
        <v>0</v>
      </c>
      <c r="RIJ23" s="92">
        <v>0</v>
      </c>
      <c r="RIK23" s="92">
        <v>0</v>
      </c>
      <c r="RIL23" s="92">
        <v>0</v>
      </c>
      <c r="RIM23" s="92">
        <v>0</v>
      </c>
      <c r="RIN23" s="92">
        <v>0</v>
      </c>
      <c r="RIO23" s="92">
        <v>0</v>
      </c>
      <c r="RIP23" s="92">
        <v>0</v>
      </c>
      <c r="RIQ23" s="92">
        <v>0</v>
      </c>
      <c r="RIR23" s="92">
        <v>0</v>
      </c>
      <c r="RIS23" s="92">
        <v>0</v>
      </c>
      <c r="RIT23" s="92">
        <v>0</v>
      </c>
      <c r="RIU23" s="92">
        <v>0</v>
      </c>
      <c r="RIV23" s="92">
        <v>0</v>
      </c>
      <c r="RIW23" s="92">
        <v>0</v>
      </c>
      <c r="RIX23" s="92">
        <v>0</v>
      </c>
      <c r="RIY23" s="92">
        <v>0</v>
      </c>
      <c r="RIZ23" s="92">
        <v>0</v>
      </c>
      <c r="RJA23" s="92">
        <v>0</v>
      </c>
      <c r="RJB23" s="92">
        <v>0</v>
      </c>
      <c r="RJC23" s="92">
        <v>0</v>
      </c>
      <c r="RJD23" s="92">
        <v>0</v>
      </c>
      <c r="RJE23" s="92">
        <v>0</v>
      </c>
      <c r="RJF23" s="92">
        <v>0</v>
      </c>
      <c r="RJG23" s="92">
        <v>0</v>
      </c>
      <c r="RJH23" s="92">
        <v>0</v>
      </c>
      <c r="RJI23" s="92">
        <v>0</v>
      </c>
      <c r="RJJ23" s="92">
        <v>0</v>
      </c>
      <c r="RJK23" s="92">
        <v>0</v>
      </c>
      <c r="RJL23" s="92">
        <v>0</v>
      </c>
      <c r="RJM23" s="92">
        <v>0</v>
      </c>
      <c r="RJN23" s="92">
        <v>0</v>
      </c>
      <c r="RJO23" s="92">
        <v>0</v>
      </c>
      <c r="RJP23" s="92">
        <v>0</v>
      </c>
      <c r="RJQ23" s="92">
        <v>0</v>
      </c>
      <c r="RJR23" s="92">
        <v>0</v>
      </c>
      <c r="RJS23" s="92">
        <v>0</v>
      </c>
      <c r="RJT23" s="92">
        <v>0</v>
      </c>
      <c r="RJU23" s="92">
        <v>0</v>
      </c>
      <c r="RJV23" s="92">
        <v>0</v>
      </c>
      <c r="RJW23" s="92">
        <v>0</v>
      </c>
      <c r="RJX23" s="92">
        <v>0</v>
      </c>
      <c r="RJY23" s="92">
        <v>0</v>
      </c>
      <c r="RJZ23" s="92">
        <v>0</v>
      </c>
      <c r="RKA23" s="92">
        <v>0</v>
      </c>
      <c r="RKB23" s="92">
        <v>0</v>
      </c>
      <c r="RKC23" s="92">
        <v>0</v>
      </c>
      <c r="RKD23" s="92">
        <v>0</v>
      </c>
      <c r="RKE23" s="92">
        <v>0</v>
      </c>
      <c r="RKF23" s="92">
        <v>0</v>
      </c>
      <c r="RKG23" s="92">
        <v>0</v>
      </c>
      <c r="RKH23" s="92">
        <v>0</v>
      </c>
      <c r="RKI23" s="92">
        <v>0</v>
      </c>
      <c r="RKJ23" s="92">
        <v>0</v>
      </c>
      <c r="RKK23" s="92">
        <v>0</v>
      </c>
      <c r="RKL23" s="92">
        <v>0</v>
      </c>
      <c r="RKM23" s="92">
        <v>0</v>
      </c>
      <c r="RKN23" s="92">
        <v>0</v>
      </c>
      <c r="RKO23" s="92">
        <v>0</v>
      </c>
      <c r="RKP23" s="92">
        <v>0</v>
      </c>
      <c r="RKQ23" s="92">
        <v>0</v>
      </c>
      <c r="RKR23" s="92">
        <v>0</v>
      </c>
      <c r="RKS23" s="92">
        <v>0</v>
      </c>
      <c r="RKT23" s="92">
        <v>0</v>
      </c>
      <c r="RKU23" s="92">
        <v>0</v>
      </c>
      <c r="RKV23" s="92">
        <v>0</v>
      </c>
      <c r="RKW23" s="92">
        <v>0</v>
      </c>
      <c r="RKX23" s="92">
        <v>0</v>
      </c>
      <c r="RKY23" s="92">
        <v>0</v>
      </c>
      <c r="RKZ23" s="92">
        <v>0</v>
      </c>
      <c r="RLA23" s="92">
        <v>0</v>
      </c>
      <c r="RLB23" s="92">
        <v>0</v>
      </c>
      <c r="RLC23" s="92">
        <v>0</v>
      </c>
      <c r="RLD23" s="92">
        <v>0</v>
      </c>
      <c r="RLE23" s="92">
        <v>0</v>
      </c>
      <c r="RLF23" s="92">
        <v>0</v>
      </c>
      <c r="RLG23" s="92">
        <v>0</v>
      </c>
      <c r="RLH23" s="92">
        <v>0</v>
      </c>
      <c r="RLI23" s="92">
        <v>0</v>
      </c>
      <c r="RLJ23" s="92">
        <v>0</v>
      </c>
      <c r="RLK23" s="92">
        <v>0</v>
      </c>
      <c r="RLL23" s="92">
        <v>0</v>
      </c>
      <c r="RLM23" s="92">
        <v>0</v>
      </c>
      <c r="RLN23" s="92">
        <v>0</v>
      </c>
      <c r="RLO23" s="92">
        <v>0</v>
      </c>
      <c r="RLP23" s="92">
        <v>0</v>
      </c>
      <c r="RLQ23" s="92">
        <v>0</v>
      </c>
      <c r="RLR23" s="92">
        <v>0</v>
      </c>
      <c r="RLS23" s="92">
        <v>0</v>
      </c>
      <c r="RLT23" s="92">
        <v>0</v>
      </c>
      <c r="RLU23" s="92">
        <v>0</v>
      </c>
      <c r="RLV23" s="92">
        <v>0</v>
      </c>
      <c r="RLW23" s="92">
        <v>0</v>
      </c>
      <c r="RLX23" s="92">
        <v>0</v>
      </c>
      <c r="RLY23" s="92">
        <v>0</v>
      </c>
      <c r="RLZ23" s="92">
        <v>0</v>
      </c>
      <c r="RMA23" s="92">
        <v>0</v>
      </c>
      <c r="RMB23" s="92">
        <v>0</v>
      </c>
      <c r="RMC23" s="92">
        <v>0</v>
      </c>
      <c r="RMD23" s="92">
        <v>0</v>
      </c>
      <c r="RME23" s="92">
        <v>0</v>
      </c>
      <c r="RMF23" s="92">
        <v>0</v>
      </c>
      <c r="RMG23" s="92">
        <v>0</v>
      </c>
      <c r="RMH23" s="92">
        <v>0</v>
      </c>
      <c r="RMI23" s="92">
        <v>0</v>
      </c>
      <c r="RMJ23" s="92">
        <v>0</v>
      </c>
      <c r="RMK23" s="92">
        <v>0</v>
      </c>
      <c r="RML23" s="92">
        <v>0</v>
      </c>
      <c r="RMM23" s="92">
        <v>0</v>
      </c>
      <c r="RMN23" s="92">
        <v>0</v>
      </c>
      <c r="RMO23" s="92">
        <v>0</v>
      </c>
      <c r="RMP23" s="92">
        <v>0</v>
      </c>
      <c r="RMQ23" s="92">
        <v>0</v>
      </c>
      <c r="RMR23" s="92">
        <v>0</v>
      </c>
      <c r="RMS23" s="92">
        <v>0</v>
      </c>
      <c r="RMT23" s="92">
        <v>0</v>
      </c>
      <c r="RMU23" s="92">
        <v>0</v>
      </c>
      <c r="RMV23" s="92">
        <v>0</v>
      </c>
      <c r="RMW23" s="92">
        <v>0</v>
      </c>
      <c r="RMX23" s="92">
        <v>0</v>
      </c>
      <c r="RMY23" s="92">
        <v>0</v>
      </c>
      <c r="RMZ23" s="92">
        <v>0</v>
      </c>
      <c r="RNA23" s="92">
        <v>0</v>
      </c>
      <c r="RNB23" s="92">
        <v>0</v>
      </c>
      <c r="RNC23" s="92">
        <v>0</v>
      </c>
      <c r="RND23" s="92">
        <v>0</v>
      </c>
      <c r="RNE23" s="92">
        <v>0</v>
      </c>
      <c r="RNF23" s="92">
        <v>0</v>
      </c>
      <c r="RNG23" s="92">
        <v>0</v>
      </c>
      <c r="RNH23" s="92">
        <v>0</v>
      </c>
      <c r="RNI23" s="92">
        <v>0</v>
      </c>
      <c r="RNJ23" s="92">
        <v>0</v>
      </c>
      <c r="RNK23" s="92">
        <v>0</v>
      </c>
      <c r="RNL23" s="92">
        <v>0</v>
      </c>
      <c r="RNM23" s="92">
        <v>0</v>
      </c>
      <c r="RNN23" s="92">
        <v>0</v>
      </c>
      <c r="RNO23" s="92">
        <v>0</v>
      </c>
      <c r="RNP23" s="92">
        <v>0</v>
      </c>
      <c r="RNQ23" s="92">
        <v>0</v>
      </c>
      <c r="RNR23" s="92">
        <v>0</v>
      </c>
      <c r="RNS23" s="92">
        <v>0</v>
      </c>
      <c r="RNT23" s="92">
        <v>0</v>
      </c>
      <c r="RNU23" s="92">
        <v>0</v>
      </c>
      <c r="RNV23" s="92">
        <v>0</v>
      </c>
      <c r="RNW23" s="92">
        <v>0</v>
      </c>
      <c r="RNX23" s="92">
        <v>0</v>
      </c>
      <c r="RNY23" s="92">
        <v>0</v>
      </c>
      <c r="RNZ23" s="92">
        <v>0</v>
      </c>
      <c r="ROA23" s="92">
        <v>0</v>
      </c>
      <c r="ROB23" s="92">
        <v>0</v>
      </c>
      <c r="ROC23" s="92">
        <v>0</v>
      </c>
      <c r="ROD23" s="92">
        <v>0</v>
      </c>
      <c r="ROE23" s="92">
        <v>0</v>
      </c>
      <c r="ROF23" s="92">
        <v>0</v>
      </c>
      <c r="ROG23" s="92">
        <v>0</v>
      </c>
      <c r="ROH23" s="92">
        <v>0</v>
      </c>
      <c r="ROI23" s="92">
        <v>0</v>
      </c>
      <c r="ROJ23" s="92">
        <v>0</v>
      </c>
      <c r="ROK23" s="92">
        <v>0</v>
      </c>
      <c r="ROL23" s="92">
        <v>0</v>
      </c>
      <c r="ROM23" s="92">
        <v>0</v>
      </c>
      <c r="RON23" s="92">
        <v>0</v>
      </c>
      <c r="ROO23" s="92">
        <v>0</v>
      </c>
      <c r="ROP23" s="92">
        <v>0</v>
      </c>
      <c r="ROQ23" s="92">
        <v>0</v>
      </c>
      <c r="ROR23" s="92">
        <v>0</v>
      </c>
      <c r="ROS23" s="92">
        <v>0</v>
      </c>
      <c r="ROT23" s="92">
        <v>0</v>
      </c>
      <c r="ROU23" s="92">
        <v>0</v>
      </c>
      <c r="ROV23" s="92">
        <v>0</v>
      </c>
      <c r="ROW23" s="92">
        <v>0</v>
      </c>
      <c r="ROX23" s="92">
        <v>0</v>
      </c>
      <c r="ROY23" s="92">
        <v>0</v>
      </c>
      <c r="ROZ23" s="92">
        <v>0</v>
      </c>
      <c r="RPA23" s="92">
        <v>0</v>
      </c>
      <c r="RPB23" s="92">
        <v>0</v>
      </c>
      <c r="RPC23" s="92">
        <v>0</v>
      </c>
      <c r="RPD23" s="92">
        <v>0</v>
      </c>
      <c r="RPE23" s="92">
        <v>0</v>
      </c>
      <c r="RPF23" s="92">
        <v>0</v>
      </c>
      <c r="RPG23" s="92">
        <v>0</v>
      </c>
      <c r="RPH23" s="92">
        <v>0</v>
      </c>
      <c r="RPI23" s="92">
        <v>0</v>
      </c>
      <c r="RPJ23" s="92">
        <v>0</v>
      </c>
      <c r="RPK23" s="92">
        <v>0</v>
      </c>
      <c r="RPL23" s="92">
        <v>0</v>
      </c>
      <c r="RPM23" s="92">
        <v>0</v>
      </c>
      <c r="RPN23" s="92">
        <v>0</v>
      </c>
      <c r="RPO23" s="92">
        <v>0</v>
      </c>
      <c r="RPP23" s="92">
        <v>0</v>
      </c>
      <c r="RPQ23" s="92">
        <v>0</v>
      </c>
      <c r="RPR23" s="92">
        <v>0</v>
      </c>
      <c r="RPS23" s="92">
        <v>0</v>
      </c>
      <c r="RPT23" s="92">
        <v>0</v>
      </c>
      <c r="RPU23" s="92">
        <v>0</v>
      </c>
      <c r="RPV23" s="92">
        <v>0</v>
      </c>
      <c r="RPW23" s="92">
        <v>0</v>
      </c>
      <c r="RPX23" s="92">
        <v>0</v>
      </c>
      <c r="RPY23" s="92">
        <v>0</v>
      </c>
      <c r="RPZ23" s="92">
        <v>0</v>
      </c>
      <c r="RQA23" s="92">
        <v>0</v>
      </c>
      <c r="RQB23" s="92">
        <v>0</v>
      </c>
      <c r="RQC23" s="92">
        <v>0</v>
      </c>
      <c r="RQD23" s="92">
        <v>0</v>
      </c>
      <c r="RQE23" s="92">
        <v>0</v>
      </c>
      <c r="RQF23" s="92">
        <v>0</v>
      </c>
      <c r="RQG23" s="92">
        <v>0</v>
      </c>
      <c r="RQH23" s="92">
        <v>0</v>
      </c>
      <c r="RQI23" s="92">
        <v>0</v>
      </c>
      <c r="RQJ23" s="92">
        <v>0</v>
      </c>
      <c r="RQK23" s="92">
        <v>0</v>
      </c>
      <c r="RQL23" s="92">
        <v>0</v>
      </c>
      <c r="RQM23" s="92">
        <v>0</v>
      </c>
      <c r="RQN23" s="92">
        <v>0</v>
      </c>
      <c r="RQO23" s="92">
        <v>0</v>
      </c>
      <c r="RQP23" s="92">
        <v>0</v>
      </c>
      <c r="RQQ23" s="92">
        <v>0</v>
      </c>
      <c r="RQR23" s="92">
        <v>0</v>
      </c>
      <c r="RQS23" s="92">
        <v>0</v>
      </c>
      <c r="RQT23" s="92">
        <v>0</v>
      </c>
      <c r="RQU23" s="92">
        <v>0</v>
      </c>
      <c r="RQV23" s="92">
        <v>0</v>
      </c>
      <c r="RQW23" s="92">
        <v>0</v>
      </c>
      <c r="RQX23" s="92">
        <v>0</v>
      </c>
      <c r="RQY23" s="92">
        <v>0</v>
      </c>
      <c r="RQZ23" s="92">
        <v>0</v>
      </c>
      <c r="RRA23" s="92">
        <v>0</v>
      </c>
      <c r="RRB23" s="92">
        <v>0</v>
      </c>
      <c r="RRC23" s="92">
        <v>0</v>
      </c>
      <c r="RRD23" s="92">
        <v>0</v>
      </c>
      <c r="RRE23" s="92">
        <v>0</v>
      </c>
      <c r="RRF23" s="92">
        <v>0</v>
      </c>
      <c r="RRG23" s="92">
        <v>0</v>
      </c>
      <c r="RRH23" s="92">
        <v>0</v>
      </c>
      <c r="RRI23" s="92">
        <v>0</v>
      </c>
      <c r="RRJ23" s="92">
        <v>0</v>
      </c>
      <c r="RRK23" s="92">
        <v>0</v>
      </c>
      <c r="RRL23" s="92">
        <v>0</v>
      </c>
      <c r="RRM23" s="92">
        <v>0</v>
      </c>
      <c r="RRN23" s="92">
        <v>0</v>
      </c>
      <c r="RRO23" s="92">
        <v>0</v>
      </c>
      <c r="RRP23" s="92">
        <v>0</v>
      </c>
      <c r="RRQ23" s="92">
        <v>0</v>
      </c>
      <c r="RRR23" s="92">
        <v>0</v>
      </c>
      <c r="RRS23" s="92">
        <v>0</v>
      </c>
      <c r="RRT23" s="92">
        <v>0</v>
      </c>
      <c r="RRU23" s="92">
        <v>0</v>
      </c>
      <c r="RRV23" s="92">
        <v>0</v>
      </c>
      <c r="RRW23" s="92">
        <v>0</v>
      </c>
      <c r="RRX23" s="92">
        <v>0</v>
      </c>
      <c r="RRY23" s="92">
        <v>0</v>
      </c>
      <c r="RRZ23" s="92">
        <v>0</v>
      </c>
      <c r="RSA23" s="92">
        <v>0</v>
      </c>
      <c r="RSB23" s="92">
        <v>0</v>
      </c>
      <c r="RSC23" s="92">
        <v>0</v>
      </c>
      <c r="RSD23" s="92">
        <v>0</v>
      </c>
      <c r="RSE23" s="92">
        <v>0</v>
      </c>
      <c r="RSF23" s="92">
        <v>0</v>
      </c>
      <c r="RSG23" s="92">
        <v>0</v>
      </c>
      <c r="RSH23" s="92">
        <v>0</v>
      </c>
      <c r="RSI23" s="92">
        <v>0</v>
      </c>
      <c r="RSJ23" s="92">
        <v>0</v>
      </c>
      <c r="RSK23" s="92">
        <v>0</v>
      </c>
      <c r="RSL23" s="92">
        <v>0</v>
      </c>
      <c r="RSM23" s="92">
        <v>0</v>
      </c>
      <c r="RSN23" s="92">
        <v>0</v>
      </c>
      <c r="RSO23" s="92">
        <v>0</v>
      </c>
      <c r="RSP23" s="92">
        <v>0</v>
      </c>
      <c r="RSQ23" s="92">
        <v>0</v>
      </c>
      <c r="RSR23" s="92">
        <v>0</v>
      </c>
      <c r="RSS23" s="92">
        <v>0</v>
      </c>
      <c r="RST23" s="92">
        <v>0</v>
      </c>
      <c r="RSU23" s="92">
        <v>0</v>
      </c>
      <c r="RSV23" s="92">
        <v>0</v>
      </c>
      <c r="RSW23" s="92">
        <v>0</v>
      </c>
      <c r="RSX23" s="92">
        <v>0</v>
      </c>
      <c r="RSY23" s="92">
        <v>0</v>
      </c>
      <c r="RSZ23" s="92">
        <v>0</v>
      </c>
      <c r="RTA23" s="92">
        <v>0</v>
      </c>
      <c r="RTB23" s="92">
        <v>0</v>
      </c>
      <c r="RTC23" s="92">
        <v>0</v>
      </c>
      <c r="RTD23" s="92">
        <v>0</v>
      </c>
      <c r="RTE23" s="92">
        <v>0</v>
      </c>
      <c r="RTF23" s="92">
        <v>0</v>
      </c>
      <c r="RTG23" s="92">
        <v>0</v>
      </c>
      <c r="RTH23" s="92">
        <v>0</v>
      </c>
      <c r="RTI23" s="92">
        <v>0</v>
      </c>
      <c r="RTJ23" s="92">
        <v>0</v>
      </c>
      <c r="RTK23" s="92">
        <v>0</v>
      </c>
      <c r="RTL23" s="92">
        <v>0</v>
      </c>
      <c r="RTM23" s="92">
        <v>0</v>
      </c>
      <c r="RTN23" s="92">
        <v>0</v>
      </c>
      <c r="RTO23" s="92">
        <v>0</v>
      </c>
      <c r="RTP23" s="92">
        <v>0</v>
      </c>
      <c r="RTQ23" s="92">
        <v>0</v>
      </c>
      <c r="RTR23" s="92">
        <v>0</v>
      </c>
      <c r="RTS23" s="92">
        <v>0</v>
      </c>
      <c r="RTT23" s="92">
        <v>0</v>
      </c>
      <c r="RTU23" s="92">
        <v>0</v>
      </c>
      <c r="RTV23" s="92">
        <v>0</v>
      </c>
      <c r="RTW23" s="92">
        <v>0</v>
      </c>
      <c r="RTX23" s="92">
        <v>0</v>
      </c>
      <c r="RTY23" s="92">
        <v>0</v>
      </c>
      <c r="RTZ23" s="92">
        <v>0</v>
      </c>
      <c r="RUA23" s="92">
        <v>0</v>
      </c>
      <c r="RUB23" s="92">
        <v>0</v>
      </c>
      <c r="RUC23" s="92">
        <v>0</v>
      </c>
      <c r="RUD23" s="92">
        <v>0</v>
      </c>
      <c r="RUE23" s="92">
        <v>0</v>
      </c>
      <c r="RUF23" s="92">
        <v>0</v>
      </c>
      <c r="RUG23" s="92">
        <v>0</v>
      </c>
      <c r="RUH23" s="92">
        <v>0</v>
      </c>
      <c r="RUI23" s="92">
        <v>0</v>
      </c>
      <c r="RUJ23" s="92">
        <v>0</v>
      </c>
      <c r="RUK23" s="92">
        <v>0</v>
      </c>
      <c r="RUL23" s="92">
        <v>0</v>
      </c>
      <c r="RUM23" s="92">
        <v>0</v>
      </c>
      <c r="RUN23" s="92">
        <v>0</v>
      </c>
      <c r="RUO23" s="92">
        <v>0</v>
      </c>
      <c r="RUP23" s="92">
        <v>0</v>
      </c>
      <c r="RUQ23" s="92">
        <v>0</v>
      </c>
      <c r="RUR23" s="92">
        <v>0</v>
      </c>
      <c r="RUS23" s="92">
        <v>0</v>
      </c>
      <c r="RUT23" s="92">
        <v>0</v>
      </c>
      <c r="RUU23" s="92">
        <v>0</v>
      </c>
      <c r="RUV23" s="92">
        <v>0</v>
      </c>
      <c r="RUW23" s="92">
        <v>0</v>
      </c>
      <c r="RUX23" s="92">
        <v>0</v>
      </c>
      <c r="RUY23" s="92">
        <v>0</v>
      </c>
      <c r="RUZ23" s="92">
        <v>0</v>
      </c>
      <c r="RVA23" s="92">
        <v>0</v>
      </c>
      <c r="RVB23" s="92">
        <v>0</v>
      </c>
      <c r="RVC23" s="92">
        <v>0</v>
      </c>
      <c r="RVD23" s="92">
        <v>0</v>
      </c>
      <c r="RVE23" s="92">
        <v>0</v>
      </c>
      <c r="RVF23" s="92">
        <v>0</v>
      </c>
      <c r="RVG23" s="92">
        <v>0</v>
      </c>
      <c r="RVH23" s="92">
        <v>0</v>
      </c>
      <c r="RVI23" s="92">
        <v>0</v>
      </c>
      <c r="RVJ23" s="92">
        <v>0</v>
      </c>
      <c r="RVK23" s="92">
        <v>0</v>
      </c>
      <c r="RVL23" s="92">
        <v>0</v>
      </c>
      <c r="RVM23" s="92">
        <v>0</v>
      </c>
      <c r="RVN23" s="92">
        <v>0</v>
      </c>
      <c r="RVO23" s="92">
        <v>0</v>
      </c>
      <c r="RVP23" s="92">
        <v>0</v>
      </c>
      <c r="RVQ23" s="92">
        <v>0</v>
      </c>
      <c r="RVR23" s="92">
        <v>0</v>
      </c>
      <c r="RVS23" s="92">
        <v>0</v>
      </c>
      <c r="RVT23" s="92">
        <v>0</v>
      </c>
      <c r="RVU23" s="92">
        <v>0</v>
      </c>
      <c r="RVV23" s="92">
        <v>0</v>
      </c>
      <c r="RVW23" s="92">
        <v>0</v>
      </c>
      <c r="RVX23" s="92">
        <v>0</v>
      </c>
      <c r="RVY23" s="92">
        <v>0</v>
      </c>
      <c r="RVZ23" s="92">
        <v>0</v>
      </c>
      <c r="RWA23" s="92">
        <v>0</v>
      </c>
      <c r="RWB23" s="92">
        <v>0</v>
      </c>
      <c r="RWC23" s="92">
        <v>0</v>
      </c>
      <c r="RWD23" s="92">
        <v>0</v>
      </c>
      <c r="RWE23" s="92">
        <v>0</v>
      </c>
      <c r="RWF23" s="92">
        <v>0</v>
      </c>
      <c r="RWG23" s="92">
        <v>0</v>
      </c>
      <c r="RWH23" s="92">
        <v>0</v>
      </c>
      <c r="RWI23" s="92">
        <v>0</v>
      </c>
      <c r="RWJ23" s="92">
        <v>0</v>
      </c>
      <c r="RWK23" s="92">
        <v>0</v>
      </c>
      <c r="RWL23" s="92">
        <v>0</v>
      </c>
      <c r="RWM23" s="92">
        <v>0</v>
      </c>
      <c r="RWN23" s="92">
        <v>0</v>
      </c>
      <c r="RWO23" s="92">
        <v>0</v>
      </c>
      <c r="RWP23" s="92">
        <v>0</v>
      </c>
      <c r="RWQ23" s="92">
        <v>0</v>
      </c>
      <c r="RWR23" s="92">
        <v>0</v>
      </c>
      <c r="RWS23" s="92">
        <v>0</v>
      </c>
      <c r="RWT23" s="92">
        <v>0</v>
      </c>
      <c r="RWU23" s="92">
        <v>0</v>
      </c>
      <c r="RWV23" s="92">
        <v>0</v>
      </c>
      <c r="RWW23" s="92">
        <v>0</v>
      </c>
      <c r="RWX23" s="92">
        <v>0</v>
      </c>
      <c r="RWY23" s="92">
        <v>0</v>
      </c>
      <c r="RWZ23" s="92">
        <v>0</v>
      </c>
      <c r="RXA23" s="92">
        <v>0</v>
      </c>
      <c r="RXB23" s="92">
        <v>0</v>
      </c>
      <c r="RXC23" s="92">
        <v>0</v>
      </c>
      <c r="RXD23" s="92">
        <v>0</v>
      </c>
      <c r="RXE23" s="92">
        <v>0</v>
      </c>
      <c r="RXF23" s="92">
        <v>0</v>
      </c>
      <c r="RXG23" s="92">
        <v>0</v>
      </c>
      <c r="RXH23" s="92">
        <v>0</v>
      </c>
      <c r="RXI23" s="92">
        <v>0</v>
      </c>
      <c r="RXJ23" s="92">
        <v>0</v>
      </c>
      <c r="RXK23" s="92">
        <v>0</v>
      </c>
      <c r="RXL23" s="92">
        <v>0</v>
      </c>
      <c r="RXM23" s="92">
        <v>0</v>
      </c>
      <c r="RXN23" s="92">
        <v>0</v>
      </c>
      <c r="RXO23" s="92">
        <v>0</v>
      </c>
      <c r="RXP23" s="92">
        <v>0</v>
      </c>
      <c r="RXQ23" s="92">
        <v>0</v>
      </c>
      <c r="RXR23" s="92">
        <v>0</v>
      </c>
      <c r="RXS23" s="92">
        <v>0</v>
      </c>
      <c r="RXT23" s="92">
        <v>0</v>
      </c>
      <c r="RXU23" s="92">
        <v>0</v>
      </c>
      <c r="RXV23" s="92">
        <v>0</v>
      </c>
      <c r="RXW23" s="92">
        <v>0</v>
      </c>
      <c r="RXX23" s="92">
        <v>0</v>
      </c>
      <c r="RXY23" s="92">
        <v>0</v>
      </c>
      <c r="RXZ23" s="92">
        <v>0</v>
      </c>
      <c r="RYA23" s="92">
        <v>0</v>
      </c>
      <c r="RYB23" s="92">
        <v>0</v>
      </c>
      <c r="RYC23" s="92">
        <v>0</v>
      </c>
      <c r="RYD23" s="92">
        <v>0</v>
      </c>
      <c r="RYE23" s="92">
        <v>0</v>
      </c>
      <c r="RYF23" s="92">
        <v>0</v>
      </c>
      <c r="RYG23" s="92">
        <v>0</v>
      </c>
      <c r="RYH23" s="92">
        <v>0</v>
      </c>
      <c r="RYI23" s="92">
        <v>0</v>
      </c>
      <c r="RYJ23" s="92">
        <v>0</v>
      </c>
      <c r="RYK23" s="92">
        <v>0</v>
      </c>
      <c r="RYL23" s="92">
        <v>0</v>
      </c>
      <c r="RYM23" s="92">
        <v>0</v>
      </c>
      <c r="RYN23" s="92">
        <v>0</v>
      </c>
      <c r="RYO23" s="92">
        <v>0</v>
      </c>
      <c r="RYP23" s="92">
        <v>0</v>
      </c>
      <c r="RYQ23" s="92">
        <v>0</v>
      </c>
      <c r="RYR23" s="92">
        <v>0</v>
      </c>
      <c r="RYS23" s="92">
        <v>0</v>
      </c>
      <c r="RYT23" s="92">
        <v>0</v>
      </c>
      <c r="RYU23" s="92">
        <v>0</v>
      </c>
      <c r="RYV23" s="92">
        <v>0</v>
      </c>
      <c r="RYW23" s="92">
        <v>0</v>
      </c>
      <c r="RYX23" s="92">
        <v>0</v>
      </c>
      <c r="RYY23" s="92">
        <v>0</v>
      </c>
      <c r="RYZ23" s="92">
        <v>0</v>
      </c>
      <c r="RZA23" s="92">
        <v>0</v>
      </c>
      <c r="RZB23" s="92">
        <v>0</v>
      </c>
      <c r="RZC23" s="92">
        <v>0</v>
      </c>
      <c r="RZD23" s="92">
        <v>0</v>
      </c>
      <c r="RZE23" s="92">
        <v>0</v>
      </c>
      <c r="RZF23" s="92">
        <v>0</v>
      </c>
      <c r="RZG23" s="92">
        <v>0</v>
      </c>
      <c r="RZH23" s="92">
        <v>0</v>
      </c>
      <c r="RZI23" s="92">
        <v>0</v>
      </c>
      <c r="RZJ23" s="92">
        <v>0</v>
      </c>
      <c r="RZK23" s="92">
        <v>0</v>
      </c>
      <c r="RZL23" s="92">
        <v>0</v>
      </c>
      <c r="RZM23" s="92">
        <v>0</v>
      </c>
      <c r="RZN23" s="92">
        <v>0</v>
      </c>
      <c r="RZO23" s="92">
        <v>0</v>
      </c>
      <c r="RZP23" s="92">
        <v>0</v>
      </c>
      <c r="RZQ23" s="92">
        <v>0</v>
      </c>
      <c r="RZR23" s="92">
        <v>0</v>
      </c>
      <c r="RZS23" s="92">
        <v>0</v>
      </c>
      <c r="RZT23" s="92">
        <v>0</v>
      </c>
      <c r="RZU23" s="92">
        <v>0</v>
      </c>
      <c r="RZV23" s="92">
        <v>0</v>
      </c>
      <c r="RZW23" s="92">
        <v>0</v>
      </c>
      <c r="RZX23" s="92">
        <v>0</v>
      </c>
      <c r="RZY23" s="92">
        <v>0</v>
      </c>
      <c r="RZZ23" s="92">
        <v>0</v>
      </c>
      <c r="SAA23" s="92">
        <v>0</v>
      </c>
      <c r="SAB23" s="92">
        <v>0</v>
      </c>
      <c r="SAC23" s="92">
        <v>0</v>
      </c>
      <c r="SAD23" s="92">
        <v>0</v>
      </c>
      <c r="SAE23" s="92">
        <v>0</v>
      </c>
      <c r="SAF23" s="92">
        <v>0</v>
      </c>
      <c r="SAG23" s="92">
        <v>0</v>
      </c>
      <c r="SAH23" s="92">
        <v>0</v>
      </c>
      <c r="SAI23" s="92">
        <v>0</v>
      </c>
      <c r="SAJ23" s="92">
        <v>0</v>
      </c>
      <c r="SAK23" s="92">
        <v>0</v>
      </c>
      <c r="SAL23" s="92">
        <v>0</v>
      </c>
      <c r="SAM23" s="92">
        <v>0</v>
      </c>
      <c r="SAN23" s="92">
        <v>0</v>
      </c>
      <c r="SAO23" s="92">
        <v>0</v>
      </c>
      <c r="SAP23" s="92">
        <v>0</v>
      </c>
      <c r="SAQ23" s="92">
        <v>0</v>
      </c>
      <c r="SAR23" s="92">
        <v>0</v>
      </c>
      <c r="SAS23" s="92">
        <v>0</v>
      </c>
      <c r="SAT23" s="92">
        <v>0</v>
      </c>
      <c r="SAU23" s="92">
        <v>0</v>
      </c>
      <c r="SAV23" s="92">
        <v>0</v>
      </c>
      <c r="SAW23" s="92">
        <v>0</v>
      </c>
      <c r="SAX23" s="92">
        <v>0</v>
      </c>
      <c r="SAY23" s="92">
        <v>0</v>
      </c>
      <c r="SAZ23" s="92">
        <v>0</v>
      </c>
      <c r="SBA23" s="92">
        <v>0</v>
      </c>
      <c r="SBB23" s="92">
        <v>0</v>
      </c>
      <c r="SBC23" s="92">
        <v>0</v>
      </c>
      <c r="SBD23" s="92">
        <v>0</v>
      </c>
      <c r="SBE23" s="92">
        <v>0</v>
      </c>
      <c r="SBF23" s="92">
        <v>0</v>
      </c>
      <c r="SBG23" s="92">
        <v>0</v>
      </c>
      <c r="SBH23" s="92">
        <v>0</v>
      </c>
      <c r="SBI23" s="92">
        <v>0</v>
      </c>
      <c r="SBJ23" s="92">
        <v>0</v>
      </c>
      <c r="SBK23" s="92">
        <v>0</v>
      </c>
      <c r="SBL23" s="92">
        <v>0</v>
      </c>
      <c r="SBM23" s="92">
        <v>0</v>
      </c>
      <c r="SBN23" s="92">
        <v>0</v>
      </c>
      <c r="SBO23" s="92">
        <v>0</v>
      </c>
      <c r="SBP23" s="92">
        <v>0</v>
      </c>
      <c r="SBQ23" s="92">
        <v>0</v>
      </c>
      <c r="SBR23" s="92">
        <v>0</v>
      </c>
      <c r="SBS23" s="92">
        <v>0</v>
      </c>
      <c r="SBT23" s="92">
        <v>0</v>
      </c>
      <c r="SBU23" s="92">
        <v>0</v>
      </c>
      <c r="SBV23" s="92">
        <v>0</v>
      </c>
      <c r="SBW23" s="92">
        <v>0</v>
      </c>
      <c r="SBX23" s="92">
        <v>0</v>
      </c>
      <c r="SBY23" s="92">
        <v>0</v>
      </c>
      <c r="SBZ23" s="92">
        <v>0</v>
      </c>
      <c r="SCA23" s="92">
        <v>0</v>
      </c>
      <c r="SCB23" s="92">
        <v>0</v>
      </c>
      <c r="SCC23" s="92">
        <v>0</v>
      </c>
      <c r="SCD23" s="92">
        <v>0</v>
      </c>
      <c r="SCE23" s="92">
        <v>0</v>
      </c>
      <c r="SCF23" s="92">
        <v>0</v>
      </c>
      <c r="SCG23" s="92">
        <v>0</v>
      </c>
      <c r="SCH23" s="92">
        <v>0</v>
      </c>
      <c r="SCI23" s="92">
        <v>0</v>
      </c>
      <c r="SCJ23" s="92">
        <v>0</v>
      </c>
      <c r="SCK23" s="92">
        <v>0</v>
      </c>
      <c r="SCL23" s="92">
        <v>0</v>
      </c>
      <c r="SCM23" s="92">
        <v>0</v>
      </c>
      <c r="SCN23" s="92">
        <v>0</v>
      </c>
      <c r="SCO23" s="92">
        <v>0</v>
      </c>
      <c r="SCP23" s="92">
        <v>0</v>
      </c>
      <c r="SCQ23" s="92">
        <v>0</v>
      </c>
      <c r="SCR23" s="92">
        <v>0</v>
      </c>
      <c r="SCS23" s="92">
        <v>0</v>
      </c>
      <c r="SCT23" s="92">
        <v>0</v>
      </c>
      <c r="SCU23" s="92">
        <v>0</v>
      </c>
      <c r="SCV23" s="92">
        <v>0</v>
      </c>
      <c r="SCW23" s="92">
        <v>0</v>
      </c>
      <c r="SCX23" s="92">
        <v>0</v>
      </c>
      <c r="SCY23" s="92">
        <v>0</v>
      </c>
      <c r="SCZ23" s="92">
        <v>0</v>
      </c>
      <c r="SDA23" s="92">
        <v>0</v>
      </c>
      <c r="SDB23" s="92">
        <v>0</v>
      </c>
      <c r="SDC23" s="92">
        <v>0</v>
      </c>
      <c r="SDD23" s="92">
        <v>0</v>
      </c>
      <c r="SDE23" s="92">
        <v>0</v>
      </c>
      <c r="SDF23" s="92">
        <v>0</v>
      </c>
      <c r="SDG23" s="92">
        <v>0</v>
      </c>
      <c r="SDH23" s="92">
        <v>0</v>
      </c>
      <c r="SDI23" s="92">
        <v>0</v>
      </c>
      <c r="SDJ23" s="92">
        <v>0</v>
      </c>
      <c r="SDK23" s="92">
        <v>0</v>
      </c>
      <c r="SDL23" s="92">
        <v>0</v>
      </c>
      <c r="SDM23" s="92">
        <v>0</v>
      </c>
      <c r="SDN23" s="92">
        <v>0</v>
      </c>
      <c r="SDO23" s="92">
        <v>0</v>
      </c>
      <c r="SDP23" s="92">
        <v>0</v>
      </c>
      <c r="SDQ23" s="92">
        <v>0</v>
      </c>
      <c r="SDR23" s="92">
        <v>0</v>
      </c>
      <c r="SDS23" s="92">
        <v>0</v>
      </c>
      <c r="SDT23" s="92">
        <v>0</v>
      </c>
      <c r="SDU23" s="92">
        <v>0</v>
      </c>
      <c r="SDV23" s="92">
        <v>0</v>
      </c>
      <c r="SDW23" s="92">
        <v>0</v>
      </c>
      <c r="SDX23" s="92">
        <v>0</v>
      </c>
      <c r="SDY23" s="92">
        <v>0</v>
      </c>
      <c r="SDZ23" s="92">
        <v>0</v>
      </c>
      <c r="SEA23" s="92">
        <v>0</v>
      </c>
      <c r="SEB23" s="92">
        <v>0</v>
      </c>
      <c r="SEC23" s="92">
        <v>0</v>
      </c>
      <c r="SED23" s="92">
        <v>0</v>
      </c>
      <c r="SEE23" s="92">
        <v>0</v>
      </c>
      <c r="SEF23" s="92">
        <v>0</v>
      </c>
      <c r="SEG23" s="92">
        <v>0</v>
      </c>
      <c r="SEH23" s="92">
        <v>0</v>
      </c>
      <c r="SEI23" s="92">
        <v>0</v>
      </c>
      <c r="SEJ23" s="92">
        <v>0</v>
      </c>
      <c r="SEK23" s="92">
        <v>0</v>
      </c>
      <c r="SEL23" s="92">
        <v>0</v>
      </c>
      <c r="SEM23" s="92">
        <v>0</v>
      </c>
      <c r="SEN23" s="92">
        <v>0</v>
      </c>
      <c r="SEO23" s="92">
        <v>0</v>
      </c>
      <c r="SEP23" s="92">
        <v>0</v>
      </c>
      <c r="SEQ23" s="92">
        <v>0</v>
      </c>
      <c r="SER23" s="92">
        <v>0</v>
      </c>
      <c r="SES23" s="92">
        <v>0</v>
      </c>
      <c r="SET23" s="92">
        <v>0</v>
      </c>
      <c r="SEU23" s="92">
        <v>0</v>
      </c>
      <c r="SEV23" s="92">
        <v>0</v>
      </c>
      <c r="SEW23" s="92">
        <v>0</v>
      </c>
      <c r="SEX23" s="92">
        <v>0</v>
      </c>
      <c r="SEY23" s="92">
        <v>0</v>
      </c>
      <c r="SEZ23" s="92">
        <v>0</v>
      </c>
      <c r="SFA23" s="92">
        <v>0</v>
      </c>
      <c r="SFB23" s="92">
        <v>0</v>
      </c>
      <c r="SFC23" s="92">
        <v>0</v>
      </c>
      <c r="SFD23" s="92">
        <v>0</v>
      </c>
      <c r="SFE23" s="92">
        <v>0</v>
      </c>
      <c r="SFF23" s="92">
        <v>0</v>
      </c>
      <c r="SFG23" s="92">
        <v>0</v>
      </c>
      <c r="SFH23" s="92">
        <v>0</v>
      </c>
      <c r="SFI23" s="92">
        <v>0</v>
      </c>
      <c r="SFJ23" s="92">
        <v>0</v>
      </c>
      <c r="SFK23" s="92">
        <v>0</v>
      </c>
      <c r="SFL23" s="92">
        <v>0</v>
      </c>
      <c r="SFM23" s="92">
        <v>0</v>
      </c>
      <c r="SFN23" s="92">
        <v>0</v>
      </c>
      <c r="SFO23" s="92">
        <v>0</v>
      </c>
      <c r="SFP23" s="92">
        <v>0</v>
      </c>
      <c r="SFQ23" s="92">
        <v>0</v>
      </c>
      <c r="SFR23" s="92">
        <v>0</v>
      </c>
      <c r="SFS23" s="92">
        <v>0</v>
      </c>
      <c r="SFT23" s="92">
        <v>0</v>
      </c>
      <c r="SFU23" s="92">
        <v>0</v>
      </c>
      <c r="SFV23" s="92">
        <v>0</v>
      </c>
      <c r="SFW23" s="92">
        <v>0</v>
      </c>
      <c r="SFX23" s="92">
        <v>0</v>
      </c>
      <c r="SFY23" s="92">
        <v>0</v>
      </c>
      <c r="SFZ23" s="92">
        <v>0</v>
      </c>
      <c r="SGA23" s="92">
        <v>0</v>
      </c>
      <c r="SGB23" s="92">
        <v>0</v>
      </c>
      <c r="SGC23" s="92">
        <v>0</v>
      </c>
      <c r="SGD23" s="92">
        <v>0</v>
      </c>
      <c r="SGE23" s="92">
        <v>0</v>
      </c>
      <c r="SGF23" s="92">
        <v>0</v>
      </c>
      <c r="SGG23" s="92">
        <v>0</v>
      </c>
      <c r="SGH23" s="92">
        <v>0</v>
      </c>
      <c r="SGI23" s="92">
        <v>0</v>
      </c>
      <c r="SGJ23" s="92">
        <v>0</v>
      </c>
      <c r="SGK23" s="92">
        <v>0</v>
      </c>
      <c r="SGL23" s="92">
        <v>0</v>
      </c>
      <c r="SGM23" s="92">
        <v>0</v>
      </c>
      <c r="SGN23" s="92">
        <v>0</v>
      </c>
      <c r="SGO23" s="92">
        <v>0</v>
      </c>
      <c r="SGP23" s="92">
        <v>0</v>
      </c>
      <c r="SGQ23" s="92">
        <v>0</v>
      </c>
      <c r="SGR23" s="92">
        <v>0</v>
      </c>
      <c r="SGS23" s="92">
        <v>0</v>
      </c>
      <c r="SGT23" s="92">
        <v>0</v>
      </c>
      <c r="SGU23" s="92">
        <v>0</v>
      </c>
      <c r="SGV23" s="92">
        <v>0</v>
      </c>
      <c r="SGW23" s="92">
        <v>0</v>
      </c>
      <c r="SGX23" s="92">
        <v>0</v>
      </c>
      <c r="SGY23" s="92">
        <v>0</v>
      </c>
      <c r="SGZ23" s="92">
        <v>0</v>
      </c>
      <c r="SHA23" s="92">
        <v>0</v>
      </c>
      <c r="SHB23" s="92">
        <v>0</v>
      </c>
      <c r="SHC23" s="92">
        <v>0</v>
      </c>
      <c r="SHD23" s="92">
        <v>0</v>
      </c>
      <c r="SHE23" s="92">
        <v>0</v>
      </c>
      <c r="SHF23" s="92">
        <v>0</v>
      </c>
      <c r="SHG23" s="92">
        <v>0</v>
      </c>
      <c r="SHH23" s="92">
        <v>0</v>
      </c>
      <c r="SHI23" s="92">
        <v>0</v>
      </c>
      <c r="SHJ23" s="92">
        <v>0</v>
      </c>
      <c r="SHK23" s="92">
        <v>0</v>
      </c>
      <c r="SHL23" s="92">
        <v>0</v>
      </c>
      <c r="SHM23" s="92">
        <v>0</v>
      </c>
      <c r="SHN23" s="92">
        <v>0</v>
      </c>
      <c r="SHO23" s="92">
        <v>0</v>
      </c>
      <c r="SHP23" s="92">
        <v>0</v>
      </c>
      <c r="SHQ23" s="92">
        <v>0</v>
      </c>
      <c r="SHR23" s="92">
        <v>0</v>
      </c>
      <c r="SHS23" s="92">
        <v>0</v>
      </c>
      <c r="SHT23" s="92">
        <v>0</v>
      </c>
      <c r="SHU23" s="92">
        <v>0</v>
      </c>
      <c r="SHV23" s="92">
        <v>0</v>
      </c>
      <c r="SHW23" s="92">
        <v>0</v>
      </c>
      <c r="SHX23" s="92">
        <v>0</v>
      </c>
      <c r="SHY23" s="92">
        <v>0</v>
      </c>
      <c r="SHZ23" s="92">
        <v>0</v>
      </c>
      <c r="SIA23" s="92">
        <v>0</v>
      </c>
      <c r="SIB23" s="92">
        <v>0</v>
      </c>
      <c r="SIC23" s="92">
        <v>0</v>
      </c>
      <c r="SID23" s="92">
        <v>0</v>
      </c>
      <c r="SIE23" s="92">
        <v>0</v>
      </c>
      <c r="SIF23" s="92">
        <v>0</v>
      </c>
      <c r="SIG23" s="92">
        <v>0</v>
      </c>
      <c r="SIH23" s="92">
        <v>0</v>
      </c>
      <c r="SII23" s="92">
        <v>0</v>
      </c>
      <c r="SIJ23" s="92">
        <v>0</v>
      </c>
      <c r="SIK23" s="92">
        <v>0</v>
      </c>
      <c r="SIL23" s="92">
        <v>0</v>
      </c>
      <c r="SIM23" s="92">
        <v>0</v>
      </c>
      <c r="SIN23" s="92">
        <v>0</v>
      </c>
      <c r="SIO23" s="92">
        <v>0</v>
      </c>
      <c r="SIP23" s="92">
        <v>0</v>
      </c>
      <c r="SIQ23" s="92">
        <v>0</v>
      </c>
      <c r="SIR23" s="92">
        <v>0</v>
      </c>
      <c r="SIS23" s="92">
        <v>0</v>
      </c>
      <c r="SIT23" s="92">
        <v>0</v>
      </c>
      <c r="SIU23" s="92">
        <v>0</v>
      </c>
      <c r="SIV23" s="92">
        <v>0</v>
      </c>
      <c r="SIW23" s="92">
        <v>0</v>
      </c>
      <c r="SIX23" s="92">
        <v>0</v>
      </c>
      <c r="SIY23" s="92">
        <v>0</v>
      </c>
      <c r="SIZ23" s="92">
        <v>0</v>
      </c>
      <c r="SJA23" s="92">
        <v>0</v>
      </c>
      <c r="SJB23" s="92">
        <v>0</v>
      </c>
      <c r="SJC23" s="92">
        <v>0</v>
      </c>
      <c r="SJD23" s="92">
        <v>0</v>
      </c>
      <c r="SJE23" s="92">
        <v>0</v>
      </c>
      <c r="SJF23" s="92">
        <v>0</v>
      </c>
      <c r="SJG23" s="92">
        <v>0</v>
      </c>
      <c r="SJH23" s="92">
        <v>0</v>
      </c>
      <c r="SJI23" s="92">
        <v>0</v>
      </c>
      <c r="SJJ23" s="92">
        <v>0</v>
      </c>
      <c r="SJK23" s="92">
        <v>0</v>
      </c>
      <c r="SJL23" s="92">
        <v>0</v>
      </c>
      <c r="SJM23" s="92">
        <v>0</v>
      </c>
      <c r="SJN23" s="92">
        <v>0</v>
      </c>
      <c r="SJO23" s="92">
        <v>0</v>
      </c>
      <c r="SJP23" s="92">
        <v>0</v>
      </c>
      <c r="SJQ23" s="92">
        <v>0</v>
      </c>
      <c r="SJR23" s="92">
        <v>0</v>
      </c>
      <c r="SJS23" s="92">
        <v>0</v>
      </c>
      <c r="SJT23" s="92">
        <v>0</v>
      </c>
      <c r="SJU23" s="92">
        <v>0</v>
      </c>
      <c r="SJV23" s="92">
        <v>0</v>
      </c>
      <c r="SJW23" s="92">
        <v>0</v>
      </c>
      <c r="SJX23" s="92">
        <v>0</v>
      </c>
      <c r="SJY23" s="92">
        <v>0</v>
      </c>
      <c r="SJZ23" s="92">
        <v>0</v>
      </c>
      <c r="SKA23" s="92">
        <v>0</v>
      </c>
      <c r="SKB23" s="92">
        <v>0</v>
      </c>
      <c r="SKC23" s="92">
        <v>0</v>
      </c>
      <c r="SKD23" s="92">
        <v>0</v>
      </c>
      <c r="SKE23" s="92">
        <v>0</v>
      </c>
      <c r="SKF23" s="92">
        <v>0</v>
      </c>
      <c r="SKG23" s="92">
        <v>0</v>
      </c>
      <c r="SKH23" s="92">
        <v>0</v>
      </c>
      <c r="SKI23" s="92">
        <v>0</v>
      </c>
      <c r="SKJ23" s="92">
        <v>0</v>
      </c>
      <c r="SKK23" s="92">
        <v>0</v>
      </c>
      <c r="SKL23" s="92">
        <v>0</v>
      </c>
      <c r="SKM23" s="92">
        <v>0</v>
      </c>
      <c r="SKN23" s="92">
        <v>0</v>
      </c>
      <c r="SKO23" s="92">
        <v>0</v>
      </c>
      <c r="SKP23" s="92">
        <v>0</v>
      </c>
      <c r="SKQ23" s="92">
        <v>0</v>
      </c>
      <c r="SKR23" s="92">
        <v>0</v>
      </c>
      <c r="SKS23" s="92">
        <v>0</v>
      </c>
      <c r="SKT23" s="92">
        <v>0</v>
      </c>
      <c r="SKU23" s="92">
        <v>0</v>
      </c>
      <c r="SKV23" s="92">
        <v>0</v>
      </c>
      <c r="SKW23" s="92">
        <v>0</v>
      </c>
      <c r="SKX23" s="92">
        <v>0</v>
      </c>
      <c r="SKY23" s="92">
        <v>0</v>
      </c>
      <c r="SKZ23" s="92">
        <v>0</v>
      </c>
      <c r="SLA23" s="92">
        <v>0</v>
      </c>
      <c r="SLB23" s="92">
        <v>0</v>
      </c>
      <c r="SLC23" s="92">
        <v>0</v>
      </c>
      <c r="SLD23" s="92">
        <v>0</v>
      </c>
      <c r="SLE23" s="92">
        <v>0</v>
      </c>
      <c r="SLF23" s="92">
        <v>0</v>
      </c>
      <c r="SLG23" s="92">
        <v>0</v>
      </c>
      <c r="SLH23" s="92">
        <v>0</v>
      </c>
      <c r="SLI23" s="92">
        <v>0</v>
      </c>
      <c r="SLJ23" s="92">
        <v>0</v>
      </c>
      <c r="SLK23" s="92">
        <v>0</v>
      </c>
      <c r="SLL23" s="92">
        <v>0</v>
      </c>
      <c r="SLM23" s="92">
        <v>0</v>
      </c>
      <c r="SLN23" s="92">
        <v>0</v>
      </c>
      <c r="SLO23" s="92">
        <v>0</v>
      </c>
      <c r="SLP23" s="92">
        <v>0</v>
      </c>
      <c r="SLQ23" s="92">
        <v>0</v>
      </c>
      <c r="SLR23" s="92">
        <v>0</v>
      </c>
      <c r="SLS23" s="92">
        <v>0</v>
      </c>
      <c r="SLT23" s="92">
        <v>0</v>
      </c>
      <c r="SLU23" s="92">
        <v>0</v>
      </c>
      <c r="SLV23" s="92">
        <v>0</v>
      </c>
      <c r="SLW23" s="92">
        <v>0</v>
      </c>
      <c r="SLX23" s="92">
        <v>0</v>
      </c>
      <c r="SLY23" s="92">
        <v>0</v>
      </c>
      <c r="SLZ23" s="92">
        <v>0</v>
      </c>
      <c r="SMA23" s="92">
        <v>0</v>
      </c>
      <c r="SMB23" s="92">
        <v>0</v>
      </c>
      <c r="SMC23" s="92">
        <v>0</v>
      </c>
      <c r="SMD23" s="92">
        <v>0</v>
      </c>
      <c r="SME23" s="92">
        <v>0</v>
      </c>
      <c r="SMF23" s="92">
        <v>0</v>
      </c>
      <c r="SMG23" s="92">
        <v>0</v>
      </c>
      <c r="SMH23" s="92">
        <v>0</v>
      </c>
      <c r="SMI23" s="92">
        <v>0</v>
      </c>
      <c r="SMJ23" s="92">
        <v>0</v>
      </c>
      <c r="SMK23" s="92">
        <v>0</v>
      </c>
      <c r="SML23" s="92">
        <v>0</v>
      </c>
      <c r="SMM23" s="92">
        <v>0</v>
      </c>
      <c r="SMN23" s="92">
        <v>0</v>
      </c>
      <c r="SMO23" s="92">
        <v>0</v>
      </c>
      <c r="SMP23" s="92">
        <v>0</v>
      </c>
      <c r="SMQ23" s="92">
        <v>0</v>
      </c>
      <c r="SMR23" s="92">
        <v>0</v>
      </c>
      <c r="SMS23" s="92">
        <v>0</v>
      </c>
      <c r="SMT23" s="92">
        <v>0</v>
      </c>
      <c r="SMU23" s="92">
        <v>0</v>
      </c>
      <c r="SMV23" s="92">
        <v>0</v>
      </c>
      <c r="SMW23" s="92">
        <v>0</v>
      </c>
      <c r="SMX23" s="92">
        <v>0</v>
      </c>
      <c r="SMY23" s="92">
        <v>0</v>
      </c>
      <c r="SMZ23" s="92">
        <v>0</v>
      </c>
      <c r="SNA23" s="92">
        <v>0</v>
      </c>
      <c r="SNB23" s="92">
        <v>0</v>
      </c>
      <c r="SNC23" s="92">
        <v>0</v>
      </c>
      <c r="SND23" s="92">
        <v>0</v>
      </c>
      <c r="SNE23" s="92">
        <v>0</v>
      </c>
      <c r="SNF23" s="92">
        <v>0</v>
      </c>
      <c r="SNG23" s="92">
        <v>0</v>
      </c>
      <c r="SNH23" s="92">
        <v>0</v>
      </c>
      <c r="SNI23" s="92">
        <v>0</v>
      </c>
      <c r="SNJ23" s="92">
        <v>0</v>
      </c>
      <c r="SNK23" s="92">
        <v>0</v>
      </c>
      <c r="SNL23" s="92">
        <v>0</v>
      </c>
      <c r="SNM23" s="92">
        <v>0</v>
      </c>
      <c r="SNN23" s="92">
        <v>0</v>
      </c>
      <c r="SNO23" s="92">
        <v>0</v>
      </c>
      <c r="SNP23" s="92">
        <v>0</v>
      </c>
      <c r="SNQ23" s="92">
        <v>0</v>
      </c>
      <c r="SNR23" s="92">
        <v>0</v>
      </c>
      <c r="SNS23" s="92">
        <v>0</v>
      </c>
      <c r="SNT23" s="92">
        <v>0</v>
      </c>
      <c r="SNU23" s="92">
        <v>0</v>
      </c>
      <c r="SNV23" s="92">
        <v>0</v>
      </c>
      <c r="SNW23" s="92">
        <v>0</v>
      </c>
      <c r="SNX23" s="92">
        <v>0</v>
      </c>
      <c r="SNY23" s="92">
        <v>0</v>
      </c>
      <c r="SNZ23" s="92">
        <v>0</v>
      </c>
      <c r="SOA23" s="92">
        <v>0</v>
      </c>
      <c r="SOB23" s="92">
        <v>0</v>
      </c>
      <c r="SOC23" s="92">
        <v>0</v>
      </c>
      <c r="SOD23" s="92">
        <v>0</v>
      </c>
      <c r="SOE23" s="92">
        <v>0</v>
      </c>
      <c r="SOF23" s="92">
        <v>0</v>
      </c>
      <c r="SOG23" s="92">
        <v>0</v>
      </c>
      <c r="SOH23" s="92">
        <v>0</v>
      </c>
      <c r="SOI23" s="92">
        <v>0</v>
      </c>
      <c r="SOJ23" s="92">
        <v>0</v>
      </c>
      <c r="SOK23" s="92">
        <v>0</v>
      </c>
      <c r="SOL23" s="92">
        <v>0</v>
      </c>
      <c r="SOM23" s="92">
        <v>0</v>
      </c>
      <c r="SON23" s="92">
        <v>0</v>
      </c>
      <c r="SOO23" s="92">
        <v>0</v>
      </c>
      <c r="SOP23" s="92">
        <v>0</v>
      </c>
      <c r="SOQ23" s="92">
        <v>0</v>
      </c>
      <c r="SOR23" s="92">
        <v>0</v>
      </c>
      <c r="SOS23" s="92">
        <v>0</v>
      </c>
      <c r="SOT23" s="92">
        <v>0</v>
      </c>
      <c r="SOU23" s="92">
        <v>0</v>
      </c>
      <c r="SOV23" s="92">
        <v>0</v>
      </c>
      <c r="SOW23" s="92">
        <v>0</v>
      </c>
      <c r="SOX23" s="92">
        <v>0</v>
      </c>
      <c r="SOY23" s="92">
        <v>0</v>
      </c>
      <c r="SOZ23" s="92">
        <v>0</v>
      </c>
      <c r="SPA23" s="92">
        <v>0</v>
      </c>
      <c r="SPB23" s="92">
        <v>0</v>
      </c>
      <c r="SPC23" s="92">
        <v>0</v>
      </c>
      <c r="SPD23" s="92">
        <v>0</v>
      </c>
      <c r="SPE23" s="92">
        <v>0</v>
      </c>
      <c r="SPF23" s="92">
        <v>0</v>
      </c>
      <c r="SPG23" s="92">
        <v>0</v>
      </c>
      <c r="SPH23" s="92">
        <v>0</v>
      </c>
      <c r="SPI23" s="92">
        <v>0</v>
      </c>
      <c r="SPJ23" s="92">
        <v>0</v>
      </c>
      <c r="SPK23" s="92">
        <v>0</v>
      </c>
      <c r="SPL23" s="92">
        <v>0</v>
      </c>
      <c r="SPM23" s="92">
        <v>0</v>
      </c>
      <c r="SPN23" s="92">
        <v>0</v>
      </c>
      <c r="SPO23" s="92">
        <v>0</v>
      </c>
      <c r="SPP23" s="92">
        <v>0</v>
      </c>
      <c r="SPQ23" s="92">
        <v>0</v>
      </c>
      <c r="SPR23" s="92">
        <v>0</v>
      </c>
      <c r="SPS23" s="92">
        <v>0</v>
      </c>
      <c r="SPT23" s="92">
        <v>0</v>
      </c>
      <c r="SPU23" s="92">
        <v>0</v>
      </c>
      <c r="SPV23" s="92">
        <v>0</v>
      </c>
      <c r="SPW23" s="92">
        <v>0</v>
      </c>
      <c r="SPX23" s="92">
        <v>0</v>
      </c>
      <c r="SPY23" s="92">
        <v>0</v>
      </c>
      <c r="SPZ23" s="92">
        <v>0</v>
      </c>
      <c r="SQA23" s="92">
        <v>0</v>
      </c>
      <c r="SQB23" s="92">
        <v>0</v>
      </c>
      <c r="SQC23" s="92">
        <v>0</v>
      </c>
      <c r="SQD23" s="92">
        <v>0</v>
      </c>
      <c r="SQE23" s="92">
        <v>0</v>
      </c>
      <c r="SQF23" s="92">
        <v>0</v>
      </c>
      <c r="SQG23" s="92">
        <v>0</v>
      </c>
      <c r="SQH23" s="92">
        <v>0</v>
      </c>
      <c r="SQI23" s="92">
        <v>0</v>
      </c>
      <c r="SQJ23" s="92">
        <v>0</v>
      </c>
      <c r="SQK23" s="92">
        <v>0</v>
      </c>
      <c r="SQL23" s="92">
        <v>0</v>
      </c>
      <c r="SQM23" s="92">
        <v>0</v>
      </c>
      <c r="SQN23" s="92">
        <v>0</v>
      </c>
      <c r="SQO23" s="92">
        <v>0</v>
      </c>
      <c r="SQP23" s="92">
        <v>0</v>
      </c>
      <c r="SQQ23" s="92">
        <v>0</v>
      </c>
      <c r="SQR23" s="92">
        <v>0</v>
      </c>
      <c r="SQS23" s="92">
        <v>0</v>
      </c>
      <c r="SQT23" s="92">
        <v>0</v>
      </c>
      <c r="SQU23" s="92">
        <v>0</v>
      </c>
      <c r="SQV23" s="92">
        <v>0</v>
      </c>
      <c r="SQW23" s="92">
        <v>0</v>
      </c>
      <c r="SQX23" s="92">
        <v>0</v>
      </c>
      <c r="SQY23" s="92">
        <v>0</v>
      </c>
      <c r="SQZ23" s="92">
        <v>0</v>
      </c>
      <c r="SRA23" s="92">
        <v>0</v>
      </c>
      <c r="SRB23" s="92">
        <v>0</v>
      </c>
      <c r="SRC23" s="92">
        <v>0</v>
      </c>
      <c r="SRD23" s="92">
        <v>0</v>
      </c>
      <c r="SRE23" s="92">
        <v>0</v>
      </c>
      <c r="SRF23" s="92">
        <v>0</v>
      </c>
      <c r="SRG23" s="92">
        <v>0</v>
      </c>
      <c r="SRH23" s="92">
        <v>0</v>
      </c>
      <c r="SRI23" s="92">
        <v>0</v>
      </c>
      <c r="SRJ23" s="92">
        <v>0</v>
      </c>
      <c r="SRK23" s="92">
        <v>0</v>
      </c>
      <c r="SRL23" s="92">
        <v>0</v>
      </c>
      <c r="SRM23" s="92">
        <v>0</v>
      </c>
      <c r="SRN23" s="92">
        <v>0</v>
      </c>
      <c r="SRO23" s="92">
        <v>0</v>
      </c>
      <c r="SRP23" s="92">
        <v>0</v>
      </c>
      <c r="SRQ23" s="92">
        <v>0</v>
      </c>
      <c r="SRR23" s="92">
        <v>0</v>
      </c>
      <c r="SRS23" s="92">
        <v>0</v>
      </c>
      <c r="SRT23" s="92">
        <v>0</v>
      </c>
      <c r="SRU23" s="92">
        <v>0</v>
      </c>
      <c r="SRV23" s="92">
        <v>0</v>
      </c>
      <c r="SRW23" s="92">
        <v>0</v>
      </c>
      <c r="SRX23" s="92">
        <v>0</v>
      </c>
      <c r="SRY23" s="92">
        <v>0</v>
      </c>
      <c r="SRZ23" s="92">
        <v>0</v>
      </c>
      <c r="SSA23" s="92">
        <v>0</v>
      </c>
      <c r="SSB23" s="92">
        <v>0</v>
      </c>
      <c r="SSC23" s="92">
        <v>0</v>
      </c>
      <c r="SSD23" s="92">
        <v>0</v>
      </c>
      <c r="SSE23" s="92">
        <v>0</v>
      </c>
      <c r="SSF23" s="92">
        <v>0</v>
      </c>
      <c r="SSG23" s="92">
        <v>0</v>
      </c>
      <c r="SSH23" s="92">
        <v>0</v>
      </c>
      <c r="SSI23" s="92">
        <v>0</v>
      </c>
      <c r="SSJ23" s="92">
        <v>0</v>
      </c>
      <c r="SSK23" s="92">
        <v>0</v>
      </c>
      <c r="SSL23" s="92">
        <v>0</v>
      </c>
      <c r="SSM23" s="92">
        <v>0</v>
      </c>
      <c r="SSN23" s="92">
        <v>0</v>
      </c>
      <c r="SSO23" s="92">
        <v>0</v>
      </c>
      <c r="SSP23" s="92">
        <v>0</v>
      </c>
      <c r="SSQ23" s="92">
        <v>0</v>
      </c>
      <c r="SSR23" s="92">
        <v>0</v>
      </c>
      <c r="SSS23" s="92">
        <v>0</v>
      </c>
      <c r="SST23" s="92">
        <v>0</v>
      </c>
      <c r="SSU23" s="92">
        <v>0</v>
      </c>
      <c r="SSV23" s="92">
        <v>0</v>
      </c>
      <c r="SSW23" s="92">
        <v>0</v>
      </c>
      <c r="SSX23" s="92">
        <v>0</v>
      </c>
      <c r="SSY23" s="92">
        <v>0</v>
      </c>
      <c r="SSZ23" s="92">
        <v>0</v>
      </c>
      <c r="STA23" s="92">
        <v>0</v>
      </c>
      <c r="STB23" s="92">
        <v>0</v>
      </c>
      <c r="STC23" s="92">
        <v>0</v>
      </c>
      <c r="STD23" s="92">
        <v>0</v>
      </c>
      <c r="STE23" s="92">
        <v>0</v>
      </c>
      <c r="STF23" s="92">
        <v>0</v>
      </c>
      <c r="STG23" s="92">
        <v>0</v>
      </c>
      <c r="STH23" s="92">
        <v>0</v>
      </c>
      <c r="STI23" s="92">
        <v>0</v>
      </c>
      <c r="STJ23" s="92">
        <v>0</v>
      </c>
      <c r="STK23" s="92">
        <v>0</v>
      </c>
      <c r="STL23" s="92">
        <v>0</v>
      </c>
      <c r="STM23" s="92">
        <v>0</v>
      </c>
      <c r="STN23" s="92">
        <v>0</v>
      </c>
      <c r="STO23" s="92">
        <v>0</v>
      </c>
      <c r="STP23" s="92">
        <v>0</v>
      </c>
      <c r="STQ23" s="92">
        <v>0</v>
      </c>
      <c r="STR23" s="92">
        <v>0</v>
      </c>
      <c r="STS23" s="92">
        <v>0</v>
      </c>
      <c r="STT23" s="92">
        <v>0</v>
      </c>
      <c r="STU23" s="92">
        <v>0</v>
      </c>
      <c r="STV23" s="92">
        <v>0</v>
      </c>
      <c r="STW23" s="92">
        <v>0</v>
      </c>
      <c r="STX23" s="92">
        <v>0</v>
      </c>
      <c r="STY23" s="92">
        <v>0</v>
      </c>
      <c r="STZ23" s="92">
        <v>0</v>
      </c>
      <c r="SUA23" s="92">
        <v>0</v>
      </c>
      <c r="SUB23" s="92">
        <v>0</v>
      </c>
      <c r="SUC23" s="92">
        <v>0</v>
      </c>
      <c r="SUD23" s="92">
        <v>0</v>
      </c>
      <c r="SUE23" s="92">
        <v>0</v>
      </c>
      <c r="SUF23" s="92">
        <v>0</v>
      </c>
      <c r="SUG23" s="92">
        <v>0</v>
      </c>
      <c r="SUH23" s="92">
        <v>0</v>
      </c>
      <c r="SUI23" s="92">
        <v>0</v>
      </c>
      <c r="SUJ23" s="92">
        <v>0</v>
      </c>
      <c r="SUK23" s="92">
        <v>0</v>
      </c>
      <c r="SUL23" s="92">
        <v>0</v>
      </c>
      <c r="SUM23" s="92">
        <v>0</v>
      </c>
      <c r="SUN23" s="92">
        <v>0</v>
      </c>
      <c r="SUO23" s="92">
        <v>0</v>
      </c>
      <c r="SUP23" s="92">
        <v>0</v>
      </c>
      <c r="SUQ23" s="92">
        <v>0</v>
      </c>
      <c r="SUR23" s="92">
        <v>0</v>
      </c>
      <c r="SUS23" s="92">
        <v>0</v>
      </c>
      <c r="SUT23" s="92">
        <v>0</v>
      </c>
      <c r="SUU23" s="92">
        <v>0</v>
      </c>
      <c r="SUV23" s="92">
        <v>0</v>
      </c>
      <c r="SUW23" s="92">
        <v>0</v>
      </c>
      <c r="SUX23" s="92">
        <v>0</v>
      </c>
      <c r="SUY23" s="92">
        <v>0</v>
      </c>
      <c r="SUZ23" s="92">
        <v>0</v>
      </c>
      <c r="SVA23" s="92">
        <v>0</v>
      </c>
      <c r="SVB23" s="92">
        <v>0</v>
      </c>
      <c r="SVC23" s="92">
        <v>0</v>
      </c>
      <c r="SVD23" s="92">
        <v>0</v>
      </c>
      <c r="SVE23" s="92">
        <v>0</v>
      </c>
      <c r="SVF23" s="92">
        <v>0</v>
      </c>
      <c r="SVG23" s="92">
        <v>0</v>
      </c>
      <c r="SVH23" s="92">
        <v>0</v>
      </c>
      <c r="SVI23" s="92">
        <v>0</v>
      </c>
      <c r="SVJ23" s="92">
        <v>0</v>
      </c>
      <c r="SVK23" s="92">
        <v>0</v>
      </c>
      <c r="SVL23" s="92">
        <v>0</v>
      </c>
      <c r="SVM23" s="92">
        <v>0</v>
      </c>
      <c r="SVN23" s="92">
        <v>0</v>
      </c>
      <c r="SVO23" s="92">
        <v>0</v>
      </c>
      <c r="SVP23" s="92">
        <v>0</v>
      </c>
      <c r="SVQ23" s="92">
        <v>0</v>
      </c>
      <c r="SVR23" s="92">
        <v>0</v>
      </c>
      <c r="SVS23" s="92">
        <v>0</v>
      </c>
      <c r="SVT23" s="92">
        <v>0</v>
      </c>
      <c r="SVU23" s="92">
        <v>0</v>
      </c>
      <c r="SVV23" s="92">
        <v>0</v>
      </c>
      <c r="SVW23" s="92">
        <v>0</v>
      </c>
      <c r="SVX23" s="92">
        <v>0</v>
      </c>
      <c r="SVY23" s="92">
        <v>0</v>
      </c>
      <c r="SVZ23" s="92">
        <v>0</v>
      </c>
      <c r="SWA23" s="92">
        <v>0</v>
      </c>
      <c r="SWB23" s="92">
        <v>0</v>
      </c>
      <c r="SWC23" s="92">
        <v>0</v>
      </c>
      <c r="SWD23" s="92">
        <v>0</v>
      </c>
      <c r="SWE23" s="92">
        <v>0</v>
      </c>
      <c r="SWF23" s="92">
        <v>0</v>
      </c>
      <c r="SWG23" s="92">
        <v>0</v>
      </c>
      <c r="SWH23" s="92">
        <v>0</v>
      </c>
      <c r="SWI23" s="92">
        <v>0</v>
      </c>
      <c r="SWJ23" s="92">
        <v>0</v>
      </c>
      <c r="SWK23" s="92">
        <v>0</v>
      </c>
      <c r="SWL23" s="92">
        <v>0</v>
      </c>
      <c r="SWM23" s="92">
        <v>0</v>
      </c>
      <c r="SWN23" s="92">
        <v>0</v>
      </c>
      <c r="SWO23" s="92">
        <v>0</v>
      </c>
      <c r="SWP23" s="92">
        <v>0</v>
      </c>
      <c r="SWQ23" s="92">
        <v>0</v>
      </c>
      <c r="SWR23" s="92">
        <v>0</v>
      </c>
      <c r="SWS23" s="92">
        <v>0</v>
      </c>
      <c r="SWT23" s="92">
        <v>0</v>
      </c>
      <c r="SWU23" s="92">
        <v>0</v>
      </c>
      <c r="SWV23" s="92">
        <v>0</v>
      </c>
      <c r="SWW23" s="92">
        <v>0</v>
      </c>
      <c r="SWX23" s="92">
        <v>0</v>
      </c>
      <c r="SWY23" s="92">
        <v>0</v>
      </c>
      <c r="SWZ23" s="92">
        <v>0</v>
      </c>
      <c r="SXA23" s="92">
        <v>0</v>
      </c>
      <c r="SXB23" s="92">
        <v>0</v>
      </c>
      <c r="SXC23" s="92">
        <v>0</v>
      </c>
      <c r="SXD23" s="92">
        <v>0</v>
      </c>
      <c r="SXE23" s="92">
        <v>0</v>
      </c>
      <c r="SXF23" s="92">
        <v>0</v>
      </c>
      <c r="SXG23" s="92">
        <v>0</v>
      </c>
      <c r="SXH23" s="92">
        <v>0</v>
      </c>
      <c r="SXI23" s="92">
        <v>0</v>
      </c>
      <c r="SXJ23" s="92">
        <v>0</v>
      </c>
      <c r="SXK23" s="92">
        <v>0</v>
      </c>
      <c r="SXL23" s="92">
        <v>0</v>
      </c>
      <c r="SXM23" s="92">
        <v>0</v>
      </c>
      <c r="SXN23" s="92">
        <v>0</v>
      </c>
      <c r="SXO23" s="92">
        <v>0</v>
      </c>
      <c r="SXP23" s="92">
        <v>0</v>
      </c>
      <c r="SXQ23" s="92">
        <v>0</v>
      </c>
      <c r="SXR23" s="92">
        <v>0</v>
      </c>
      <c r="SXS23" s="92">
        <v>0</v>
      </c>
      <c r="SXT23" s="92">
        <v>0</v>
      </c>
      <c r="SXU23" s="92">
        <v>0</v>
      </c>
      <c r="SXV23" s="92">
        <v>0</v>
      </c>
      <c r="SXW23" s="92">
        <v>0</v>
      </c>
      <c r="SXX23" s="92">
        <v>0</v>
      </c>
      <c r="SXY23" s="92">
        <v>0</v>
      </c>
      <c r="SXZ23" s="92">
        <v>0</v>
      </c>
      <c r="SYA23" s="92">
        <v>0</v>
      </c>
      <c r="SYB23" s="92">
        <v>0</v>
      </c>
      <c r="SYC23" s="92">
        <v>0</v>
      </c>
      <c r="SYD23" s="92">
        <v>0</v>
      </c>
      <c r="SYE23" s="92">
        <v>0</v>
      </c>
      <c r="SYF23" s="92">
        <v>0</v>
      </c>
      <c r="SYG23" s="92">
        <v>0</v>
      </c>
      <c r="SYH23" s="92">
        <v>0</v>
      </c>
      <c r="SYI23" s="92">
        <v>0</v>
      </c>
      <c r="SYJ23" s="92">
        <v>0</v>
      </c>
      <c r="SYK23" s="92">
        <v>0</v>
      </c>
      <c r="SYL23" s="92">
        <v>0</v>
      </c>
      <c r="SYM23" s="92">
        <v>0</v>
      </c>
      <c r="SYN23" s="92">
        <v>0</v>
      </c>
      <c r="SYO23" s="92">
        <v>0</v>
      </c>
      <c r="SYP23" s="92">
        <v>0</v>
      </c>
      <c r="SYQ23" s="92">
        <v>0</v>
      </c>
      <c r="SYR23" s="92">
        <v>0</v>
      </c>
      <c r="SYS23" s="92">
        <v>0</v>
      </c>
      <c r="SYT23" s="92">
        <v>0</v>
      </c>
      <c r="SYU23" s="92">
        <v>0</v>
      </c>
      <c r="SYV23" s="92">
        <v>0</v>
      </c>
      <c r="SYW23" s="92">
        <v>0</v>
      </c>
      <c r="SYX23" s="92">
        <v>0</v>
      </c>
      <c r="SYY23" s="92">
        <v>0</v>
      </c>
      <c r="SYZ23" s="92">
        <v>0</v>
      </c>
      <c r="SZA23" s="92">
        <v>0</v>
      </c>
      <c r="SZB23" s="92">
        <v>0</v>
      </c>
      <c r="SZC23" s="92">
        <v>0</v>
      </c>
      <c r="SZD23" s="92">
        <v>0</v>
      </c>
      <c r="SZE23" s="92">
        <v>0</v>
      </c>
      <c r="SZF23" s="92">
        <v>0</v>
      </c>
      <c r="SZG23" s="92">
        <v>0</v>
      </c>
      <c r="SZH23" s="92">
        <v>0</v>
      </c>
      <c r="SZI23" s="92">
        <v>0</v>
      </c>
      <c r="SZJ23" s="92">
        <v>0</v>
      </c>
      <c r="SZK23" s="92">
        <v>0</v>
      </c>
      <c r="SZL23" s="92">
        <v>0</v>
      </c>
      <c r="SZM23" s="92">
        <v>0</v>
      </c>
      <c r="SZN23" s="92">
        <v>0</v>
      </c>
      <c r="SZO23" s="92">
        <v>0</v>
      </c>
      <c r="SZP23" s="92">
        <v>0</v>
      </c>
      <c r="SZQ23" s="92">
        <v>0</v>
      </c>
      <c r="SZR23" s="92">
        <v>0</v>
      </c>
      <c r="SZS23" s="92">
        <v>0</v>
      </c>
      <c r="SZT23" s="92">
        <v>0</v>
      </c>
      <c r="SZU23" s="92">
        <v>0</v>
      </c>
      <c r="SZV23" s="92">
        <v>0</v>
      </c>
      <c r="SZW23" s="92">
        <v>0</v>
      </c>
      <c r="SZX23" s="92">
        <v>0</v>
      </c>
      <c r="SZY23" s="92">
        <v>0</v>
      </c>
      <c r="SZZ23" s="92">
        <v>0</v>
      </c>
      <c r="TAA23" s="92">
        <v>0</v>
      </c>
      <c r="TAB23" s="92">
        <v>0</v>
      </c>
      <c r="TAC23" s="92">
        <v>0</v>
      </c>
      <c r="TAD23" s="92">
        <v>0</v>
      </c>
      <c r="TAE23" s="92">
        <v>0</v>
      </c>
      <c r="TAF23" s="92">
        <v>0</v>
      </c>
      <c r="TAG23" s="92">
        <v>0</v>
      </c>
      <c r="TAH23" s="92">
        <v>0</v>
      </c>
      <c r="TAI23" s="92">
        <v>0</v>
      </c>
      <c r="TAJ23" s="92">
        <v>0</v>
      </c>
      <c r="TAK23" s="92">
        <v>0</v>
      </c>
      <c r="TAL23" s="92">
        <v>0</v>
      </c>
      <c r="TAM23" s="92">
        <v>0</v>
      </c>
      <c r="TAN23" s="92">
        <v>0</v>
      </c>
      <c r="TAO23" s="92">
        <v>0</v>
      </c>
      <c r="TAP23" s="92">
        <v>0</v>
      </c>
      <c r="TAQ23" s="92">
        <v>0</v>
      </c>
      <c r="TAR23" s="92">
        <v>0</v>
      </c>
      <c r="TAS23" s="92">
        <v>0</v>
      </c>
      <c r="TAT23" s="92">
        <v>0</v>
      </c>
      <c r="TAU23" s="92">
        <v>0</v>
      </c>
      <c r="TAV23" s="92">
        <v>0</v>
      </c>
      <c r="TAW23" s="92">
        <v>0</v>
      </c>
      <c r="TAX23" s="92">
        <v>0</v>
      </c>
      <c r="TAY23" s="92">
        <v>0</v>
      </c>
      <c r="TAZ23" s="92">
        <v>0</v>
      </c>
      <c r="TBA23" s="92">
        <v>0</v>
      </c>
      <c r="TBB23" s="92">
        <v>0</v>
      </c>
      <c r="TBC23" s="92">
        <v>0</v>
      </c>
      <c r="TBD23" s="92">
        <v>0</v>
      </c>
      <c r="TBE23" s="92">
        <v>0</v>
      </c>
      <c r="TBF23" s="92">
        <v>0</v>
      </c>
      <c r="TBG23" s="92">
        <v>0</v>
      </c>
      <c r="TBH23" s="92">
        <v>0</v>
      </c>
      <c r="TBI23" s="92">
        <v>0</v>
      </c>
      <c r="TBJ23" s="92">
        <v>0</v>
      </c>
      <c r="TBK23" s="92">
        <v>0</v>
      </c>
      <c r="TBL23" s="92">
        <v>0</v>
      </c>
      <c r="TBM23" s="92">
        <v>0</v>
      </c>
      <c r="TBN23" s="92">
        <v>0</v>
      </c>
      <c r="TBO23" s="92">
        <v>0</v>
      </c>
      <c r="TBP23" s="92">
        <v>0</v>
      </c>
      <c r="TBQ23" s="92">
        <v>0</v>
      </c>
      <c r="TBR23" s="92">
        <v>0</v>
      </c>
      <c r="TBS23" s="92">
        <v>0</v>
      </c>
      <c r="TBT23" s="92">
        <v>0</v>
      </c>
      <c r="TBU23" s="92">
        <v>0</v>
      </c>
      <c r="TBV23" s="92">
        <v>0</v>
      </c>
      <c r="TBW23" s="92">
        <v>0</v>
      </c>
      <c r="TBX23" s="92">
        <v>0</v>
      </c>
      <c r="TBY23" s="92">
        <v>0</v>
      </c>
      <c r="TBZ23" s="92">
        <v>0</v>
      </c>
      <c r="TCA23" s="92">
        <v>0</v>
      </c>
      <c r="TCB23" s="92">
        <v>0</v>
      </c>
      <c r="TCC23" s="92">
        <v>0</v>
      </c>
      <c r="TCD23" s="92">
        <v>0</v>
      </c>
      <c r="TCE23" s="92">
        <v>0</v>
      </c>
      <c r="TCF23" s="92">
        <v>0</v>
      </c>
      <c r="TCG23" s="92">
        <v>0</v>
      </c>
      <c r="TCH23" s="92">
        <v>0</v>
      </c>
      <c r="TCI23" s="92">
        <v>0</v>
      </c>
      <c r="TCJ23" s="92">
        <v>0</v>
      </c>
      <c r="TCK23" s="92">
        <v>0</v>
      </c>
      <c r="TCL23" s="92">
        <v>0</v>
      </c>
      <c r="TCM23" s="92">
        <v>0</v>
      </c>
      <c r="TCN23" s="92">
        <v>0</v>
      </c>
      <c r="TCO23" s="92">
        <v>0</v>
      </c>
      <c r="TCP23" s="92">
        <v>0</v>
      </c>
      <c r="TCQ23" s="92">
        <v>0</v>
      </c>
      <c r="TCR23" s="92">
        <v>0</v>
      </c>
      <c r="TCS23" s="92">
        <v>0</v>
      </c>
      <c r="TCT23" s="92">
        <v>0</v>
      </c>
      <c r="TCU23" s="92">
        <v>0</v>
      </c>
      <c r="TCV23" s="92">
        <v>0</v>
      </c>
      <c r="TCW23" s="92">
        <v>0</v>
      </c>
      <c r="TCX23" s="92">
        <v>0</v>
      </c>
      <c r="TCY23" s="92">
        <v>0</v>
      </c>
      <c r="TCZ23" s="92">
        <v>0</v>
      </c>
      <c r="TDA23" s="92">
        <v>0</v>
      </c>
      <c r="TDB23" s="92">
        <v>0</v>
      </c>
      <c r="TDC23" s="92">
        <v>0</v>
      </c>
      <c r="TDD23" s="92">
        <v>0</v>
      </c>
      <c r="TDE23" s="92">
        <v>0</v>
      </c>
      <c r="TDF23" s="92">
        <v>0</v>
      </c>
      <c r="TDG23" s="92">
        <v>0</v>
      </c>
      <c r="TDH23" s="92">
        <v>0</v>
      </c>
      <c r="TDI23" s="92">
        <v>0</v>
      </c>
      <c r="TDJ23" s="92">
        <v>0</v>
      </c>
      <c r="TDK23" s="92">
        <v>0</v>
      </c>
      <c r="TDL23" s="92">
        <v>0</v>
      </c>
      <c r="TDM23" s="92">
        <v>0</v>
      </c>
      <c r="TDN23" s="92">
        <v>0</v>
      </c>
      <c r="TDO23" s="92">
        <v>0</v>
      </c>
      <c r="TDP23" s="92">
        <v>0</v>
      </c>
      <c r="TDQ23" s="92">
        <v>0</v>
      </c>
      <c r="TDR23" s="92">
        <v>0</v>
      </c>
      <c r="TDS23" s="92">
        <v>0</v>
      </c>
      <c r="TDT23" s="92">
        <v>0</v>
      </c>
      <c r="TDU23" s="92">
        <v>0</v>
      </c>
      <c r="TDV23" s="92">
        <v>0</v>
      </c>
      <c r="TDW23" s="92">
        <v>0</v>
      </c>
      <c r="TDX23" s="92">
        <v>0</v>
      </c>
      <c r="TDY23" s="92">
        <v>0</v>
      </c>
      <c r="TDZ23" s="92">
        <v>0</v>
      </c>
      <c r="TEA23" s="92">
        <v>0</v>
      </c>
      <c r="TEB23" s="92">
        <v>0</v>
      </c>
      <c r="TEC23" s="92">
        <v>0</v>
      </c>
      <c r="TED23" s="92">
        <v>0</v>
      </c>
      <c r="TEE23" s="92">
        <v>0</v>
      </c>
      <c r="TEF23" s="92">
        <v>0</v>
      </c>
      <c r="TEG23" s="92">
        <v>0</v>
      </c>
      <c r="TEH23" s="92">
        <v>0</v>
      </c>
      <c r="TEI23" s="92">
        <v>0</v>
      </c>
      <c r="TEJ23" s="92">
        <v>0</v>
      </c>
      <c r="TEK23" s="92">
        <v>0</v>
      </c>
      <c r="TEL23" s="92">
        <v>0</v>
      </c>
      <c r="TEM23" s="92">
        <v>0</v>
      </c>
      <c r="TEN23" s="92">
        <v>0</v>
      </c>
      <c r="TEO23" s="92">
        <v>0</v>
      </c>
      <c r="TEP23" s="92">
        <v>0</v>
      </c>
      <c r="TEQ23" s="92">
        <v>0</v>
      </c>
      <c r="TER23" s="92">
        <v>0</v>
      </c>
      <c r="TES23" s="92">
        <v>0</v>
      </c>
      <c r="TET23" s="92">
        <v>0</v>
      </c>
      <c r="TEU23" s="92">
        <v>0</v>
      </c>
      <c r="TEV23" s="92">
        <v>0</v>
      </c>
      <c r="TEW23" s="92">
        <v>0</v>
      </c>
      <c r="TEX23" s="92">
        <v>0</v>
      </c>
      <c r="TEY23" s="92">
        <v>0</v>
      </c>
      <c r="TEZ23" s="92">
        <v>0</v>
      </c>
      <c r="TFA23" s="92">
        <v>0</v>
      </c>
      <c r="TFB23" s="92">
        <v>0</v>
      </c>
      <c r="TFC23" s="92">
        <v>0</v>
      </c>
      <c r="TFD23" s="92">
        <v>0</v>
      </c>
      <c r="TFE23" s="92">
        <v>0</v>
      </c>
      <c r="TFF23" s="92">
        <v>0</v>
      </c>
      <c r="TFG23" s="92">
        <v>0</v>
      </c>
      <c r="TFH23" s="92">
        <v>0</v>
      </c>
      <c r="TFI23" s="92">
        <v>0</v>
      </c>
      <c r="TFJ23" s="92">
        <v>0</v>
      </c>
      <c r="TFK23" s="92">
        <v>0</v>
      </c>
      <c r="TFL23" s="92">
        <v>0</v>
      </c>
      <c r="TFM23" s="92">
        <v>0</v>
      </c>
      <c r="TFN23" s="92">
        <v>0</v>
      </c>
      <c r="TFO23" s="92">
        <v>0</v>
      </c>
      <c r="TFP23" s="92">
        <v>0</v>
      </c>
      <c r="TFQ23" s="92">
        <v>0</v>
      </c>
      <c r="TFR23" s="92">
        <v>0</v>
      </c>
      <c r="TFS23" s="92">
        <v>0</v>
      </c>
      <c r="TFT23" s="92">
        <v>0</v>
      </c>
      <c r="TFU23" s="92">
        <v>0</v>
      </c>
      <c r="TFV23" s="92">
        <v>0</v>
      </c>
      <c r="TFW23" s="92">
        <v>0</v>
      </c>
      <c r="TFX23" s="92">
        <v>0</v>
      </c>
      <c r="TFY23" s="92">
        <v>0</v>
      </c>
      <c r="TFZ23" s="92">
        <v>0</v>
      </c>
      <c r="TGA23" s="92">
        <v>0</v>
      </c>
      <c r="TGB23" s="92">
        <v>0</v>
      </c>
      <c r="TGC23" s="92">
        <v>0</v>
      </c>
      <c r="TGD23" s="92">
        <v>0</v>
      </c>
      <c r="TGE23" s="92">
        <v>0</v>
      </c>
      <c r="TGF23" s="92">
        <v>0</v>
      </c>
      <c r="TGG23" s="92">
        <v>0</v>
      </c>
      <c r="TGH23" s="92">
        <v>0</v>
      </c>
      <c r="TGI23" s="92">
        <v>0</v>
      </c>
      <c r="TGJ23" s="92">
        <v>0</v>
      </c>
      <c r="TGK23" s="92">
        <v>0</v>
      </c>
      <c r="TGL23" s="92">
        <v>0</v>
      </c>
      <c r="TGM23" s="92">
        <v>0</v>
      </c>
      <c r="TGN23" s="92">
        <v>0</v>
      </c>
      <c r="TGO23" s="92">
        <v>0</v>
      </c>
      <c r="TGP23" s="92">
        <v>0</v>
      </c>
      <c r="TGQ23" s="92">
        <v>0</v>
      </c>
      <c r="TGR23" s="92">
        <v>0</v>
      </c>
      <c r="TGS23" s="92">
        <v>0</v>
      </c>
      <c r="TGT23" s="92">
        <v>0</v>
      </c>
      <c r="TGU23" s="92">
        <v>0</v>
      </c>
      <c r="TGV23" s="92">
        <v>0</v>
      </c>
      <c r="TGW23" s="92">
        <v>0</v>
      </c>
      <c r="TGX23" s="92">
        <v>0</v>
      </c>
      <c r="TGY23" s="92">
        <v>0</v>
      </c>
      <c r="TGZ23" s="92">
        <v>0</v>
      </c>
      <c r="THA23" s="92">
        <v>0</v>
      </c>
      <c r="THB23" s="92">
        <v>0</v>
      </c>
      <c r="THC23" s="92">
        <v>0</v>
      </c>
      <c r="THD23" s="92">
        <v>0</v>
      </c>
      <c r="THE23" s="92">
        <v>0</v>
      </c>
      <c r="THF23" s="92">
        <v>0</v>
      </c>
      <c r="THG23" s="92">
        <v>0</v>
      </c>
      <c r="THH23" s="92">
        <v>0</v>
      </c>
      <c r="THI23" s="92">
        <v>0</v>
      </c>
      <c r="THJ23" s="92">
        <v>0</v>
      </c>
      <c r="THK23" s="92">
        <v>0</v>
      </c>
      <c r="THL23" s="92">
        <v>0</v>
      </c>
      <c r="THM23" s="92">
        <v>0</v>
      </c>
      <c r="THN23" s="92">
        <v>0</v>
      </c>
      <c r="THO23" s="92">
        <v>0</v>
      </c>
      <c r="THP23" s="92">
        <v>0</v>
      </c>
      <c r="THQ23" s="92">
        <v>0</v>
      </c>
      <c r="THR23" s="92">
        <v>0</v>
      </c>
      <c r="THS23" s="92">
        <v>0</v>
      </c>
      <c r="THT23" s="92">
        <v>0</v>
      </c>
      <c r="THU23" s="92">
        <v>0</v>
      </c>
      <c r="THV23" s="92">
        <v>0</v>
      </c>
      <c r="THW23" s="92">
        <v>0</v>
      </c>
      <c r="THX23" s="92">
        <v>0</v>
      </c>
      <c r="THY23" s="92">
        <v>0</v>
      </c>
      <c r="THZ23" s="92">
        <v>0</v>
      </c>
      <c r="TIA23" s="92">
        <v>0</v>
      </c>
      <c r="TIB23" s="92">
        <v>0</v>
      </c>
      <c r="TIC23" s="92">
        <v>0</v>
      </c>
      <c r="TID23" s="92">
        <v>0</v>
      </c>
      <c r="TIE23" s="92">
        <v>0</v>
      </c>
      <c r="TIF23" s="92">
        <v>0</v>
      </c>
      <c r="TIG23" s="92">
        <v>0</v>
      </c>
      <c r="TIH23" s="92">
        <v>0</v>
      </c>
      <c r="TII23" s="92">
        <v>0</v>
      </c>
      <c r="TIJ23" s="92">
        <v>0</v>
      </c>
      <c r="TIK23" s="92">
        <v>0</v>
      </c>
      <c r="TIL23" s="92">
        <v>0</v>
      </c>
      <c r="TIM23" s="92">
        <v>0</v>
      </c>
      <c r="TIN23" s="92">
        <v>0</v>
      </c>
      <c r="TIO23" s="92">
        <v>0</v>
      </c>
      <c r="TIP23" s="92">
        <v>0</v>
      </c>
      <c r="TIQ23" s="92">
        <v>0</v>
      </c>
      <c r="TIR23" s="92">
        <v>0</v>
      </c>
      <c r="TIS23" s="92">
        <v>0</v>
      </c>
      <c r="TIT23" s="92">
        <v>0</v>
      </c>
      <c r="TIU23" s="92">
        <v>0</v>
      </c>
      <c r="TIV23" s="92">
        <v>0</v>
      </c>
      <c r="TIW23" s="92">
        <v>0</v>
      </c>
      <c r="TIX23" s="92">
        <v>0</v>
      </c>
      <c r="TIY23" s="92">
        <v>0</v>
      </c>
      <c r="TIZ23" s="92">
        <v>0</v>
      </c>
      <c r="TJA23" s="92">
        <v>0</v>
      </c>
      <c r="TJB23" s="92">
        <v>0</v>
      </c>
      <c r="TJC23" s="92">
        <v>0</v>
      </c>
      <c r="TJD23" s="92">
        <v>0</v>
      </c>
      <c r="TJE23" s="92">
        <v>0</v>
      </c>
      <c r="TJF23" s="92">
        <v>0</v>
      </c>
      <c r="TJG23" s="92">
        <v>0</v>
      </c>
      <c r="TJH23" s="92">
        <v>0</v>
      </c>
      <c r="TJI23" s="92">
        <v>0</v>
      </c>
      <c r="TJJ23" s="92">
        <v>0</v>
      </c>
      <c r="TJK23" s="92">
        <v>0</v>
      </c>
      <c r="TJL23" s="92">
        <v>0</v>
      </c>
      <c r="TJM23" s="92">
        <v>0</v>
      </c>
      <c r="TJN23" s="92">
        <v>0</v>
      </c>
      <c r="TJO23" s="92">
        <v>0</v>
      </c>
      <c r="TJP23" s="92">
        <v>0</v>
      </c>
      <c r="TJQ23" s="92">
        <v>0</v>
      </c>
      <c r="TJR23" s="92">
        <v>0</v>
      </c>
      <c r="TJS23" s="92">
        <v>0</v>
      </c>
      <c r="TJT23" s="92">
        <v>0</v>
      </c>
      <c r="TJU23" s="92">
        <v>0</v>
      </c>
      <c r="TJV23" s="92">
        <v>0</v>
      </c>
      <c r="TJW23" s="92">
        <v>0</v>
      </c>
      <c r="TJX23" s="92">
        <v>0</v>
      </c>
      <c r="TJY23" s="92">
        <v>0</v>
      </c>
      <c r="TJZ23" s="92">
        <v>0</v>
      </c>
      <c r="TKA23" s="92">
        <v>0</v>
      </c>
      <c r="TKB23" s="92">
        <v>0</v>
      </c>
      <c r="TKC23" s="92">
        <v>0</v>
      </c>
      <c r="TKD23" s="92">
        <v>0</v>
      </c>
      <c r="TKE23" s="92">
        <v>0</v>
      </c>
      <c r="TKF23" s="92">
        <v>0</v>
      </c>
      <c r="TKG23" s="92">
        <v>0</v>
      </c>
      <c r="TKH23" s="92">
        <v>0</v>
      </c>
      <c r="TKI23" s="92">
        <v>0</v>
      </c>
      <c r="TKJ23" s="92">
        <v>0</v>
      </c>
      <c r="TKK23" s="92">
        <v>0</v>
      </c>
      <c r="TKL23" s="92">
        <v>0</v>
      </c>
      <c r="TKM23" s="92">
        <v>0</v>
      </c>
      <c r="TKN23" s="92">
        <v>0</v>
      </c>
      <c r="TKO23" s="92">
        <v>0</v>
      </c>
      <c r="TKP23" s="92">
        <v>0</v>
      </c>
      <c r="TKQ23" s="92">
        <v>0</v>
      </c>
      <c r="TKR23" s="92">
        <v>0</v>
      </c>
      <c r="TKS23" s="92">
        <v>0</v>
      </c>
      <c r="TKT23" s="92">
        <v>0</v>
      </c>
      <c r="TKU23" s="92">
        <v>0</v>
      </c>
      <c r="TKV23" s="92">
        <v>0</v>
      </c>
      <c r="TKW23" s="92">
        <v>0</v>
      </c>
      <c r="TKX23" s="92">
        <v>0</v>
      </c>
      <c r="TKY23" s="92">
        <v>0</v>
      </c>
      <c r="TKZ23" s="92">
        <v>0</v>
      </c>
      <c r="TLA23" s="92">
        <v>0</v>
      </c>
      <c r="TLB23" s="92">
        <v>0</v>
      </c>
      <c r="TLC23" s="92">
        <v>0</v>
      </c>
      <c r="TLD23" s="92">
        <v>0</v>
      </c>
      <c r="TLE23" s="92">
        <v>0</v>
      </c>
      <c r="TLF23" s="92">
        <v>0</v>
      </c>
      <c r="TLG23" s="92">
        <v>0</v>
      </c>
      <c r="TLH23" s="92">
        <v>0</v>
      </c>
      <c r="TLI23" s="92">
        <v>0</v>
      </c>
      <c r="TLJ23" s="92">
        <v>0</v>
      </c>
      <c r="TLK23" s="92">
        <v>0</v>
      </c>
      <c r="TLL23" s="92">
        <v>0</v>
      </c>
      <c r="TLM23" s="92">
        <v>0</v>
      </c>
      <c r="TLN23" s="92">
        <v>0</v>
      </c>
      <c r="TLO23" s="92">
        <v>0</v>
      </c>
      <c r="TLP23" s="92">
        <v>0</v>
      </c>
      <c r="TLQ23" s="92">
        <v>0</v>
      </c>
      <c r="TLR23" s="92">
        <v>0</v>
      </c>
      <c r="TLS23" s="92">
        <v>0</v>
      </c>
      <c r="TLT23" s="92">
        <v>0</v>
      </c>
      <c r="TLU23" s="92">
        <v>0</v>
      </c>
      <c r="TLV23" s="92">
        <v>0</v>
      </c>
      <c r="TLW23" s="92">
        <v>0</v>
      </c>
      <c r="TLX23" s="92">
        <v>0</v>
      </c>
      <c r="TLY23" s="92">
        <v>0</v>
      </c>
      <c r="TLZ23" s="92">
        <v>0</v>
      </c>
      <c r="TMA23" s="92">
        <v>0</v>
      </c>
      <c r="TMB23" s="92">
        <v>0</v>
      </c>
      <c r="TMC23" s="92">
        <v>0</v>
      </c>
      <c r="TMD23" s="92">
        <v>0</v>
      </c>
      <c r="TME23" s="92">
        <v>0</v>
      </c>
      <c r="TMF23" s="92">
        <v>0</v>
      </c>
      <c r="TMG23" s="92">
        <v>0</v>
      </c>
      <c r="TMH23" s="92">
        <v>0</v>
      </c>
      <c r="TMI23" s="92">
        <v>0</v>
      </c>
      <c r="TMJ23" s="92">
        <v>0</v>
      </c>
      <c r="TMK23" s="92">
        <v>0</v>
      </c>
      <c r="TML23" s="92">
        <v>0</v>
      </c>
      <c r="TMM23" s="92">
        <v>0</v>
      </c>
      <c r="TMN23" s="92">
        <v>0</v>
      </c>
      <c r="TMO23" s="92">
        <v>0</v>
      </c>
      <c r="TMP23" s="92">
        <v>0</v>
      </c>
      <c r="TMQ23" s="92">
        <v>0</v>
      </c>
      <c r="TMR23" s="92">
        <v>0</v>
      </c>
      <c r="TMS23" s="92">
        <v>0</v>
      </c>
      <c r="TMT23" s="92">
        <v>0</v>
      </c>
      <c r="TMU23" s="92">
        <v>0</v>
      </c>
      <c r="TMV23" s="92">
        <v>0</v>
      </c>
      <c r="TMW23" s="92">
        <v>0</v>
      </c>
      <c r="TMX23" s="92">
        <v>0</v>
      </c>
      <c r="TMY23" s="92">
        <v>0</v>
      </c>
      <c r="TMZ23" s="92">
        <v>0</v>
      </c>
      <c r="TNA23" s="92">
        <v>0</v>
      </c>
      <c r="TNB23" s="92">
        <v>0</v>
      </c>
      <c r="TNC23" s="92">
        <v>0</v>
      </c>
      <c r="TND23" s="92">
        <v>0</v>
      </c>
      <c r="TNE23" s="92">
        <v>0</v>
      </c>
      <c r="TNF23" s="92">
        <v>0</v>
      </c>
      <c r="TNG23" s="92">
        <v>0</v>
      </c>
      <c r="TNH23" s="92">
        <v>0</v>
      </c>
      <c r="TNI23" s="92">
        <v>0</v>
      </c>
      <c r="TNJ23" s="92">
        <v>0</v>
      </c>
      <c r="TNK23" s="92">
        <v>0</v>
      </c>
      <c r="TNL23" s="92">
        <v>0</v>
      </c>
      <c r="TNM23" s="92">
        <v>0</v>
      </c>
      <c r="TNN23" s="92">
        <v>0</v>
      </c>
      <c r="TNO23" s="92">
        <v>0</v>
      </c>
      <c r="TNP23" s="92">
        <v>0</v>
      </c>
      <c r="TNQ23" s="92">
        <v>0</v>
      </c>
      <c r="TNR23" s="92">
        <v>0</v>
      </c>
      <c r="TNS23" s="92">
        <v>0</v>
      </c>
      <c r="TNT23" s="92">
        <v>0</v>
      </c>
      <c r="TNU23" s="92">
        <v>0</v>
      </c>
      <c r="TNV23" s="92">
        <v>0</v>
      </c>
      <c r="TNW23" s="92">
        <v>0</v>
      </c>
      <c r="TNX23" s="92">
        <v>0</v>
      </c>
      <c r="TNY23" s="92">
        <v>0</v>
      </c>
      <c r="TNZ23" s="92">
        <v>0</v>
      </c>
      <c r="TOA23" s="92">
        <v>0</v>
      </c>
      <c r="TOB23" s="92">
        <v>0</v>
      </c>
      <c r="TOC23" s="92">
        <v>0</v>
      </c>
      <c r="TOD23" s="92">
        <v>0</v>
      </c>
      <c r="TOE23" s="92">
        <v>0</v>
      </c>
      <c r="TOF23" s="92">
        <v>0</v>
      </c>
      <c r="TOG23" s="92">
        <v>0</v>
      </c>
      <c r="TOH23" s="92">
        <v>0</v>
      </c>
      <c r="TOI23" s="92">
        <v>0</v>
      </c>
      <c r="TOJ23" s="92">
        <v>0</v>
      </c>
      <c r="TOK23" s="92">
        <v>0</v>
      </c>
      <c r="TOL23" s="92">
        <v>0</v>
      </c>
      <c r="TOM23" s="92">
        <v>0</v>
      </c>
      <c r="TON23" s="92">
        <v>0</v>
      </c>
      <c r="TOO23" s="92">
        <v>0</v>
      </c>
      <c r="TOP23" s="92">
        <v>0</v>
      </c>
      <c r="TOQ23" s="92">
        <v>0</v>
      </c>
      <c r="TOR23" s="92">
        <v>0</v>
      </c>
      <c r="TOS23" s="92">
        <v>0</v>
      </c>
      <c r="TOT23" s="92">
        <v>0</v>
      </c>
      <c r="TOU23" s="92">
        <v>0</v>
      </c>
      <c r="TOV23" s="92">
        <v>0</v>
      </c>
      <c r="TOW23" s="92">
        <v>0</v>
      </c>
      <c r="TOX23" s="92">
        <v>0</v>
      </c>
      <c r="TOY23" s="92">
        <v>0</v>
      </c>
      <c r="TOZ23" s="92">
        <v>0</v>
      </c>
      <c r="TPA23" s="92">
        <v>0</v>
      </c>
      <c r="TPB23" s="92">
        <v>0</v>
      </c>
      <c r="TPC23" s="92">
        <v>0</v>
      </c>
      <c r="TPD23" s="92">
        <v>0</v>
      </c>
      <c r="TPE23" s="92">
        <v>0</v>
      </c>
      <c r="TPF23" s="92">
        <v>0</v>
      </c>
      <c r="TPG23" s="92">
        <v>0</v>
      </c>
      <c r="TPH23" s="92">
        <v>0</v>
      </c>
      <c r="TPI23" s="92">
        <v>0</v>
      </c>
      <c r="TPJ23" s="92">
        <v>0</v>
      </c>
      <c r="TPK23" s="92">
        <v>0</v>
      </c>
      <c r="TPL23" s="92">
        <v>0</v>
      </c>
      <c r="TPM23" s="92">
        <v>0</v>
      </c>
      <c r="TPN23" s="92">
        <v>0</v>
      </c>
      <c r="TPO23" s="92">
        <v>0</v>
      </c>
      <c r="TPP23" s="92">
        <v>0</v>
      </c>
      <c r="TPQ23" s="92">
        <v>0</v>
      </c>
      <c r="TPR23" s="92">
        <v>0</v>
      </c>
      <c r="TPS23" s="92">
        <v>0</v>
      </c>
      <c r="TPT23" s="92">
        <v>0</v>
      </c>
      <c r="TPU23" s="92">
        <v>0</v>
      </c>
      <c r="TPV23" s="92">
        <v>0</v>
      </c>
      <c r="TPW23" s="92">
        <v>0</v>
      </c>
      <c r="TPX23" s="92">
        <v>0</v>
      </c>
      <c r="TPY23" s="92">
        <v>0</v>
      </c>
      <c r="TPZ23" s="92">
        <v>0</v>
      </c>
      <c r="TQA23" s="92">
        <v>0</v>
      </c>
      <c r="TQB23" s="92">
        <v>0</v>
      </c>
      <c r="TQC23" s="92">
        <v>0</v>
      </c>
      <c r="TQD23" s="92">
        <v>0</v>
      </c>
      <c r="TQE23" s="92">
        <v>0</v>
      </c>
      <c r="TQF23" s="92">
        <v>0</v>
      </c>
      <c r="TQG23" s="92">
        <v>0</v>
      </c>
      <c r="TQH23" s="92">
        <v>0</v>
      </c>
      <c r="TQI23" s="92">
        <v>0</v>
      </c>
      <c r="TQJ23" s="92">
        <v>0</v>
      </c>
      <c r="TQK23" s="92">
        <v>0</v>
      </c>
      <c r="TQL23" s="92">
        <v>0</v>
      </c>
      <c r="TQM23" s="92">
        <v>0</v>
      </c>
      <c r="TQN23" s="92">
        <v>0</v>
      </c>
      <c r="TQO23" s="92">
        <v>0</v>
      </c>
      <c r="TQP23" s="92">
        <v>0</v>
      </c>
      <c r="TQQ23" s="92">
        <v>0</v>
      </c>
      <c r="TQR23" s="92">
        <v>0</v>
      </c>
      <c r="TQS23" s="92">
        <v>0</v>
      </c>
      <c r="TQT23" s="92">
        <v>0</v>
      </c>
      <c r="TQU23" s="92">
        <v>0</v>
      </c>
      <c r="TQV23" s="92">
        <v>0</v>
      </c>
      <c r="TQW23" s="92">
        <v>0</v>
      </c>
      <c r="TQX23" s="92">
        <v>0</v>
      </c>
      <c r="TQY23" s="92">
        <v>0</v>
      </c>
      <c r="TQZ23" s="92">
        <v>0</v>
      </c>
      <c r="TRA23" s="92">
        <v>0</v>
      </c>
      <c r="TRB23" s="92">
        <v>0</v>
      </c>
      <c r="TRC23" s="92">
        <v>0</v>
      </c>
      <c r="TRD23" s="92">
        <v>0</v>
      </c>
      <c r="TRE23" s="92">
        <v>0</v>
      </c>
      <c r="TRF23" s="92">
        <v>0</v>
      </c>
      <c r="TRG23" s="92">
        <v>0</v>
      </c>
      <c r="TRH23" s="92">
        <v>0</v>
      </c>
      <c r="TRI23" s="92">
        <v>0</v>
      </c>
      <c r="TRJ23" s="92">
        <v>0</v>
      </c>
      <c r="TRK23" s="92">
        <v>0</v>
      </c>
      <c r="TRL23" s="92">
        <v>0</v>
      </c>
      <c r="TRM23" s="92">
        <v>0</v>
      </c>
      <c r="TRN23" s="92">
        <v>0</v>
      </c>
      <c r="TRO23" s="92">
        <v>0</v>
      </c>
      <c r="TRP23" s="92">
        <v>0</v>
      </c>
      <c r="TRQ23" s="92">
        <v>0</v>
      </c>
      <c r="TRR23" s="92">
        <v>0</v>
      </c>
      <c r="TRS23" s="92">
        <v>0</v>
      </c>
      <c r="TRT23" s="92">
        <v>0</v>
      </c>
      <c r="TRU23" s="92">
        <v>0</v>
      </c>
      <c r="TRV23" s="92">
        <v>0</v>
      </c>
      <c r="TRW23" s="92">
        <v>0</v>
      </c>
      <c r="TRX23" s="92">
        <v>0</v>
      </c>
      <c r="TRY23" s="92">
        <v>0</v>
      </c>
      <c r="TRZ23" s="92">
        <v>0</v>
      </c>
      <c r="TSA23" s="92">
        <v>0</v>
      </c>
      <c r="TSB23" s="92">
        <v>0</v>
      </c>
      <c r="TSC23" s="92">
        <v>0</v>
      </c>
      <c r="TSD23" s="92">
        <v>0</v>
      </c>
      <c r="TSE23" s="92">
        <v>0</v>
      </c>
      <c r="TSF23" s="92">
        <v>0</v>
      </c>
      <c r="TSG23" s="92">
        <v>0</v>
      </c>
      <c r="TSH23" s="92">
        <v>0</v>
      </c>
      <c r="TSI23" s="92">
        <v>0</v>
      </c>
      <c r="TSJ23" s="92">
        <v>0</v>
      </c>
      <c r="TSK23" s="92">
        <v>0</v>
      </c>
      <c r="TSL23" s="92">
        <v>0</v>
      </c>
      <c r="TSM23" s="92">
        <v>0</v>
      </c>
      <c r="TSN23" s="92">
        <v>0</v>
      </c>
      <c r="TSO23" s="92">
        <v>0</v>
      </c>
      <c r="TSP23" s="92">
        <v>0</v>
      </c>
      <c r="TSQ23" s="92">
        <v>0</v>
      </c>
      <c r="TSR23" s="92">
        <v>0</v>
      </c>
      <c r="TSS23" s="92">
        <v>0</v>
      </c>
      <c r="TST23" s="92">
        <v>0</v>
      </c>
      <c r="TSU23" s="92">
        <v>0</v>
      </c>
      <c r="TSV23" s="92">
        <v>0</v>
      </c>
      <c r="TSW23" s="92">
        <v>0</v>
      </c>
      <c r="TSX23" s="92">
        <v>0</v>
      </c>
      <c r="TSY23" s="92">
        <v>0</v>
      </c>
      <c r="TSZ23" s="92">
        <v>0</v>
      </c>
      <c r="TTA23" s="92">
        <v>0</v>
      </c>
      <c r="TTB23" s="92">
        <v>0</v>
      </c>
      <c r="TTC23" s="92">
        <v>0</v>
      </c>
      <c r="TTD23" s="92">
        <v>0</v>
      </c>
      <c r="TTE23" s="92">
        <v>0</v>
      </c>
      <c r="TTF23" s="92">
        <v>0</v>
      </c>
      <c r="TTG23" s="92">
        <v>0</v>
      </c>
      <c r="TTH23" s="92">
        <v>0</v>
      </c>
      <c r="TTI23" s="92">
        <v>0</v>
      </c>
      <c r="TTJ23" s="92">
        <v>0</v>
      </c>
      <c r="TTK23" s="92">
        <v>0</v>
      </c>
      <c r="TTL23" s="92">
        <v>0</v>
      </c>
      <c r="TTM23" s="92">
        <v>0</v>
      </c>
      <c r="TTN23" s="92">
        <v>0</v>
      </c>
      <c r="TTO23" s="92">
        <v>0</v>
      </c>
      <c r="TTP23" s="92">
        <v>0</v>
      </c>
      <c r="TTQ23" s="92">
        <v>0</v>
      </c>
      <c r="TTR23" s="92">
        <v>0</v>
      </c>
      <c r="TTS23" s="92">
        <v>0</v>
      </c>
      <c r="TTT23" s="92">
        <v>0</v>
      </c>
      <c r="TTU23" s="92">
        <v>0</v>
      </c>
      <c r="TTV23" s="92">
        <v>0</v>
      </c>
      <c r="TTW23" s="92">
        <v>0</v>
      </c>
      <c r="TTX23" s="92">
        <v>0</v>
      </c>
      <c r="TTY23" s="92">
        <v>0</v>
      </c>
      <c r="TTZ23" s="92">
        <v>0</v>
      </c>
      <c r="TUA23" s="92">
        <v>0</v>
      </c>
      <c r="TUB23" s="92">
        <v>0</v>
      </c>
      <c r="TUC23" s="92">
        <v>0</v>
      </c>
      <c r="TUD23" s="92">
        <v>0</v>
      </c>
      <c r="TUE23" s="92">
        <v>0</v>
      </c>
      <c r="TUF23" s="92">
        <v>0</v>
      </c>
      <c r="TUG23" s="92">
        <v>0</v>
      </c>
      <c r="TUH23" s="92">
        <v>0</v>
      </c>
      <c r="TUI23" s="92">
        <v>0</v>
      </c>
      <c r="TUJ23" s="92">
        <v>0</v>
      </c>
      <c r="TUK23" s="92">
        <v>0</v>
      </c>
      <c r="TUL23" s="92">
        <v>0</v>
      </c>
      <c r="TUM23" s="92">
        <v>0</v>
      </c>
      <c r="TUN23" s="92">
        <v>0</v>
      </c>
      <c r="TUO23" s="92">
        <v>0</v>
      </c>
      <c r="TUP23" s="92">
        <v>0</v>
      </c>
      <c r="TUQ23" s="92">
        <v>0</v>
      </c>
      <c r="TUR23" s="92">
        <v>0</v>
      </c>
      <c r="TUS23" s="92">
        <v>0</v>
      </c>
      <c r="TUT23" s="92">
        <v>0</v>
      </c>
      <c r="TUU23" s="92">
        <v>0</v>
      </c>
      <c r="TUV23" s="92">
        <v>0</v>
      </c>
      <c r="TUW23" s="92">
        <v>0</v>
      </c>
      <c r="TUX23" s="92">
        <v>0</v>
      </c>
      <c r="TUY23" s="92">
        <v>0</v>
      </c>
      <c r="TUZ23" s="92">
        <v>0</v>
      </c>
      <c r="TVA23" s="92">
        <v>0</v>
      </c>
      <c r="TVB23" s="92">
        <v>0</v>
      </c>
      <c r="TVC23" s="92">
        <v>0</v>
      </c>
      <c r="TVD23" s="92">
        <v>0</v>
      </c>
      <c r="TVE23" s="92">
        <v>0</v>
      </c>
      <c r="TVF23" s="92">
        <v>0</v>
      </c>
      <c r="TVG23" s="92">
        <v>0</v>
      </c>
      <c r="TVH23" s="92">
        <v>0</v>
      </c>
      <c r="TVI23" s="92">
        <v>0</v>
      </c>
      <c r="TVJ23" s="92">
        <v>0</v>
      </c>
      <c r="TVK23" s="92">
        <v>0</v>
      </c>
      <c r="TVL23" s="92">
        <v>0</v>
      </c>
      <c r="TVM23" s="92">
        <v>0</v>
      </c>
      <c r="TVN23" s="92">
        <v>0</v>
      </c>
      <c r="TVO23" s="92">
        <v>0</v>
      </c>
      <c r="TVP23" s="92">
        <v>0</v>
      </c>
      <c r="TVQ23" s="92">
        <v>0</v>
      </c>
      <c r="TVR23" s="92">
        <v>0</v>
      </c>
      <c r="TVS23" s="92">
        <v>0</v>
      </c>
      <c r="TVT23" s="92">
        <v>0</v>
      </c>
      <c r="TVU23" s="92">
        <v>0</v>
      </c>
      <c r="TVV23" s="92">
        <v>0</v>
      </c>
      <c r="TVW23" s="92">
        <v>0</v>
      </c>
      <c r="TVX23" s="92">
        <v>0</v>
      </c>
      <c r="TVY23" s="92">
        <v>0</v>
      </c>
      <c r="TVZ23" s="92">
        <v>0</v>
      </c>
      <c r="TWA23" s="92">
        <v>0</v>
      </c>
      <c r="TWB23" s="92">
        <v>0</v>
      </c>
      <c r="TWC23" s="92">
        <v>0</v>
      </c>
      <c r="TWD23" s="92">
        <v>0</v>
      </c>
      <c r="TWE23" s="92">
        <v>0</v>
      </c>
      <c r="TWF23" s="92">
        <v>0</v>
      </c>
      <c r="TWG23" s="92">
        <v>0</v>
      </c>
      <c r="TWH23" s="92">
        <v>0</v>
      </c>
      <c r="TWI23" s="92">
        <v>0</v>
      </c>
      <c r="TWJ23" s="92">
        <v>0</v>
      </c>
      <c r="TWK23" s="92">
        <v>0</v>
      </c>
      <c r="TWL23" s="92">
        <v>0</v>
      </c>
      <c r="TWM23" s="92">
        <v>0</v>
      </c>
      <c r="TWN23" s="92">
        <v>0</v>
      </c>
      <c r="TWO23" s="92">
        <v>0</v>
      </c>
      <c r="TWP23" s="92">
        <v>0</v>
      </c>
      <c r="TWQ23" s="92">
        <v>0</v>
      </c>
      <c r="TWR23" s="92">
        <v>0</v>
      </c>
      <c r="TWS23" s="92">
        <v>0</v>
      </c>
      <c r="TWT23" s="92">
        <v>0</v>
      </c>
      <c r="TWU23" s="92">
        <v>0</v>
      </c>
      <c r="TWV23" s="92">
        <v>0</v>
      </c>
      <c r="TWW23" s="92">
        <v>0</v>
      </c>
      <c r="TWX23" s="92">
        <v>0</v>
      </c>
      <c r="TWY23" s="92">
        <v>0</v>
      </c>
      <c r="TWZ23" s="92">
        <v>0</v>
      </c>
      <c r="TXA23" s="92">
        <v>0</v>
      </c>
      <c r="TXB23" s="92">
        <v>0</v>
      </c>
      <c r="TXC23" s="92">
        <v>0</v>
      </c>
      <c r="TXD23" s="92">
        <v>0</v>
      </c>
      <c r="TXE23" s="92">
        <v>0</v>
      </c>
      <c r="TXF23" s="92">
        <v>0</v>
      </c>
      <c r="TXG23" s="92">
        <v>0</v>
      </c>
      <c r="TXH23" s="92">
        <v>0</v>
      </c>
      <c r="TXI23" s="92">
        <v>0</v>
      </c>
      <c r="TXJ23" s="92">
        <v>0</v>
      </c>
      <c r="TXK23" s="92">
        <v>0</v>
      </c>
      <c r="TXL23" s="92">
        <v>0</v>
      </c>
      <c r="TXM23" s="92">
        <v>0</v>
      </c>
      <c r="TXN23" s="92">
        <v>0</v>
      </c>
      <c r="TXO23" s="92">
        <v>0</v>
      </c>
      <c r="TXP23" s="92">
        <v>0</v>
      </c>
      <c r="TXQ23" s="92">
        <v>0</v>
      </c>
      <c r="TXR23" s="92">
        <v>0</v>
      </c>
      <c r="TXS23" s="92">
        <v>0</v>
      </c>
      <c r="TXT23" s="92">
        <v>0</v>
      </c>
      <c r="TXU23" s="92">
        <v>0</v>
      </c>
      <c r="TXV23" s="92">
        <v>0</v>
      </c>
      <c r="TXW23" s="92">
        <v>0</v>
      </c>
      <c r="TXX23" s="92">
        <v>0</v>
      </c>
      <c r="TXY23" s="92">
        <v>0</v>
      </c>
      <c r="TXZ23" s="92">
        <v>0</v>
      </c>
      <c r="TYA23" s="92">
        <v>0</v>
      </c>
      <c r="TYB23" s="92">
        <v>0</v>
      </c>
      <c r="TYC23" s="92">
        <v>0</v>
      </c>
      <c r="TYD23" s="92">
        <v>0</v>
      </c>
      <c r="TYE23" s="92">
        <v>0</v>
      </c>
      <c r="TYF23" s="92">
        <v>0</v>
      </c>
      <c r="TYG23" s="92">
        <v>0</v>
      </c>
      <c r="TYH23" s="92">
        <v>0</v>
      </c>
      <c r="TYI23" s="92">
        <v>0</v>
      </c>
      <c r="TYJ23" s="92">
        <v>0</v>
      </c>
      <c r="TYK23" s="92">
        <v>0</v>
      </c>
      <c r="TYL23" s="92">
        <v>0</v>
      </c>
      <c r="TYM23" s="92">
        <v>0</v>
      </c>
      <c r="TYN23" s="92">
        <v>0</v>
      </c>
      <c r="TYO23" s="92">
        <v>0</v>
      </c>
      <c r="TYP23" s="92">
        <v>0</v>
      </c>
      <c r="TYQ23" s="92">
        <v>0</v>
      </c>
      <c r="TYR23" s="92">
        <v>0</v>
      </c>
      <c r="TYS23" s="92">
        <v>0</v>
      </c>
      <c r="TYT23" s="92">
        <v>0</v>
      </c>
      <c r="TYU23" s="92">
        <v>0</v>
      </c>
      <c r="TYV23" s="92">
        <v>0</v>
      </c>
      <c r="TYW23" s="92">
        <v>0</v>
      </c>
      <c r="TYX23" s="92">
        <v>0</v>
      </c>
      <c r="TYY23" s="92">
        <v>0</v>
      </c>
      <c r="TYZ23" s="92">
        <v>0</v>
      </c>
      <c r="TZA23" s="92">
        <v>0</v>
      </c>
      <c r="TZB23" s="92">
        <v>0</v>
      </c>
      <c r="TZC23" s="92">
        <v>0</v>
      </c>
      <c r="TZD23" s="92">
        <v>0</v>
      </c>
      <c r="TZE23" s="92">
        <v>0</v>
      </c>
      <c r="TZF23" s="92">
        <v>0</v>
      </c>
      <c r="TZG23" s="92">
        <v>0</v>
      </c>
      <c r="TZH23" s="92">
        <v>0</v>
      </c>
      <c r="TZI23" s="92">
        <v>0</v>
      </c>
      <c r="TZJ23" s="92">
        <v>0</v>
      </c>
      <c r="TZK23" s="92">
        <v>0</v>
      </c>
      <c r="TZL23" s="92">
        <v>0</v>
      </c>
      <c r="TZM23" s="92">
        <v>0</v>
      </c>
      <c r="TZN23" s="92">
        <v>0</v>
      </c>
      <c r="TZO23" s="92">
        <v>0</v>
      </c>
      <c r="TZP23" s="92">
        <v>0</v>
      </c>
      <c r="TZQ23" s="92">
        <v>0</v>
      </c>
      <c r="TZR23" s="92">
        <v>0</v>
      </c>
      <c r="TZS23" s="92">
        <v>0</v>
      </c>
      <c r="TZT23" s="92">
        <v>0</v>
      </c>
      <c r="TZU23" s="92">
        <v>0</v>
      </c>
      <c r="TZV23" s="92">
        <v>0</v>
      </c>
      <c r="TZW23" s="92">
        <v>0</v>
      </c>
      <c r="TZX23" s="92">
        <v>0</v>
      </c>
      <c r="TZY23" s="92">
        <v>0</v>
      </c>
      <c r="TZZ23" s="92">
        <v>0</v>
      </c>
      <c r="UAA23" s="92">
        <v>0</v>
      </c>
      <c r="UAB23" s="92">
        <v>0</v>
      </c>
      <c r="UAC23" s="92">
        <v>0</v>
      </c>
      <c r="UAD23" s="92">
        <v>0</v>
      </c>
      <c r="UAE23" s="92">
        <v>0</v>
      </c>
      <c r="UAF23" s="92">
        <v>0</v>
      </c>
      <c r="UAG23" s="92">
        <v>0</v>
      </c>
      <c r="UAH23" s="92">
        <v>0</v>
      </c>
      <c r="UAI23" s="92">
        <v>0</v>
      </c>
      <c r="UAJ23" s="92">
        <v>0</v>
      </c>
      <c r="UAK23" s="92">
        <v>0</v>
      </c>
      <c r="UAL23" s="92">
        <v>0</v>
      </c>
      <c r="UAM23" s="92">
        <v>0</v>
      </c>
      <c r="UAN23" s="92">
        <v>0</v>
      </c>
      <c r="UAO23" s="92">
        <v>0</v>
      </c>
      <c r="UAP23" s="92">
        <v>0</v>
      </c>
      <c r="UAQ23" s="92">
        <v>0</v>
      </c>
      <c r="UAR23" s="92">
        <v>0</v>
      </c>
      <c r="UAS23" s="92">
        <v>0</v>
      </c>
      <c r="UAT23" s="92">
        <v>0</v>
      </c>
      <c r="UAU23" s="92">
        <v>0</v>
      </c>
      <c r="UAV23" s="92">
        <v>0</v>
      </c>
      <c r="UAW23" s="92">
        <v>0</v>
      </c>
      <c r="UAX23" s="92">
        <v>0</v>
      </c>
      <c r="UAY23" s="92">
        <v>0</v>
      </c>
      <c r="UAZ23" s="92">
        <v>0</v>
      </c>
      <c r="UBA23" s="92">
        <v>0</v>
      </c>
      <c r="UBB23" s="92">
        <v>0</v>
      </c>
      <c r="UBC23" s="92">
        <v>0</v>
      </c>
      <c r="UBD23" s="92">
        <v>0</v>
      </c>
      <c r="UBE23" s="92">
        <v>0</v>
      </c>
      <c r="UBF23" s="92">
        <v>0</v>
      </c>
      <c r="UBG23" s="92">
        <v>0</v>
      </c>
      <c r="UBH23" s="92">
        <v>0</v>
      </c>
      <c r="UBI23" s="92">
        <v>0</v>
      </c>
      <c r="UBJ23" s="92">
        <v>0</v>
      </c>
      <c r="UBK23" s="92">
        <v>0</v>
      </c>
      <c r="UBL23" s="92">
        <v>0</v>
      </c>
      <c r="UBM23" s="92">
        <v>0</v>
      </c>
      <c r="UBN23" s="92">
        <v>0</v>
      </c>
      <c r="UBO23" s="92">
        <v>0</v>
      </c>
      <c r="UBP23" s="92">
        <v>0</v>
      </c>
      <c r="UBQ23" s="92">
        <v>0</v>
      </c>
      <c r="UBR23" s="92">
        <v>0</v>
      </c>
      <c r="UBS23" s="92">
        <v>0</v>
      </c>
      <c r="UBT23" s="92">
        <v>0</v>
      </c>
      <c r="UBU23" s="92">
        <v>0</v>
      </c>
      <c r="UBV23" s="92">
        <v>0</v>
      </c>
      <c r="UBW23" s="92">
        <v>0</v>
      </c>
      <c r="UBX23" s="92">
        <v>0</v>
      </c>
      <c r="UBY23" s="92">
        <v>0</v>
      </c>
      <c r="UBZ23" s="92">
        <v>0</v>
      </c>
      <c r="UCA23" s="92">
        <v>0</v>
      </c>
      <c r="UCB23" s="92">
        <v>0</v>
      </c>
      <c r="UCC23" s="92">
        <v>0</v>
      </c>
      <c r="UCD23" s="92">
        <v>0</v>
      </c>
      <c r="UCE23" s="92">
        <v>0</v>
      </c>
      <c r="UCF23" s="92">
        <v>0</v>
      </c>
      <c r="UCG23" s="92">
        <v>0</v>
      </c>
      <c r="UCH23" s="92">
        <v>0</v>
      </c>
      <c r="UCI23" s="92">
        <v>0</v>
      </c>
      <c r="UCJ23" s="92">
        <v>0</v>
      </c>
      <c r="UCK23" s="92">
        <v>0</v>
      </c>
      <c r="UCL23" s="92">
        <v>0</v>
      </c>
      <c r="UCM23" s="92">
        <v>0</v>
      </c>
      <c r="UCN23" s="92">
        <v>0</v>
      </c>
      <c r="UCO23" s="92">
        <v>0</v>
      </c>
      <c r="UCP23" s="92">
        <v>0</v>
      </c>
      <c r="UCQ23" s="92">
        <v>0</v>
      </c>
      <c r="UCR23" s="92">
        <v>0</v>
      </c>
      <c r="UCS23" s="92">
        <v>0</v>
      </c>
      <c r="UCT23" s="92">
        <v>0</v>
      </c>
      <c r="UCU23" s="92">
        <v>0</v>
      </c>
      <c r="UCV23" s="92">
        <v>0</v>
      </c>
      <c r="UCW23" s="92">
        <v>0</v>
      </c>
      <c r="UCX23" s="92">
        <v>0</v>
      </c>
      <c r="UCY23" s="92">
        <v>0</v>
      </c>
      <c r="UCZ23" s="92">
        <v>0</v>
      </c>
      <c r="UDA23" s="92">
        <v>0</v>
      </c>
      <c r="UDB23" s="92">
        <v>0</v>
      </c>
      <c r="UDC23" s="92">
        <v>0</v>
      </c>
      <c r="UDD23" s="92">
        <v>0</v>
      </c>
      <c r="UDE23" s="92">
        <v>0</v>
      </c>
      <c r="UDF23" s="92">
        <v>0</v>
      </c>
      <c r="UDG23" s="92">
        <v>0</v>
      </c>
      <c r="UDH23" s="92">
        <v>0</v>
      </c>
      <c r="UDI23" s="92">
        <v>0</v>
      </c>
      <c r="UDJ23" s="92">
        <v>0</v>
      </c>
      <c r="UDK23" s="92">
        <v>0</v>
      </c>
      <c r="UDL23" s="92">
        <v>0</v>
      </c>
      <c r="UDM23" s="92">
        <v>0</v>
      </c>
      <c r="UDN23" s="92">
        <v>0</v>
      </c>
      <c r="UDO23" s="92">
        <v>0</v>
      </c>
      <c r="UDP23" s="92">
        <v>0</v>
      </c>
      <c r="UDQ23" s="92">
        <v>0</v>
      </c>
      <c r="UDR23" s="92">
        <v>0</v>
      </c>
      <c r="UDS23" s="92">
        <v>0</v>
      </c>
      <c r="UDT23" s="92">
        <v>0</v>
      </c>
      <c r="UDU23" s="92">
        <v>0</v>
      </c>
      <c r="UDV23" s="92">
        <v>0</v>
      </c>
      <c r="UDW23" s="92">
        <v>0</v>
      </c>
      <c r="UDX23" s="92">
        <v>0</v>
      </c>
      <c r="UDY23" s="92">
        <v>0</v>
      </c>
      <c r="UDZ23" s="92">
        <v>0</v>
      </c>
      <c r="UEA23" s="92">
        <v>0</v>
      </c>
      <c r="UEB23" s="92">
        <v>0</v>
      </c>
      <c r="UEC23" s="92">
        <v>0</v>
      </c>
      <c r="UED23" s="92">
        <v>0</v>
      </c>
      <c r="UEE23" s="92">
        <v>0</v>
      </c>
      <c r="UEF23" s="92">
        <v>0</v>
      </c>
      <c r="UEG23" s="92">
        <v>0</v>
      </c>
      <c r="UEH23" s="92">
        <v>0</v>
      </c>
      <c r="UEI23" s="92">
        <v>0</v>
      </c>
      <c r="UEJ23" s="92">
        <v>0</v>
      </c>
      <c r="UEK23" s="92">
        <v>0</v>
      </c>
      <c r="UEL23" s="92">
        <v>0</v>
      </c>
      <c r="UEM23" s="92">
        <v>0</v>
      </c>
      <c r="UEN23" s="92">
        <v>0</v>
      </c>
      <c r="UEO23" s="92">
        <v>0</v>
      </c>
      <c r="UEP23" s="92">
        <v>0</v>
      </c>
      <c r="UEQ23" s="92">
        <v>0</v>
      </c>
      <c r="UER23" s="92">
        <v>0</v>
      </c>
      <c r="UES23" s="92">
        <v>0</v>
      </c>
      <c r="UET23" s="92">
        <v>0</v>
      </c>
      <c r="UEU23" s="92">
        <v>0</v>
      </c>
      <c r="UEV23" s="92">
        <v>0</v>
      </c>
      <c r="UEW23" s="92">
        <v>0</v>
      </c>
      <c r="UEX23" s="92">
        <v>0</v>
      </c>
      <c r="UEY23" s="92">
        <v>0</v>
      </c>
      <c r="UEZ23" s="92">
        <v>0</v>
      </c>
      <c r="UFA23" s="92">
        <v>0</v>
      </c>
      <c r="UFB23" s="92">
        <v>0</v>
      </c>
      <c r="UFC23" s="92">
        <v>0</v>
      </c>
      <c r="UFD23" s="92">
        <v>0</v>
      </c>
      <c r="UFE23" s="92">
        <v>0</v>
      </c>
      <c r="UFF23" s="92">
        <v>0</v>
      </c>
      <c r="UFG23" s="92">
        <v>0</v>
      </c>
      <c r="UFH23" s="92">
        <v>0</v>
      </c>
      <c r="UFI23" s="92">
        <v>0</v>
      </c>
      <c r="UFJ23" s="92">
        <v>0</v>
      </c>
      <c r="UFK23" s="92">
        <v>0</v>
      </c>
      <c r="UFL23" s="92">
        <v>0</v>
      </c>
      <c r="UFM23" s="92">
        <v>0</v>
      </c>
      <c r="UFN23" s="92">
        <v>0</v>
      </c>
      <c r="UFO23" s="92">
        <v>0</v>
      </c>
      <c r="UFP23" s="92">
        <v>0</v>
      </c>
      <c r="UFQ23" s="92">
        <v>0</v>
      </c>
      <c r="UFR23" s="92">
        <v>0</v>
      </c>
      <c r="UFS23" s="92">
        <v>0</v>
      </c>
      <c r="UFT23" s="92">
        <v>0</v>
      </c>
      <c r="UFU23" s="92">
        <v>0</v>
      </c>
      <c r="UFV23" s="92">
        <v>0</v>
      </c>
      <c r="UFW23" s="92">
        <v>0</v>
      </c>
      <c r="UFX23" s="92">
        <v>0</v>
      </c>
      <c r="UFY23" s="92">
        <v>0</v>
      </c>
      <c r="UFZ23" s="92">
        <v>0</v>
      </c>
      <c r="UGA23" s="92">
        <v>0</v>
      </c>
      <c r="UGB23" s="92">
        <v>0</v>
      </c>
      <c r="UGC23" s="92">
        <v>0</v>
      </c>
      <c r="UGD23" s="92">
        <v>0</v>
      </c>
      <c r="UGE23" s="92">
        <v>0</v>
      </c>
      <c r="UGF23" s="92">
        <v>0</v>
      </c>
      <c r="UGG23" s="92">
        <v>0</v>
      </c>
      <c r="UGH23" s="92">
        <v>0</v>
      </c>
      <c r="UGI23" s="92">
        <v>0</v>
      </c>
      <c r="UGJ23" s="92">
        <v>0</v>
      </c>
      <c r="UGK23" s="92">
        <v>0</v>
      </c>
      <c r="UGL23" s="92">
        <v>0</v>
      </c>
      <c r="UGM23" s="92">
        <v>0</v>
      </c>
      <c r="UGN23" s="92">
        <v>0</v>
      </c>
      <c r="UGO23" s="92">
        <v>0</v>
      </c>
      <c r="UGP23" s="92">
        <v>0</v>
      </c>
      <c r="UGQ23" s="92">
        <v>0</v>
      </c>
      <c r="UGR23" s="92">
        <v>0</v>
      </c>
      <c r="UGS23" s="92">
        <v>0</v>
      </c>
      <c r="UGT23" s="92">
        <v>0</v>
      </c>
      <c r="UGU23" s="92">
        <v>0</v>
      </c>
      <c r="UGV23" s="92">
        <v>0</v>
      </c>
      <c r="UGW23" s="92">
        <v>0</v>
      </c>
      <c r="UGX23" s="92">
        <v>0</v>
      </c>
      <c r="UGY23" s="92">
        <v>0</v>
      </c>
      <c r="UGZ23" s="92">
        <v>0</v>
      </c>
      <c r="UHA23" s="92">
        <v>0</v>
      </c>
      <c r="UHB23" s="92">
        <v>0</v>
      </c>
      <c r="UHC23" s="92">
        <v>0</v>
      </c>
      <c r="UHD23" s="92">
        <v>0</v>
      </c>
      <c r="UHE23" s="92">
        <v>0</v>
      </c>
      <c r="UHF23" s="92">
        <v>0</v>
      </c>
      <c r="UHG23" s="92">
        <v>0</v>
      </c>
      <c r="UHH23" s="92">
        <v>0</v>
      </c>
      <c r="UHI23" s="92">
        <v>0</v>
      </c>
      <c r="UHJ23" s="92">
        <v>0</v>
      </c>
      <c r="UHK23" s="92">
        <v>0</v>
      </c>
      <c r="UHL23" s="92">
        <v>0</v>
      </c>
      <c r="UHM23" s="92">
        <v>0</v>
      </c>
      <c r="UHN23" s="92">
        <v>0</v>
      </c>
      <c r="UHO23" s="92">
        <v>0</v>
      </c>
      <c r="UHP23" s="92">
        <v>0</v>
      </c>
      <c r="UHQ23" s="92">
        <v>0</v>
      </c>
      <c r="UHR23" s="92">
        <v>0</v>
      </c>
      <c r="UHS23" s="92">
        <v>0</v>
      </c>
      <c r="UHT23" s="92">
        <v>0</v>
      </c>
      <c r="UHU23" s="92">
        <v>0</v>
      </c>
      <c r="UHV23" s="92">
        <v>0</v>
      </c>
      <c r="UHW23" s="92">
        <v>0</v>
      </c>
      <c r="UHX23" s="92">
        <v>0</v>
      </c>
      <c r="UHY23" s="92">
        <v>0</v>
      </c>
      <c r="UHZ23" s="92">
        <v>0</v>
      </c>
      <c r="UIA23" s="92">
        <v>0</v>
      </c>
      <c r="UIB23" s="92">
        <v>0</v>
      </c>
      <c r="UIC23" s="92">
        <v>0</v>
      </c>
      <c r="UID23" s="92">
        <v>0</v>
      </c>
      <c r="UIE23" s="92">
        <v>0</v>
      </c>
      <c r="UIF23" s="92">
        <v>0</v>
      </c>
      <c r="UIG23" s="92">
        <v>0</v>
      </c>
      <c r="UIH23" s="92">
        <v>0</v>
      </c>
      <c r="UII23" s="92">
        <v>0</v>
      </c>
      <c r="UIJ23" s="92">
        <v>0</v>
      </c>
      <c r="UIK23" s="92">
        <v>0</v>
      </c>
      <c r="UIL23" s="92">
        <v>0</v>
      </c>
      <c r="UIM23" s="92">
        <v>0</v>
      </c>
      <c r="UIN23" s="92">
        <v>0</v>
      </c>
      <c r="UIO23" s="92">
        <v>0</v>
      </c>
      <c r="UIP23" s="92">
        <v>0</v>
      </c>
      <c r="UIQ23" s="92">
        <v>0</v>
      </c>
      <c r="UIR23" s="92">
        <v>0</v>
      </c>
      <c r="UIS23" s="92">
        <v>0</v>
      </c>
      <c r="UIT23" s="92">
        <v>0</v>
      </c>
      <c r="UIU23" s="92">
        <v>0</v>
      </c>
      <c r="UIV23" s="92">
        <v>0</v>
      </c>
      <c r="UIW23" s="92">
        <v>0</v>
      </c>
      <c r="UIX23" s="92">
        <v>0</v>
      </c>
      <c r="UIY23" s="92">
        <v>0</v>
      </c>
      <c r="UIZ23" s="92">
        <v>0</v>
      </c>
      <c r="UJA23" s="92">
        <v>0</v>
      </c>
      <c r="UJB23" s="92">
        <v>0</v>
      </c>
      <c r="UJC23" s="92">
        <v>0</v>
      </c>
      <c r="UJD23" s="92">
        <v>0</v>
      </c>
      <c r="UJE23" s="92">
        <v>0</v>
      </c>
      <c r="UJF23" s="92">
        <v>0</v>
      </c>
      <c r="UJG23" s="92">
        <v>0</v>
      </c>
      <c r="UJH23" s="92">
        <v>0</v>
      </c>
      <c r="UJI23" s="92">
        <v>0</v>
      </c>
      <c r="UJJ23" s="92">
        <v>0</v>
      </c>
      <c r="UJK23" s="92">
        <v>0</v>
      </c>
      <c r="UJL23" s="92">
        <v>0</v>
      </c>
      <c r="UJM23" s="92">
        <v>0</v>
      </c>
      <c r="UJN23" s="92">
        <v>0</v>
      </c>
      <c r="UJO23" s="92">
        <v>0</v>
      </c>
      <c r="UJP23" s="92">
        <v>0</v>
      </c>
      <c r="UJQ23" s="92">
        <v>0</v>
      </c>
      <c r="UJR23" s="92">
        <v>0</v>
      </c>
      <c r="UJS23" s="92">
        <v>0</v>
      </c>
      <c r="UJT23" s="92">
        <v>0</v>
      </c>
      <c r="UJU23" s="92">
        <v>0</v>
      </c>
      <c r="UJV23" s="92">
        <v>0</v>
      </c>
      <c r="UJW23" s="92">
        <v>0</v>
      </c>
      <c r="UJX23" s="92">
        <v>0</v>
      </c>
      <c r="UJY23" s="92">
        <v>0</v>
      </c>
      <c r="UJZ23" s="92">
        <v>0</v>
      </c>
      <c r="UKA23" s="92">
        <v>0</v>
      </c>
      <c r="UKB23" s="92">
        <v>0</v>
      </c>
      <c r="UKC23" s="92">
        <v>0</v>
      </c>
      <c r="UKD23" s="92">
        <v>0</v>
      </c>
      <c r="UKE23" s="92">
        <v>0</v>
      </c>
      <c r="UKF23" s="92">
        <v>0</v>
      </c>
      <c r="UKG23" s="92">
        <v>0</v>
      </c>
      <c r="UKH23" s="92">
        <v>0</v>
      </c>
      <c r="UKI23" s="92">
        <v>0</v>
      </c>
      <c r="UKJ23" s="92">
        <v>0</v>
      </c>
      <c r="UKK23" s="92">
        <v>0</v>
      </c>
      <c r="UKL23" s="92">
        <v>0</v>
      </c>
      <c r="UKM23" s="92">
        <v>0</v>
      </c>
      <c r="UKN23" s="92">
        <v>0</v>
      </c>
      <c r="UKO23" s="92">
        <v>0</v>
      </c>
      <c r="UKP23" s="92">
        <v>0</v>
      </c>
      <c r="UKQ23" s="92">
        <v>0</v>
      </c>
      <c r="UKR23" s="92">
        <v>0</v>
      </c>
      <c r="UKS23" s="92">
        <v>0</v>
      </c>
      <c r="UKT23" s="92">
        <v>0</v>
      </c>
      <c r="UKU23" s="92">
        <v>0</v>
      </c>
      <c r="UKV23" s="92">
        <v>0</v>
      </c>
      <c r="UKW23" s="92">
        <v>0</v>
      </c>
      <c r="UKX23" s="92">
        <v>0</v>
      </c>
      <c r="UKY23" s="92">
        <v>0</v>
      </c>
      <c r="UKZ23" s="92">
        <v>0</v>
      </c>
      <c r="ULA23" s="92">
        <v>0</v>
      </c>
      <c r="ULB23" s="92">
        <v>0</v>
      </c>
      <c r="ULC23" s="92">
        <v>0</v>
      </c>
      <c r="ULD23" s="92">
        <v>0</v>
      </c>
      <c r="ULE23" s="92">
        <v>0</v>
      </c>
      <c r="ULF23" s="92">
        <v>0</v>
      </c>
      <c r="ULG23" s="92">
        <v>0</v>
      </c>
      <c r="ULH23" s="92">
        <v>0</v>
      </c>
      <c r="ULI23" s="92">
        <v>0</v>
      </c>
      <c r="ULJ23" s="92">
        <v>0</v>
      </c>
      <c r="ULK23" s="92">
        <v>0</v>
      </c>
      <c r="ULL23" s="92">
        <v>0</v>
      </c>
      <c r="ULM23" s="92">
        <v>0</v>
      </c>
      <c r="ULN23" s="92">
        <v>0</v>
      </c>
      <c r="ULO23" s="92">
        <v>0</v>
      </c>
      <c r="ULP23" s="92">
        <v>0</v>
      </c>
      <c r="ULQ23" s="92">
        <v>0</v>
      </c>
      <c r="ULR23" s="92">
        <v>0</v>
      </c>
      <c r="ULS23" s="92">
        <v>0</v>
      </c>
      <c r="ULT23" s="92">
        <v>0</v>
      </c>
      <c r="ULU23" s="92">
        <v>0</v>
      </c>
      <c r="ULV23" s="92">
        <v>0</v>
      </c>
      <c r="ULW23" s="92">
        <v>0</v>
      </c>
      <c r="ULX23" s="92">
        <v>0</v>
      </c>
      <c r="ULY23" s="92">
        <v>0</v>
      </c>
      <c r="ULZ23" s="92">
        <v>0</v>
      </c>
      <c r="UMA23" s="92">
        <v>0</v>
      </c>
      <c r="UMB23" s="92">
        <v>0</v>
      </c>
      <c r="UMC23" s="92">
        <v>0</v>
      </c>
      <c r="UMD23" s="92">
        <v>0</v>
      </c>
      <c r="UME23" s="92">
        <v>0</v>
      </c>
      <c r="UMF23" s="92">
        <v>0</v>
      </c>
      <c r="UMG23" s="92">
        <v>0</v>
      </c>
      <c r="UMH23" s="92">
        <v>0</v>
      </c>
      <c r="UMI23" s="92">
        <v>0</v>
      </c>
      <c r="UMJ23" s="92">
        <v>0</v>
      </c>
      <c r="UMK23" s="92">
        <v>0</v>
      </c>
      <c r="UML23" s="92">
        <v>0</v>
      </c>
      <c r="UMM23" s="92">
        <v>0</v>
      </c>
      <c r="UMN23" s="92">
        <v>0</v>
      </c>
      <c r="UMO23" s="92">
        <v>0</v>
      </c>
      <c r="UMP23" s="92">
        <v>0</v>
      </c>
      <c r="UMQ23" s="92">
        <v>0</v>
      </c>
      <c r="UMR23" s="92">
        <v>0</v>
      </c>
      <c r="UMS23" s="92">
        <v>0</v>
      </c>
      <c r="UMT23" s="92">
        <v>0</v>
      </c>
      <c r="UMU23" s="92">
        <v>0</v>
      </c>
      <c r="UMV23" s="92">
        <v>0</v>
      </c>
      <c r="UMW23" s="92">
        <v>0</v>
      </c>
      <c r="UMX23" s="92">
        <v>0</v>
      </c>
      <c r="UMY23" s="92">
        <v>0</v>
      </c>
      <c r="UMZ23" s="92">
        <v>0</v>
      </c>
      <c r="UNA23" s="92">
        <v>0</v>
      </c>
      <c r="UNB23" s="92">
        <v>0</v>
      </c>
      <c r="UNC23" s="92">
        <v>0</v>
      </c>
      <c r="UND23" s="92">
        <v>0</v>
      </c>
      <c r="UNE23" s="92">
        <v>0</v>
      </c>
      <c r="UNF23" s="92">
        <v>0</v>
      </c>
      <c r="UNG23" s="92">
        <v>0</v>
      </c>
      <c r="UNH23" s="92">
        <v>0</v>
      </c>
      <c r="UNI23" s="92">
        <v>0</v>
      </c>
      <c r="UNJ23" s="92">
        <v>0</v>
      </c>
      <c r="UNK23" s="92">
        <v>0</v>
      </c>
      <c r="UNL23" s="92">
        <v>0</v>
      </c>
      <c r="UNM23" s="92">
        <v>0</v>
      </c>
      <c r="UNN23" s="92">
        <v>0</v>
      </c>
      <c r="UNO23" s="92">
        <v>0</v>
      </c>
      <c r="UNP23" s="92">
        <v>0</v>
      </c>
      <c r="UNQ23" s="92">
        <v>0</v>
      </c>
      <c r="UNR23" s="92">
        <v>0</v>
      </c>
      <c r="UNS23" s="92">
        <v>0</v>
      </c>
      <c r="UNT23" s="92">
        <v>0</v>
      </c>
      <c r="UNU23" s="92">
        <v>0</v>
      </c>
      <c r="UNV23" s="92">
        <v>0</v>
      </c>
      <c r="UNW23" s="92">
        <v>0</v>
      </c>
      <c r="UNX23" s="92">
        <v>0</v>
      </c>
      <c r="UNY23" s="92">
        <v>0</v>
      </c>
      <c r="UNZ23" s="92">
        <v>0</v>
      </c>
      <c r="UOA23" s="92">
        <v>0</v>
      </c>
      <c r="UOB23" s="92">
        <v>0</v>
      </c>
      <c r="UOC23" s="92">
        <v>0</v>
      </c>
      <c r="UOD23" s="92">
        <v>0</v>
      </c>
      <c r="UOE23" s="92">
        <v>0</v>
      </c>
      <c r="UOF23" s="92">
        <v>0</v>
      </c>
      <c r="UOG23" s="92">
        <v>0</v>
      </c>
      <c r="UOH23" s="92">
        <v>0</v>
      </c>
      <c r="UOI23" s="92">
        <v>0</v>
      </c>
      <c r="UOJ23" s="92">
        <v>0</v>
      </c>
      <c r="UOK23" s="92">
        <v>0</v>
      </c>
      <c r="UOL23" s="92">
        <v>0</v>
      </c>
      <c r="UOM23" s="92">
        <v>0</v>
      </c>
      <c r="UON23" s="92">
        <v>0</v>
      </c>
      <c r="UOO23" s="92">
        <v>0</v>
      </c>
      <c r="UOP23" s="92">
        <v>0</v>
      </c>
      <c r="UOQ23" s="92">
        <v>0</v>
      </c>
      <c r="UOR23" s="92">
        <v>0</v>
      </c>
      <c r="UOS23" s="92">
        <v>0</v>
      </c>
      <c r="UOT23" s="92">
        <v>0</v>
      </c>
      <c r="UOU23" s="92">
        <v>0</v>
      </c>
      <c r="UOV23" s="92">
        <v>0</v>
      </c>
      <c r="UOW23" s="92">
        <v>0</v>
      </c>
      <c r="UOX23" s="92">
        <v>0</v>
      </c>
      <c r="UOY23" s="92">
        <v>0</v>
      </c>
      <c r="UOZ23" s="92">
        <v>0</v>
      </c>
      <c r="UPA23" s="92">
        <v>0</v>
      </c>
      <c r="UPB23" s="92">
        <v>0</v>
      </c>
      <c r="UPC23" s="92">
        <v>0</v>
      </c>
      <c r="UPD23" s="92">
        <v>0</v>
      </c>
      <c r="UPE23" s="92">
        <v>0</v>
      </c>
      <c r="UPF23" s="92">
        <v>0</v>
      </c>
      <c r="UPG23" s="92">
        <v>0</v>
      </c>
      <c r="UPH23" s="92">
        <v>0</v>
      </c>
      <c r="UPI23" s="92">
        <v>0</v>
      </c>
      <c r="UPJ23" s="92">
        <v>0</v>
      </c>
      <c r="UPK23" s="92">
        <v>0</v>
      </c>
      <c r="UPL23" s="92">
        <v>0</v>
      </c>
      <c r="UPM23" s="92">
        <v>0</v>
      </c>
      <c r="UPN23" s="92">
        <v>0</v>
      </c>
      <c r="UPO23" s="92">
        <v>0</v>
      </c>
      <c r="UPP23" s="92">
        <v>0</v>
      </c>
      <c r="UPQ23" s="92">
        <v>0</v>
      </c>
      <c r="UPR23" s="92">
        <v>0</v>
      </c>
      <c r="UPS23" s="92">
        <v>0</v>
      </c>
      <c r="UPT23" s="92">
        <v>0</v>
      </c>
      <c r="UPU23" s="92">
        <v>0</v>
      </c>
      <c r="UPV23" s="92">
        <v>0</v>
      </c>
      <c r="UPW23" s="92">
        <v>0</v>
      </c>
      <c r="UPX23" s="92">
        <v>0</v>
      </c>
      <c r="UPY23" s="92">
        <v>0</v>
      </c>
      <c r="UPZ23" s="92">
        <v>0</v>
      </c>
      <c r="UQA23" s="92">
        <v>0</v>
      </c>
      <c r="UQB23" s="92">
        <v>0</v>
      </c>
      <c r="UQC23" s="92">
        <v>0</v>
      </c>
      <c r="UQD23" s="92">
        <v>0</v>
      </c>
      <c r="UQE23" s="92">
        <v>0</v>
      </c>
      <c r="UQF23" s="92">
        <v>0</v>
      </c>
      <c r="UQG23" s="92">
        <v>0</v>
      </c>
      <c r="UQH23" s="92">
        <v>0</v>
      </c>
      <c r="UQI23" s="92">
        <v>0</v>
      </c>
      <c r="UQJ23" s="92">
        <v>0</v>
      </c>
      <c r="UQK23" s="92">
        <v>0</v>
      </c>
      <c r="UQL23" s="92">
        <v>0</v>
      </c>
      <c r="UQM23" s="92">
        <v>0</v>
      </c>
      <c r="UQN23" s="92">
        <v>0</v>
      </c>
      <c r="UQO23" s="92">
        <v>0</v>
      </c>
      <c r="UQP23" s="92">
        <v>0</v>
      </c>
      <c r="UQQ23" s="92">
        <v>0</v>
      </c>
      <c r="UQR23" s="92">
        <v>0</v>
      </c>
      <c r="UQS23" s="92">
        <v>0</v>
      </c>
      <c r="UQT23" s="92">
        <v>0</v>
      </c>
      <c r="UQU23" s="92">
        <v>0</v>
      </c>
      <c r="UQV23" s="92">
        <v>0</v>
      </c>
      <c r="UQW23" s="92">
        <v>0</v>
      </c>
      <c r="UQX23" s="92">
        <v>0</v>
      </c>
      <c r="UQY23" s="92">
        <v>0</v>
      </c>
      <c r="UQZ23" s="92">
        <v>0</v>
      </c>
      <c r="URA23" s="92">
        <v>0</v>
      </c>
      <c r="URB23" s="92">
        <v>0</v>
      </c>
      <c r="URC23" s="92">
        <v>0</v>
      </c>
      <c r="URD23" s="92">
        <v>0</v>
      </c>
      <c r="URE23" s="92">
        <v>0</v>
      </c>
      <c r="URF23" s="92">
        <v>0</v>
      </c>
      <c r="URG23" s="92">
        <v>0</v>
      </c>
      <c r="URH23" s="92">
        <v>0</v>
      </c>
      <c r="URI23" s="92">
        <v>0</v>
      </c>
      <c r="URJ23" s="92">
        <v>0</v>
      </c>
      <c r="URK23" s="92">
        <v>0</v>
      </c>
      <c r="URL23" s="92">
        <v>0</v>
      </c>
      <c r="URM23" s="92">
        <v>0</v>
      </c>
      <c r="URN23" s="92">
        <v>0</v>
      </c>
      <c r="URO23" s="92">
        <v>0</v>
      </c>
      <c r="URP23" s="92">
        <v>0</v>
      </c>
      <c r="URQ23" s="92">
        <v>0</v>
      </c>
      <c r="URR23" s="92">
        <v>0</v>
      </c>
      <c r="URS23" s="92">
        <v>0</v>
      </c>
      <c r="URT23" s="92">
        <v>0</v>
      </c>
      <c r="URU23" s="92">
        <v>0</v>
      </c>
      <c r="URV23" s="92">
        <v>0</v>
      </c>
      <c r="URW23" s="92">
        <v>0</v>
      </c>
      <c r="URX23" s="92">
        <v>0</v>
      </c>
      <c r="URY23" s="92">
        <v>0</v>
      </c>
      <c r="URZ23" s="92">
        <v>0</v>
      </c>
      <c r="USA23" s="92">
        <v>0</v>
      </c>
      <c r="USB23" s="92">
        <v>0</v>
      </c>
      <c r="USC23" s="92">
        <v>0</v>
      </c>
      <c r="USD23" s="92">
        <v>0</v>
      </c>
      <c r="USE23" s="92">
        <v>0</v>
      </c>
      <c r="USF23" s="92">
        <v>0</v>
      </c>
      <c r="USG23" s="92">
        <v>0</v>
      </c>
      <c r="USH23" s="92">
        <v>0</v>
      </c>
      <c r="USI23" s="92">
        <v>0</v>
      </c>
      <c r="USJ23" s="92">
        <v>0</v>
      </c>
      <c r="USK23" s="92">
        <v>0</v>
      </c>
      <c r="USL23" s="92">
        <v>0</v>
      </c>
      <c r="USM23" s="92">
        <v>0</v>
      </c>
      <c r="USN23" s="92">
        <v>0</v>
      </c>
      <c r="USO23" s="92">
        <v>0</v>
      </c>
      <c r="USP23" s="92">
        <v>0</v>
      </c>
      <c r="USQ23" s="92">
        <v>0</v>
      </c>
      <c r="USR23" s="92">
        <v>0</v>
      </c>
      <c r="USS23" s="92">
        <v>0</v>
      </c>
      <c r="UST23" s="92">
        <v>0</v>
      </c>
      <c r="USU23" s="92">
        <v>0</v>
      </c>
      <c r="USV23" s="92">
        <v>0</v>
      </c>
      <c r="USW23" s="92">
        <v>0</v>
      </c>
      <c r="USX23" s="92">
        <v>0</v>
      </c>
      <c r="USY23" s="92">
        <v>0</v>
      </c>
      <c r="USZ23" s="92">
        <v>0</v>
      </c>
      <c r="UTA23" s="92">
        <v>0</v>
      </c>
      <c r="UTB23" s="92">
        <v>0</v>
      </c>
      <c r="UTC23" s="92">
        <v>0</v>
      </c>
      <c r="UTD23" s="92">
        <v>0</v>
      </c>
      <c r="UTE23" s="92">
        <v>0</v>
      </c>
      <c r="UTF23" s="92">
        <v>0</v>
      </c>
      <c r="UTG23" s="92">
        <v>0</v>
      </c>
      <c r="UTH23" s="92">
        <v>0</v>
      </c>
      <c r="UTI23" s="92">
        <v>0</v>
      </c>
      <c r="UTJ23" s="92">
        <v>0</v>
      </c>
      <c r="UTK23" s="92">
        <v>0</v>
      </c>
      <c r="UTL23" s="92">
        <v>0</v>
      </c>
      <c r="UTM23" s="92">
        <v>0</v>
      </c>
      <c r="UTN23" s="92">
        <v>0</v>
      </c>
      <c r="UTO23" s="92">
        <v>0</v>
      </c>
      <c r="UTP23" s="92">
        <v>0</v>
      </c>
      <c r="UTQ23" s="92">
        <v>0</v>
      </c>
      <c r="UTR23" s="92">
        <v>0</v>
      </c>
      <c r="UTS23" s="92">
        <v>0</v>
      </c>
      <c r="UTT23" s="92">
        <v>0</v>
      </c>
      <c r="UTU23" s="92">
        <v>0</v>
      </c>
      <c r="UTV23" s="92">
        <v>0</v>
      </c>
      <c r="UTW23" s="92">
        <v>0</v>
      </c>
      <c r="UTX23" s="92">
        <v>0</v>
      </c>
      <c r="UTY23" s="92">
        <v>0</v>
      </c>
      <c r="UTZ23" s="92">
        <v>0</v>
      </c>
      <c r="UUA23" s="92">
        <v>0</v>
      </c>
      <c r="UUB23" s="92">
        <v>0</v>
      </c>
      <c r="UUC23" s="92">
        <v>0</v>
      </c>
      <c r="UUD23" s="92">
        <v>0</v>
      </c>
      <c r="UUE23" s="92">
        <v>0</v>
      </c>
      <c r="UUF23" s="92">
        <v>0</v>
      </c>
      <c r="UUG23" s="92">
        <v>0</v>
      </c>
      <c r="UUH23" s="92">
        <v>0</v>
      </c>
      <c r="UUI23" s="92">
        <v>0</v>
      </c>
      <c r="UUJ23" s="92">
        <v>0</v>
      </c>
      <c r="UUK23" s="92">
        <v>0</v>
      </c>
      <c r="UUL23" s="92">
        <v>0</v>
      </c>
      <c r="UUM23" s="92">
        <v>0</v>
      </c>
      <c r="UUN23" s="92">
        <v>0</v>
      </c>
      <c r="UUO23" s="92">
        <v>0</v>
      </c>
      <c r="UUP23" s="92">
        <v>0</v>
      </c>
      <c r="UUQ23" s="92">
        <v>0</v>
      </c>
      <c r="UUR23" s="92">
        <v>0</v>
      </c>
      <c r="UUS23" s="92">
        <v>0</v>
      </c>
      <c r="UUT23" s="92">
        <v>0</v>
      </c>
      <c r="UUU23" s="92">
        <v>0</v>
      </c>
      <c r="UUV23" s="92">
        <v>0</v>
      </c>
      <c r="UUW23" s="92">
        <v>0</v>
      </c>
      <c r="UUX23" s="92">
        <v>0</v>
      </c>
      <c r="UUY23" s="92">
        <v>0</v>
      </c>
      <c r="UUZ23" s="92">
        <v>0</v>
      </c>
      <c r="UVA23" s="92">
        <v>0</v>
      </c>
      <c r="UVB23" s="92">
        <v>0</v>
      </c>
      <c r="UVC23" s="92">
        <v>0</v>
      </c>
      <c r="UVD23" s="92">
        <v>0</v>
      </c>
      <c r="UVE23" s="92">
        <v>0</v>
      </c>
      <c r="UVF23" s="92">
        <v>0</v>
      </c>
      <c r="UVG23" s="92">
        <v>0</v>
      </c>
      <c r="UVH23" s="92">
        <v>0</v>
      </c>
      <c r="UVI23" s="92">
        <v>0</v>
      </c>
      <c r="UVJ23" s="92">
        <v>0</v>
      </c>
      <c r="UVK23" s="92">
        <v>0</v>
      </c>
      <c r="UVL23" s="92">
        <v>0</v>
      </c>
      <c r="UVM23" s="92">
        <v>0</v>
      </c>
      <c r="UVN23" s="92">
        <v>0</v>
      </c>
      <c r="UVO23" s="92">
        <v>0</v>
      </c>
      <c r="UVP23" s="92">
        <v>0</v>
      </c>
      <c r="UVQ23" s="92">
        <v>0</v>
      </c>
      <c r="UVR23" s="92">
        <v>0</v>
      </c>
      <c r="UVS23" s="92">
        <v>0</v>
      </c>
      <c r="UVT23" s="92">
        <v>0</v>
      </c>
      <c r="UVU23" s="92">
        <v>0</v>
      </c>
      <c r="UVV23" s="92">
        <v>0</v>
      </c>
      <c r="UVW23" s="92">
        <v>0</v>
      </c>
      <c r="UVX23" s="92">
        <v>0</v>
      </c>
      <c r="UVY23" s="92">
        <v>0</v>
      </c>
      <c r="UVZ23" s="92">
        <v>0</v>
      </c>
      <c r="UWA23" s="92">
        <v>0</v>
      </c>
      <c r="UWB23" s="92">
        <v>0</v>
      </c>
      <c r="UWC23" s="92">
        <v>0</v>
      </c>
      <c r="UWD23" s="92">
        <v>0</v>
      </c>
      <c r="UWE23" s="92">
        <v>0</v>
      </c>
      <c r="UWF23" s="92">
        <v>0</v>
      </c>
      <c r="UWG23" s="92">
        <v>0</v>
      </c>
      <c r="UWH23" s="92">
        <v>0</v>
      </c>
      <c r="UWI23" s="92">
        <v>0</v>
      </c>
      <c r="UWJ23" s="92">
        <v>0</v>
      </c>
      <c r="UWK23" s="92">
        <v>0</v>
      </c>
      <c r="UWL23" s="92">
        <v>0</v>
      </c>
      <c r="UWM23" s="92">
        <v>0</v>
      </c>
      <c r="UWN23" s="92">
        <v>0</v>
      </c>
      <c r="UWO23" s="92">
        <v>0</v>
      </c>
      <c r="UWP23" s="92">
        <v>0</v>
      </c>
      <c r="UWQ23" s="92">
        <v>0</v>
      </c>
      <c r="UWR23" s="92">
        <v>0</v>
      </c>
      <c r="UWS23" s="92">
        <v>0</v>
      </c>
      <c r="UWT23" s="92">
        <v>0</v>
      </c>
      <c r="UWU23" s="92">
        <v>0</v>
      </c>
      <c r="UWV23" s="92">
        <v>0</v>
      </c>
      <c r="UWW23" s="92">
        <v>0</v>
      </c>
      <c r="UWX23" s="92">
        <v>0</v>
      </c>
      <c r="UWY23" s="92">
        <v>0</v>
      </c>
      <c r="UWZ23" s="92">
        <v>0</v>
      </c>
      <c r="UXA23" s="92">
        <v>0</v>
      </c>
      <c r="UXB23" s="92">
        <v>0</v>
      </c>
      <c r="UXC23" s="92">
        <v>0</v>
      </c>
      <c r="UXD23" s="92">
        <v>0</v>
      </c>
      <c r="UXE23" s="92">
        <v>0</v>
      </c>
      <c r="UXF23" s="92">
        <v>0</v>
      </c>
      <c r="UXG23" s="92">
        <v>0</v>
      </c>
      <c r="UXH23" s="92">
        <v>0</v>
      </c>
      <c r="UXI23" s="92">
        <v>0</v>
      </c>
      <c r="UXJ23" s="92">
        <v>0</v>
      </c>
      <c r="UXK23" s="92">
        <v>0</v>
      </c>
      <c r="UXL23" s="92">
        <v>0</v>
      </c>
      <c r="UXM23" s="92">
        <v>0</v>
      </c>
      <c r="UXN23" s="92">
        <v>0</v>
      </c>
      <c r="UXO23" s="92">
        <v>0</v>
      </c>
      <c r="UXP23" s="92">
        <v>0</v>
      </c>
      <c r="UXQ23" s="92">
        <v>0</v>
      </c>
      <c r="UXR23" s="92">
        <v>0</v>
      </c>
      <c r="UXS23" s="92">
        <v>0</v>
      </c>
      <c r="UXT23" s="92">
        <v>0</v>
      </c>
      <c r="UXU23" s="92">
        <v>0</v>
      </c>
      <c r="UXV23" s="92">
        <v>0</v>
      </c>
      <c r="UXW23" s="92">
        <v>0</v>
      </c>
      <c r="UXX23" s="92">
        <v>0</v>
      </c>
      <c r="UXY23" s="92">
        <v>0</v>
      </c>
      <c r="UXZ23" s="92">
        <v>0</v>
      </c>
      <c r="UYA23" s="92">
        <v>0</v>
      </c>
      <c r="UYB23" s="92">
        <v>0</v>
      </c>
      <c r="UYC23" s="92">
        <v>0</v>
      </c>
      <c r="UYD23" s="92">
        <v>0</v>
      </c>
      <c r="UYE23" s="92">
        <v>0</v>
      </c>
      <c r="UYF23" s="92">
        <v>0</v>
      </c>
      <c r="UYG23" s="92">
        <v>0</v>
      </c>
      <c r="UYH23" s="92">
        <v>0</v>
      </c>
      <c r="UYI23" s="92">
        <v>0</v>
      </c>
      <c r="UYJ23" s="92">
        <v>0</v>
      </c>
      <c r="UYK23" s="92">
        <v>0</v>
      </c>
      <c r="UYL23" s="92">
        <v>0</v>
      </c>
      <c r="UYM23" s="92">
        <v>0</v>
      </c>
      <c r="UYN23" s="92">
        <v>0</v>
      </c>
      <c r="UYO23" s="92">
        <v>0</v>
      </c>
      <c r="UYP23" s="92">
        <v>0</v>
      </c>
      <c r="UYQ23" s="92">
        <v>0</v>
      </c>
      <c r="UYR23" s="92">
        <v>0</v>
      </c>
      <c r="UYS23" s="92">
        <v>0</v>
      </c>
      <c r="UYT23" s="92">
        <v>0</v>
      </c>
      <c r="UYU23" s="92">
        <v>0</v>
      </c>
      <c r="UYV23" s="92">
        <v>0</v>
      </c>
      <c r="UYW23" s="92">
        <v>0</v>
      </c>
      <c r="UYX23" s="92">
        <v>0</v>
      </c>
      <c r="UYY23" s="92">
        <v>0</v>
      </c>
      <c r="UYZ23" s="92">
        <v>0</v>
      </c>
      <c r="UZA23" s="92">
        <v>0</v>
      </c>
      <c r="UZB23" s="92">
        <v>0</v>
      </c>
      <c r="UZC23" s="92">
        <v>0</v>
      </c>
      <c r="UZD23" s="92">
        <v>0</v>
      </c>
      <c r="UZE23" s="92">
        <v>0</v>
      </c>
      <c r="UZF23" s="92">
        <v>0</v>
      </c>
      <c r="UZG23" s="92">
        <v>0</v>
      </c>
      <c r="UZH23" s="92">
        <v>0</v>
      </c>
      <c r="UZI23" s="92">
        <v>0</v>
      </c>
      <c r="UZJ23" s="92">
        <v>0</v>
      </c>
      <c r="UZK23" s="92">
        <v>0</v>
      </c>
      <c r="UZL23" s="92">
        <v>0</v>
      </c>
      <c r="UZM23" s="92">
        <v>0</v>
      </c>
      <c r="UZN23" s="92">
        <v>0</v>
      </c>
      <c r="UZO23" s="92">
        <v>0</v>
      </c>
      <c r="UZP23" s="92">
        <v>0</v>
      </c>
      <c r="UZQ23" s="92">
        <v>0</v>
      </c>
      <c r="UZR23" s="92">
        <v>0</v>
      </c>
      <c r="UZS23" s="92">
        <v>0</v>
      </c>
      <c r="UZT23" s="92">
        <v>0</v>
      </c>
      <c r="UZU23" s="92">
        <v>0</v>
      </c>
      <c r="UZV23" s="92">
        <v>0</v>
      </c>
      <c r="UZW23" s="92">
        <v>0</v>
      </c>
      <c r="UZX23" s="92">
        <v>0</v>
      </c>
      <c r="UZY23" s="92">
        <v>0</v>
      </c>
      <c r="UZZ23" s="92">
        <v>0</v>
      </c>
      <c r="VAA23" s="92">
        <v>0</v>
      </c>
      <c r="VAB23" s="92">
        <v>0</v>
      </c>
      <c r="VAC23" s="92">
        <v>0</v>
      </c>
      <c r="VAD23" s="92">
        <v>0</v>
      </c>
      <c r="VAE23" s="92">
        <v>0</v>
      </c>
      <c r="VAF23" s="92">
        <v>0</v>
      </c>
      <c r="VAG23" s="92">
        <v>0</v>
      </c>
      <c r="VAH23" s="92">
        <v>0</v>
      </c>
      <c r="VAI23" s="92">
        <v>0</v>
      </c>
      <c r="VAJ23" s="92">
        <v>0</v>
      </c>
      <c r="VAK23" s="92">
        <v>0</v>
      </c>
      <c r="VAL23" s="92">
        <v>0</v>
      </c>
      <c r="VAM23" s="92">
        <v>0</v>
      </c>
      <c r="VAN23" s="92">
        <v>0</v>
      </c>
      <c r="VAO23" s="92">
        <v>0</v>
      </c>
      <c r="VAP23" s="92">
        <v>0</v>
      </c>
      <c r="VAQ23" s="92">
        <v>0</v>
      </c>
      <c r="VAR23" s="92">
        <v>0</v>
      </c>
      <c r="VAS23" s="92">
        <v>0</v>
      </c>
      <c r="VAT23" s="92">
        <v>0</v>
      </c>
      <c r="VAU23" s="92">
        <v>0</v>
      </c>
      <c r="VAV23" s="92">
        <v>0</v>
      </c>
      <c r="VAW23" s="92">
        <v>0</v>
      </c>
      <c r="VAX23" s="92">
        <v>0</v>
      </c>
      <c r="VAY23" s="92">
        <v>0</v>
      </c>
      <c r="VAZ23" s="92">
        <v>0</v>
      </c>
      <c r="VBA23" s="92">
        <v>0</v>
      </c>
      <c r="VBB23" s="92">
        <v>0</v>
      </c>
      <c r="VBC23" s="92">
        <v>0</v>
      </c>
      <c r="VBD23" s="92">
        <v>0</v>
      </c>
      <c r="VBE23" s="92">
        <v>0</v>
      </c>
      <c r="VBF23" s="92">
        <v>0</v>
      </c>
      <c r="VBG23" s="92">
        <v>0</v>
      </c>
      <c r="VBH23" s="92">
        <v>0</v>
      </c>
      <c r="VBI23" s="92">
        <v>0</v>
      </c>
      <c r="VBJ23" s="92">
        <v>0</v>
      </c>
      <c r="VBK23" s="92">
        <v>0</v>
      </c>
      <c r="VBL23" s="92">
        <v>0</v>
      </c>
      <c r="VBM23" s="92">
        <v>0</v>
      </c>
      <c r="VBN23" s="92">
        <v>0</v>
      </c>
      <c r="VBO23" s="92">
        <v>0</v>
      </c>
      <c r="VBP23" s="92">
        <v>0</v>
      </c>
      <c r="VBQ23" s="92">
        <v>0</v>
      </c>
      <c r="VBR23" s="92">
        <v>0</v>
      </c>
      <c r="VBS23" s="92">
        <v>0</v>
      </c>
      <c r="VBT23" s="92">
        <v>0</v>
      </c>
      <c r="VBU23" s="92">
        <v>0</v>
      </c>
      <c r="VBV23" s="92">
        <v>0</v>
      </c>
      <c r="VBW23" s="92">
        <v>0</v>
      </c>
      <c r="VBX23" s="92">
        <v>0</v>
      </c>
      <c r="VBY23" s="92">
        <v>0</v>
      </c>
      <c r="VBZ23" s="92">
        <v>0</v>
      </c>
      <c r="VCA23" s="92">
        <v>0</v>
      </c>
      <c r="VCB23" s="92">
        <v>0</v>
      </c>
      <c r="VCC23" s="92">
        <v>0</v>
      </c>
      <c r="VCD23" s="92">
        <v>0</v>
      </c>
      <c r="VCE23" s="92">
        <v>0</v>
      </c>
      <c r="VCF23" s="92">
        <v>0</v>
      </c>
      <c r="VCG23" s="92">
        <v>0</v>
      </c>
      <c r="VCH23" s="92">
        <v>0</v>
      </c>
      <c r="VCI23" s="92">
        <v>0</v>
      </c>
      <c r="VCJ23" s="92">
        <v>0</v>
      </c>
      <c r="VCK23" s="92">
        <v>0</v>
      </c>
      <c r="VCL23" s="92">
        <v>0</v>
      </c>
      <c r="VCM23" s="92">
        <v>0</v>
      </c>
      <c r="VCN23" s="92">
        <v>0</v>
      </c>
      <c r="VCO23" s="92">
        <v>0</v>
      </c>
      <c r="VCP23" s="92">
        <v>0</v>
      </c>
      <c r="VCQ23" s="92">
        <v>0</v>
      </c>
      <c r="VCR23" s="92">
        <v>0</v>
      </c>
      <c r="VCS23" s="92">
        <v>0</v>
      </c>
      <c r="VCT23" s="92">
        <v>0</v>
      </c>
      <c r="VCU23" s="92">
        <v>0</v>
      </c>
      <c r="VCV23" s="92">
        <v>0</v>
      </c>
      <c r="VCW23" s="92">
        <v>0</v>
      </c>
      <c r="VCX23" s="92">
        <v>0</v>
      </c>
      <c r="VCY23" s="92">
        <v>0</v>
      </c>
      <c r="VCZ23" s="92">
        <v>0</v>
      </c>
      <c r="VDA23" s="92">
        <v>0</v>
      </c>
      <c r="VDB23" s="92">
        <v>0</v>
      </c>
      <c r="VDC23" s="92">
        <v>0</v>
      </c>
      <c r="VDD23" s="92">
        <v>0</v>
      </c>
      <c r="VDE23" s="92">
        <v>0</v>
      </c>
      <c r="VDF23" s="92">
        <v>0</v>
      </c>
      <c r="VDG23" s="92">
        <v>0</v>
      </c>
      <c r="VDH23" s="92">
        <v>0</v>
      </c>
      <c r="VDI23" s="92">
        <v>0</v>
      </c>
      <c r="VDJ23" s="92">
        <v>0</v>
      </c>
      <c r="VDK23" s="92">
        <v>0</v>
      </c>
      <c r="VDL23" s="92">
        <v>0</v>
      </c>
      <c r="VDM23" s="92">
        <v>0</v>
      </c>
      <c r="VDN23" s="92">
        <v>0</v>
      </c>
      <c r="VDO23" s="92">
        <v>0</v>
      </c>
      <c r="VDP23" s="92">
        <v>0</v>
      </c>
      <c r="VDQ23" s="92">
        <v>0</v>
      </c>
      <c r="VDR23" s="92">
        <v>0</v>
      </c>
      <c r="VDS23" s="92">
        <v>0</v>
      </c>
      <c r="VDT23" s="92">
        <v>0</v>
      </c>
      <c r="VDU23" s="92">
        <v>0</v>
      </c>
      <c r="VDV23" s="92">
        <v>0</v>
      </c>
      <c r="VDW23" s="92">
        <v>0</v>
      </c>
      <c r="VDX23" s="92">
        <v>0</v>
      </c>
      <c r="VDY23" s="92">
        <v>0</v>
      </c>
      <c r="VDZ23" s="92">
        <v>0</v>
      </c>
      <c r="VEA23" s="92">
        <v>0</v>
      </c>
      <c r="VEB23" s="92">
        <v>0</v>
      </c>
      <c r="VEC23" s="92">
        <v>0</v>
      </c>
      <c r="VED23" s="92">
        <v>0</v>
      </c>
      <c r="VEE23" s="92">
        <v>0</v>
      </c>
      <c r="VEF23" s="92">
        <v>0</v>
      </c>
      <c r="VEG23" s="92">
        <v>0</v>
      </c>
      <c r="VEH23" s="92">
        <v>0</v>
      </c>
      <c r="VEI23" s="92">
        <v>0</v>
      </c>
      <c r="VEJ23" s="92">
        <v>0</v>
      </c>
      <c r="VEK23" s="92">
        <v>0</v>
      </c>
      <c r="VEL23" s="92">
        <v>0</v>
      </c>
      <c r="VEM23" s="92">
        <v>0</v>
      </c>
      <c r="VEN23" s="92">
        <v>0</v>
      </c>
      <c r="VEO23" s="92">
        <v>0</v>
      </c>
      <c r="VEP23" s="92">
        <v>0</v>
      </c>
      <c r="VEQ23" s="92">
        <v>0</v>
      </c>
      <c r="VER23" s="92">
        <v>0</v>
      </c>
      <c r="VES23" s="92">
        <v>0</v>
      </c>
      <c r="VET23" s="92">
        <v>0</v>
      </c>
      <c r="VEU23" s="92">
        <v>0</v>
      </c>
      <c r="VEV23" s="92">
        <v>0</v>
      </c>
      <c r="VEW23" s="92">
        <v>0</v>
      </c>
      <c r="VEX23" s="92">
        <v>0</v>
      </c>
      <c r="VEY23" s="92">
        <v>0</v>
      </c>
      <c r="VEZ23" s="92">
        <v>0</v>
      </c>
      <c r="VFA23" s="92">
        <v>0</v>
      </c>
      <c r="VFB23" s="92">
        <v>0</v>
      </c>
      <c r="VFC23" s="92">
        <v>0</v>
      </c>
      <c r="VFD23" s="92">
        <v>0</v>
      </c>
      <c r="VFE23" s="92">
        <v>0</v>
      </c>
      <c r="VFF23" s="92">
        <v>0</v>
      </c>
      <c r="VFG23" s="92">
        <v>0</v>
      </c>
      <c r="VFH23" s="92">
        <v>0</v>
      </c>
      <c r="VFI23" s="92">
        <v>0</v>
      </c>
      <c r="VFJ23" s="92">
        <v>0</v>
      </c>
      <c r="VFK23" s="92">
        <v>0</v>
      </c>
      <c r="VFL23" s="92">
        <v>0</v>
      </c>
      <c r="VFM23" s="92">
        <v>0</v>
      </c>
      <c r="VFN23" s="92">
        <v>0</v>
      </c>
      <c r="VFO23" s="92">
        <v>0</v>
      </c>
      <c r="VFP23" s="92">
        <v>0</v>
      </c>
      <c r="VFQ23" s="92">
        <v>0</v>
      </c>
      <c r="VFR23" s="92">
        <v>0</v>
      </c>
      <c r="VFS23" s="92">
        <v>0</v>
      </c>
      <c r="VFT23" s="92">
        <v>0</v>
      </c>
      <c r="VFU23" s="92">
        <v>0</v>
      </c>
      <c r="VFV23" s="92">
        <v>0</v>
      </c>
      <c r="VFW23" s="92">
        <v>0</v>
      </c>
      <c r="VFX23" s="92">
        <v>0</v>
      </c>
      <c r="VFY23" s="92">
        <v>0</v>
      </c>
      <c r="VFZ23" s="92">
        <v>0</v>
      </c>
      <c r="VGA23" s="92">
        <v>0</v>
      </c>
      <c r="VGB23" s="92">
        <v>0</v>
      </c>
      <c r="VGC23" s="92">
        <v>0</v>
      </c>
      <c r="VGD23" s="92">
        <v>0</v>
      </c>
      <c r="VGE23" s="92">
        <v>0</v>
      </c>
      <c r="VGF23" s="92">
        <v>0</v>
      </c>
      <c r="VGG23" s="92">
        <v>0</v>
      </c>
      <c r="VGH23" s="92">
        <v>0</v>
      </c>
      <c r="VGI23" s="92">
        <v>0</v>
      </c>
      <c r="VGJ23" s="92">
        <v>0</v>
      </c>
      <c r="VGK23" s="92">
        <v>0</v>
      </c>
      <c r="VGL23" s="92">
        <v>0</v>
      </c>
      <c r="VGM23" s="92">
        <v>0</v>
      </c>
      <c r="VGN23" s="92">
        <v>0</v>
      </c>
      <c r="VGO23" s="92">
        <v>0</v>
      </c>
      <c r="VGP23" s="92">
        <v>0</v>
      </c>
      <c r="VGQ23" s="92">
        <v>0</v>
      </c>
      <c r="VGR23" s="92">
        <v>0</v>
      </c>
      <c r="VGS23" s="92">
        <v>0</v>
      </c>
      <c r="VGT23" s="92">
        <v>0</v>
      </c>
      <c r="VGU23" s="92">
        <v>0</v>
      </c>
      <c r="VGV23" s="92">
        <v>0</v>
      </c>
      <c r="VGW23" s="92">
        <v>0</v>
      </c>
      <c r="VGX23" s="92">
        <v>0</v>
      </c>
      <c r="VGY23" s="92">
        <v>0</v>
      </c>
      <c r="VGZ23" s="92">
        <v>0</v>
      </c>
      <c r="VHA23" s="92">
        <v>0</v>
      </c>
      <c r="VHB23" s="92">
        <v>0</v>
      </c>
      <c r="VHC23" s="92">
        <v>0</v>
      </c>
      <c r="VHD23" s="92">
        <v>0</v>
      </c>
      <c r="VHE23" s="92">
        <v>0</v>
      </c>
      <c r="VHF23" s="92">
        <v>0</v>
      </c>
      <c r="VHG23" s="92">
        <v>0</v>
      </c>
      <c r="VHH23" s="92">
        <v>0</v>
      </c>
      <c r="VHI23" s="92">
        <v>0</v>
      </c>
      <c r="VHJ23" s="92">
        <v>0</v>
      </c>
      <c r="VHK23" s="92">
        <v>0</v>
      </c>
      <c r="VHL23" s="92">
        <v>0</v>
      </c>
      <c r="VHM23" s="92">
        <v>0</v>
      </c>
      <c r="VHN23" s="92">
        <v>0</v>
      </c>
      <c r="VHO23" s="92">
        <v>0</v>
      </c>
      <c r="VHP23" s="92">
        <v>0</v>
      </c>
      <c r="VHQ23" s="92">
        <v>0</v>
      </c>
      <c r="VHR23" s="92">
        <v>0</v>
      </c>
      <c r="VHS23" s="92">
        <v>0</v>
      </c>
      <c r="VHT23" s="92">
        <v>0</v>
      </c>
      <c r="VHU23" s="92">
        <v>0</v>
      </c>
      <c r="VHV23" s="92">
        <v>0</v>
      </c>
      <c r="VHW23" s="92">
        <v>0</v>
      </c>
      <c r="VHX23" s="92">
        <v>0</v>
      </c>
      <c r="VHY23" s="92">
        <v>0</v>
      </c>
      <c r="VHZ23" s="92">
        <v>0</v>
      </c>
      <c r="VIA23" s="92">
        <v>0</v>
      </c>
      <c r="VIB23" s="92">
        <v>0</v>
      </c>
      <c r="VIC23" s="92">
        <v>0</v>
      </c>
      <c r="VID23" s="92">
        <v>0</v>
      </c>
      <c r="VIE23" s="92">
        <v>0</v>
      </c>
      <c r="VIF23" s="92">
        <v>0</v>
      </c>
      <c r="VIG23" s="92">
        <v>0</v>
      </c>
      <c r="VIH23" s="92">
        <v>0</v>
      </c>
      <c r="VII23" s="92">
        <v>0</v>
      </c>
      <c r="VIJ23" s="92">
        <v>0</v>
      </c>
      <c r="VIK23" s="92">
        <v>0</v>
      </c>
      <c r="VIL23" s="92">
        <v>0</v>
      </c>
      <c r="VIM23" s="92">
        <v>0</v>
      </c>
      <c r="VIN23" s="92">
        <v>0</v>
      </c>
      <c r="VIO23" s="92">
        <v>0</v>
      </c>
      <c r="VIP23" s="92">
        <v>0</v>
      </c>
      <c r="VIQ23" s="92">
        <v>0</v>
      </c>
      <c r="VIR23" s="92">
        <v>0</v>
      </c>
      <c r="VIS23" s="92">
        <v>0</v>
      </c>
      <c r="VIT23" s="92">
        <v>0</v>
      </c>
      <c r="VIU23" s="92">
        <v>0</v>
      </c>
      <c r="VIV23" s="92">
        <v>0</v>
      </c>
      <c r="VIW23" s="92">
        <v>0</v>
      </c>
      <c r="VIX23" s="92">
        <v>0</v>
      </c>
      <c r="VIY23" s="92">
        <v>0</v>
      </c>
      <c r="VIZ23" s="92">
        <v>0</v>
      </c>
      <c r="VJA23" s="92">
        <v>0</v>
      </c>
      <c r="VJB23" s="92">
        <v>0</v>
      </c>
      <c r="VJC23" s="92">
        <v>0</v>
      </c>
      <c r="VJD23" s="92">
        <v>0</v>
      </c>
      <c r="VJE23" s="92">
        <v>0</v>
      </c>
      <c r="VJF23" s="92">
        <v>0</v>
      </c>
      <c r="VJG23" s="92">
        <v>0</v>
      </c>
      <c r="VJH23" s="92">
        <v>0</v>
      </c>
      <c r="VJI23" s="92">
        <v>0</v>
      </c>
      <c r="VJJ23" s="92">
        <v>0</v>
      </c>
      <c r="VJK23" s="92">
        <v>0</v>
      </c>
      <c r="VJL23" s="92">
        <v>0</v>
      </c>
      <c r="VJM23" s="92">
        <v>0</v>
      </c>
      <c r="VJN23" s="92">
        <v>0</v>
      </c>
      <c r="VJO23" s="92">
        <v>0</v>
      </c>
      <c r="VJP23" s="92">
        <v>0</v>
      </c>
      <c r="VJQ23" s="92">
        <v>0</v>
      </c>
      <c r="VJR23" s="92">
        <v>0</v>
      </c>
      <c r="VJS23" s="92">
        <v>0</v>
      </c>
      <c r="VJT23" s="92">
        <v>0</v>
      </c>
      <c r="VJU23" s="92">
        <v>0</v>
      </c>
      <c r="VJV23" s="92">
        <v>0</v>
      </c>
      <c r="VJW23" s="92">
        <v>0</v>
      </c>
      <c r="VJX23" s="92">
        <v>0</v>
      </c>
      <c r="VJY23" s="92">
        <v>0</v>
      </c>
      <c r="VJZ23" s="92">
        <v>0</v>
      </c>
      <c r="VKA23" s="92">
        <v>0</v>
      </c>
      <c r="VKB23" s="92">
        <v>0</v>
      </c>
      <c r="VKC23" s="92">
        <v>0</v>
      </c>
      <c r="VKD23" s="92">
        <v>0</v>
      </c>
      <c r="VKE23" s="92">
        <v>0</v>
      </c>
      <c r="VKF23" s="92">
        <v>0</v>
      </c>
      <c r="VKG23" s="92">
        <v>0</v>
      </c>
      <c r="VKH23" s="92">
        <v>0</v>
      </c>
      <c r="VKI23" s="92">
        <v>0</v>
      </c>
      <c r="VKJ23" s="92">
        <v>0</v>
      </c>
      <c r="VKK23" s="92">
        <v>0</v>
      </c>
      <c r="VKL23" s="92">
        <v>0</v>
      </c>
      <c r="VKM23" s="92">
        <v>0</v>
      </c>
      <c r="VKN23" s="92">
        <v>0</v>
      </c>
      <c r="VKO23" s="92">
        <v>0</v>
      </c>
      <c r="VKP23" s="92">
        <v>0</v>
      </c>
      <c r="VKQ23" s="92">
        <v>0</v>
      </c>
      <c r="VKR23" s="92">
        <v>0</v>
      </c>
      <c r="VKS23" s="92">
        <v>0</v>
      </c>
      <c r="VKT23" s="92">
        <v>0</v>
      </c>
      <c r="VKU23" s="92">
        <v>0</v>
      </c>
      <c r="VKV23" s="92">
        <v>0</v>
      </c>
      <c r="VKW23" s="92">
        <v>0</v>
      </c>
      <c r="VKX23" s="92">
        <v>0</v>
      </c>
      <c r="VKY23" s="92">
        <v>0</v>
      </c>
      <c r="VKZ23" s="92">
        <v>0</v>
      </c>
      <c r="VLA23" s="92">
        <v>0</v>
      </c>
      <c r="VLB23" s="92">
        <v>0</v>
      </c>
      <c r="VLC23" s="92">
        <v>0</v>
      </c>
      <c r="VLD23" s="92">
        <v>0</v>
      </c>
      <c r="VLE23" s="92">
        <v>0</v>
      </c>
      <c r="VLF23" s="92">
        <v>0</v>
      </c>
      <c r="VLG23" s="92">
        <v>0</v>
      </c>
      <c r="VLH23" s="92">
        <v>0</v>
      </c>
      <c r="VLI23" s="92">
        <v>0</v>
      </c>
      <c r="VLJ23" s="92">
        <v>0</v>
      </c>
      <c r="VLK23" s="92">
        <v>0</v>
      </c>
      <c r="VLL23" s="92">
        <v>0</v>
      </c>
      <c r="VLM23" s="92">
        <v>0</v>
      </c>
      <c r="VLN23" s="92">
        <v>0</v>
      </c>
      <c r="VLO23" s="92">
        <v>0</v>
      </c>
      <c r="VLP23" s="92">
        <v>0</v>
      </c>
      <c r="VLQ23" s="92">
        <v>0</v>
      </c>
      <c r="VLR23" s="92">
        <v>0</v>
      </c>
      <c r="VLS23" s="92">
        <v>0</v>
      </c>
      <c r="VLT23" s="92">
        <v>0</v>
      </c>
      <c r="VLU23" s="92">
        <v>0</v>
      </c>
      <c r="VLV23" s="92">
        <v>0</v>
      </c>
      <c r="VLW23" s="92">
        <v>0</v>
      </c>
      <c r="VLX23" s="92">
        <v>0</v>
      </c>
      <c r="VLY23" s="92">
        <v>0</v>
      </c>
      <c r="VLZ23" s="92">
        <v>0</v>
      </c>
      <c r="VMA23" s="92">
        <v>0</v>
      </c>
      <c r="VMB23" s="92">
        <v>0</v>
      </c>
      <c r="VMC23" s="92">
        <v>0</v>
      </c>
      <c r="VMD23" s="92">
        <v>0</v>
      </c>
      <c r="VME23" s="92">
        <v>0</v>
      </c>
      <c r="VMF23" s="92">
        <v>0</v>
      </c>
      <c r="VMG23" s="92">
        <v>0</v>
      </c>
      <c r="VMH23" s="92">
        <v>0</v>
      </c>
      <c r="VMI23" s="92">
        <v>0</v>
      </c>
      <c r="VMJ23" s="92">
        <v>0</v>
      </c>
      <c r="VMK23" s="92">
        <v>0</v>
      </c>
      <c r="VML23" s="92">
        <v>0</v>
      </c>
      <c r="VMM23" s="92">
        <v>0</v>
      </c>
      <c r="VMN23" s="92">
        <v>0</v>
      </c>
      <c r="VMO23" s="92">
        <v>0</v>
      </c>
      <c r="VMP23" s="92">
        <v>0</v>
      </c>
      <c r="VMQ23" s="92">
        <v>0</v>
      </c>
      <c r="VMR23" s="92">
        <v>0</v>
      </c>
      <c r="VMS23" s="92">
        <v>0</v>
      </c>
      <c r="VMT23" s="92">
        <v>0</v>
      </c>
      <c r="VMU23" s="92">
        <v>0</v>
      </c>
      <c r="VMV23" s="92">
        <v>0</v>
      </c>
      <c r="VMW23" s="92">
        <v>0</v>
      </c>
      <c r="VMX23" s="92">
        <v>0</v>
      </c>
      <c r="VMY23" s="92">
        <v>0</v>
      </c>
      <c r="VMZ23" s="92">
        <v>0</v>
      </c>
      <c r="VNA23" s="92">
        <v>0</v>
      </c>
      <c r="VNB23" s="92">
        <v>0</v>
      </c>
      <c r="VNC23" s="92">
        <v>0</v>
      </c>
      <c r="VND23" s="92">
        <v>0</v>
      </c>
      <c r="VNE23" s="92">
        <v>0</v>
      </c>
      <c r="VNF23" s="92">
        <v>0</v>
      </c>
      <c r="VNG23" s="92">
        <v>0</v>
      </c>
      <c r="VNH23" s="92">
        <v>0</v>
      </c>
      <c r="VNI23" s="92">
        <v>0</v>
      </c>
      <c r="VNJ23" s="92">
        <v>0</v>
      </c>
      <c r="VNK23" s="92">
        <v>0</v>
      </c>
      <c r="VNL23" s="92">
        <v>0</v>
      </c>
      <c r="VNM23" s="92">
        <v>0</v>
      </c>
      <c r="VNN23" s="92">
        <v>0</v>
      </c>
      <c r="VNO23" s="92">
        <v>0</v>
      </c>
      <c r="VNP23" s="92">
        <v>0</v>
      </c>
      <c r="VNQ23" s="92">
        <v>0</v>
      </c>
      <c r="VNR23" s="92">
        <v>0</v>
      </c>
      <c r="VNS23" s="92">
        <v>0</v>
      </c>
      <c r="VNT23" s="92">
        <v>0</v>
      </c>
      <c r="VNU23" s="92">
        <v>0</v>
      </c>
      <c r="VNV23" s="92">
        <v>0</v>
      </c>
      <c r="VNW23" s="92">
        <v>0</v>
      </c>
      <c r="VNX23" s="92">
        <v>0</v>
      </c>
      <c r="VNY23" s="92">
        <v>0</v>
      </c>
      <c r="VNZ23" s="92">
        <v>0</v>
      </c>
      <c r="VOA23" s="92">
        <v>0</v>
      </c>
      <c r="VOB23" s="92">
        <v>0</v>
      </c>
      <c r="VOC23" s="92">
        <v>0</v>
      </c>
      <c r="VOD23" s="92">
        <v>0</v>
      </c>
      <c r="VOE23" s="92">
        <v>0</v>
      </c>
      <c r="VOF23" s="92">
        <v>0</v>
      </c>
      <c r="VOG23" s="92">
        <v>0</v>
      </c>
      <c r="VOH23" s="92">
        <v>0</v>
      </c>
      <c r="VOI23" s="92">
        <v>0</v>
      </c>
      <c r="VOJ23" s="92">
        <v>0</v>
      </c>
      <c r="VOK23" s="92">
        <v>0</v>
      </c>
      <c r="VOL23" s="92">
        <v>0</v>
      </c>
      <c r="VOM23" s="92">
        <v>0</v>
      </c>
      <c r="VON23" s="92">
        <v>0</v>
      </c>
      <c r="VOO23" s="92">
        <v>0</v>
      </c>
      <c r="VOP23" s="92">
        <v>0</v>
      </c>
      <c r="VOQ23" s="92">
        <v>0</v>
      </c>
      <c r="VOR23" s="92">
        <v>0</v>
      </c>
      <c r="VOS23" s="92">
        <v>0</v>
      </c>
      <c r="VOT23" s="92">
        <v>0</v>
      </c>
      <c r="VOU23" s="92">
        <v>0</v>
      </c>
      <c r="VOV23" s="92">
        <v>0</v>
      </c>
      <c r="VOW23" s="92">
        <v>0</v>
      </c>
      <c r="VOX23" s="92">
        <v>0</v>
      </c>
      <c r="VOY23" s="92">
        <v>0</v>
      </c>
      <c r="VOZ23" s="92">
        <v>0</v>
      </c>
      <c r="VPA23" s="92">
        <v>0</v>
      </c>
      <c r="VPB23" s="92">
        <v>0</v>
      </c>
      <c r="VPC23" s="92">
        <v>0</v>
      </c>
      <c r="VPD23" s="92">
        <v>0</v>
      </c>
      <c r="VPE23" s="92">
        <v>0</v>
      </c>
      <c r="VPF23" s="92">
        <v>0</v>
      </c>
      <c r="VPG23" s="92">
        <v>0</v>
      </c>
      <c r="VPH23" s="92">
        <v>0</v>
      </c>
      <c r="VPI23" s="92">
        <v>0</v>
      </c>
      <c r="VPJ23" s="92">
        <v>0</v>
      </c>
      <c r="VPK23" s="92">
        <v>0</v>
      </c>
      <c r="VPL23" s="92">
        <v>0</v>
      </c>
      <c r="VPM23" s="92">
        <v>0</v>
      </c>
      <c r="VPN23" s="92">
        <v>0</v>
      </c>
      <c r="VPO23" s="92">
        <v>0</v>
      </c>
      <c r="VPP23" s="92">
        <v>0</v>
      </c>
      <c r="VPQ23" s="92">
        <v>0</v>
      </c>
      <c r="VPR23" s="92">
        <v>0</v>
      </c>
      <c r="VPS23" s="92">
        <v>0</v>
      </c>
      <c r="VPT23" s="92">
        <v>0</v>
      </c>
      <c r="VPU23" s="92">
        <v>0</v>
      </c>
      <c r="VPV23" s="92">
        <v>0</v>
      </c>
      <c r="VPW23" s="92">
        <v>0</v>
      </c>
      <c r="VPX23" s="92">
        <v>0</v>
      </c>
      <c r="VPY23" s="92">
        <v>0</v>
      </c>
      <c r="VPZ23" s="92">
        <v>0</v>
      </c>
      <c r="VQA23" s="92">
        <v>0</v>
      </c>
      <c r="VQB23" s="92">
        <v>0</v>
      </c>
      <c r="VQC23" s="92">
        <v>0</v>
      </c>
      <c r="VQD23" s="92">
        <v>0</v>
      </c>
      <c r="VQE23" s="92">
        <v>0</v>
      </c>
      <c r="VQF23" s="92">
        <v>0</v>
      </c>
      <c r="VQG23" s="92">
        <v>0</v>
      </c>
      <c r="VQH23" s="92">
        <v>0</v>
      </c>
      <c r="VQI23" s="92">
        <v>0</v>
      </c>
      <c r="VQJ23" s="92">
        <v>0</v>
      </c>
      <c r="VQK23" s="92">
        <v>0</v>
      </c>
      <c r="VQL23" s="92">
        <v>0</v>
      </c>
      <c r="VQM23" s="92">
        <v>0</v>
      </c>
      <c r="VQN23" s="92">
        <v>0</v>
      </c>
      <c r="VQO23" s="92">
        <v>0</v>
      </c>
      <c r="VQP23" s="92">
        <v>0</v>
      </c>
      <c r="VQQ23" s="92">
        <v>0</v>
      </c>
      <c r="VQR23" s="92">
        <v>0</v>
      </c>
      <c r="VQS23" s="92">
        <v>0</v>
      </c>
      <c r="VQT23" s="92">
        <v>0</v>
      </c>
      <c r="VQU23" s="92">
        <v>0</v>
      </c>
      <c r="VQV23" s="92">
        <v>0</v>
      </c>
      <c r="VQW23" s="92">
        <v>0</v>
      </c>
      <c r="VQX23" s="92">
        <v>0</v>
      </c>
      <c r="VQY23" s="92">
        <v>0</v>
      </c>
      <c r="VQZ23" s="92">
        <v>0</v>
      </c>
      <c r="VRA23" s="92">
        <v>0</v>
      </c>
      <c r="VRB23" s="92">
        <v>0</v>
      </c>
      <c r="VRC23" s="92">
        <v>0</v>
      </c>
      <c r="VRD23" s="92">
        <v>0</v>
      </c>
      <c r="VRE23" s="92">
        <v>0</v>
      </c>
      <c r="VRF23" s="92">
        <v>0</v>
      </c>
      <c r="VRG23" s="92">
        <v>0</v>
      </c>
      <c r="VRH23" s="92">
        <v>0</v>
      </c>
      <c r="VRI23" s="92">
        <v>0</v>
      </c>
      <c r="VRJ23" s="92">
        <v>0</v>
      </c>
      <c r="VRK23" s="92">
        <v>0</v>
      </c>
      <c r="VRL23" s="92">
        <v>0</v>
      </c>
      <c r="VRM23" s="92">
        <v>0</v>
      </c>
      <c r="VRN23" s="92">
        <v>0</v>
      </c>
      <c r="VRO23" s="92">
        <v>0</v>
      </c>
      <c r="VRP23" s="92">
        <v>0</v>
      </c>
      <c r="VRQ23" s="92">
        <v>0</v>
      </c>
      <c r="VRR23" s="92">
        <v>0</v>
      </c>
      <c r="VRS23" s="92">
        <v>0</v>
      </c>
      <c r="VRT23" s="92">
        <v>0</v>
      </c>
      <c r="VRU23" s="92">
        <v>0</v>
      </c>
      <c r="VRV23" s="92">
        <v>0</v>
      </c>
      <c r="VRW23" s="92">
        <v>0</v>
      </c>
      <c r="VRX23" s="92">
        <v>0</v>
      </c>
      <c r="VRY23" s="92">
        <v>0</v>
      </c>
      <c r="VRZ23" s="92">
        <v>0</v>
      </c>
      <c r="VSA23" s="92">
        <v>0</v>
      </c>
      <c r="VSB23" s="92">
        <v>0</v>
      </c>
      <c r="VSC23" s="92">
        <v>0</v>
      </c>
      <c r="VSD23" s="92">
        <v>0</v>
      </c>
      <c r="VSE23" s="92">
        <v>0</v>
      </c>
      <c r="VSF23" s="92">
        <v>0</v>
      </c>
      <c r="VSG23" s="92">
        <v>0</v>
      </c>
      <c r="VSH23" s="92">
        <v>0</v>
      </c>
      <c r="VSI23" s="92">
        <v>0</v>
      </c>
      <c r="VSJ23" s="92">
        <v>0</v>
      </c>
      <c r="VSK23" s="92">
        <v>0</v>
      </c>
      <c r="VSL23" s="92">
        <v>0</v>
      </c>
      <c r="VSM23" s="92">
        <v>0</v>
      </c>
      <c r="VSN23" s="92">
        <v>0</v>
      </c>
      <c r="VSO23" s="92">
        <v>0</v>
      </c>
      <c r="VSP23" s="92">
        <v>0</v>
      </c>
      <c r="VSQ23" s="92">
        <v>0</v>
      </c>
      <c r="VSR23" s="92">
        <v>0</v>
      </c>
      <c r="VSS23" s="92">
        <v>0</v>
      </c>
      <c r="VST23" s="92">
        <v>0</v>
      </c>
      <c r="VSU23" s="92">
        <v>0</v>
      </c>
      <c r="VSV23" s="92">
        <v>0</v>
      </c>
      <c r="VSW23" s="92">
        <v>0</v>
      </c>
      <c r="VSX23" s="92">
        <v>0</v>
      </c>
      <c r="VSY23" s="92">
        <v>0</v>
      </c>
      <c r="VSZ23" s="92">
        <v>0</v>
      </c>
      <c r="VTA23" s="92">
        <v>0</v>
      </c>
      <c r="VTB23" s="92">
        <v>0</v>
      </c>
      <c r="VTC23" s="92">
        <v>0</v>
      </c>
      <c r="VTD23" s="92">
        <v>0</v>
      </c>
      <c r="VTE23" s="92">
        <v>0</v>
      </c>
      <c r="VTF23" s="92">
        <v>0</v>
      </c>
      <c r="VTG23" s="92">
        <v>0</v>
      </c>
      <c r="VTH23" s="92">
        <v>0</v>
      </c>
      <c r="VTI23" s="92">
        <v>0</v>
      </c>
      <c r="VTJ23" s="92">
        <v>0</v>
      </c>
      <c r="VTK23" s="92">
        <v>0</v>
      </c>
      <c r="VTL23" s="92">
        <v>0</v>
      </c>
      <c r="VTM23" s="92">
        <v>0</v>
      </c>
      <c r="VTN23" s="92">
        <v>0</v>
      </c>
      <c r="VTO23" s="92">
        <v>0</v>
      </c>
      <c r="VTP23" s="92">
        <v>0</v>
      </c>
      <c r="VTQ23" s="92">
        <v>0</v>
      </c>
      <c r="VTR23" s="92">
        <v>0</v>
      </c>
      <c r="VTS23" s="92">
        <v>0</v>
      </c>
      <c r="VTT23" s="92">
        <v>0</v>
      </c>
      <c r="VTU23" s="92">
        <v>0</v>
      </c>
      <c r="VTV23" s="92">
        <v>0</v>
      </c>
      <c r="VTW23" s="92">
        <v>0</v>
      </c>
      <c r="VTX23" s="92">
        <v>0</v>
      </c>
      <c r="VTY23" s="92">
        <v>0</v>
      </c>
      <c r="VTZ23" s="92">
        <v>0</v>
      </c>
      <c r="VUA23" s="92">
        <v>0</v>
      </c>
      <c r="VUB23" s="92">
        <v>0</v>
      </c>
      <c r="VUC23" s="92">
        <v>0</v>
      </c>
      <c r="VUD23" s="92">
        <v>0</v>
      </c>
      <c r="VUE23" s="92">
        <v>0</v>
      </c>
      <c r="VUF23" s="92">
        <v>0</v>
      </c>
      <c r="VUG23" s="92">
        <v>0</v>
      </c>
      <c r="VUH23" s="92">
        <v>0</v>
      </c>
      <c r="VUI23" s="92">
        <v>0</v>
      </c>
      <c r="VUJ23" s="92">
        <v>0</v>
      </c>
      <c r="VUK23" s="92">
        <v>0</v>
      </c>
      <c r="VUL23" s="92">
        <v>0</v>
      </c>
      <c r="VUM23" s="92">
        <v>0</v>
      </c>
      <c r="VUN23" s="92">
        <v>0</v>
      </c>
      <c r="VUO23" s="92">
        <v>0</v>
      </c>
      <c r="VUP23" s="92">
        <v>0</v>
      </c>
      <c r="VUQ23" s="92">
        <v>0</v>
      </c>
      <c r="VUR23" s="92">
        <v>0</v>
      </c>
      <c r="VUS23" s="92">
        <v>0</v>
      </c>
      <c r="VUT23" s="92">
        <v>0</v>
      </c>
      <c r="VUU23" s="92">
        <v>0</v>
      </c>
      <c r="VUV23" s="92">
        <v>0</v>
      </c>
      <c r="VUW23" s="92">
        <v>0</v>
      </c>
      <c r="VUX23" s="92">
        <v>0</v>
      </c>
      <c r="VUY23" s="92">
        <v>0</v>
      </c>
      <c r="VUZ23" s="92">
        <v>0</v>
      </c>
      <c r="VVA23" s="92">
        <v>0</v>
      </c>
      <c r="VVB23" s="92">
        <v>0</v>
      </c>
      <c r="VVC23" s="92">
        <v>0</v>
      </c>
      <c r="VVD23" s="92">
        <v>0</v>
      </c>
      <c r="VVE23" s="92">
        <v>0</v>
      </c>
      <c r="VVF23" s="92">
        <v>0</v>
      </c>
      <c r="VVG23" s="92">
        <v>0</v>
      </c>
      <c r="VVH23" s="92">
        <v>0</v>
      </c>
      <c r="VVI23" s="92">
        <v>0</v>
      </c>
      <c r="VVJ23" s="92">
        <v>0</v>
      </c>
      <c r="VVK23" s="92">
        <v>0</v>
      </c>
      <c r="VVL23" s="92">
        <v>0</v>
      </c>
      <c r="VVM23" s="92">
        <v>0</v>
      </c>
      <c r="VVN23" s="92">
        <v>0</v>
      </c>
      <c r="VVO23" s="92">
        <v>0</v>
      </c>
      <c r="VVP23" s="92">
        <v>0</v>
      </c>
      <c r="VVQ23" s="92">
        <v>0</v>
      </c>
      <c r="VVR23" s="92">
        <v>0</v>
      </c>
      <c r="VVS23" s="92">
        <v>0</v>
      </c>
      <c r="VVT23" s="92">
        <v>0</v>
      </c>
      <c r="VVU23" s="92">
        <v>0</v>
      </c>
      <c r="VVV23" s="92">
        <v>0</v>
      </c>
      <c r="VVW23" s="92">
        <v>0</v>
      </c>
      <c r="VVX23" s="92">
        <v>0</v>
      </c>
      <c r="VVY23" s="92">
        <v>0</v>
      </c>
      <c r="VVZ23" s="92">
        <v>0</v>
      </c>
      <c r="VWA23" s="92">
        <v>0</v>
      </c>
      <c r="VWB23" s="92">
        <v>0</v>
      </c>
      <c r="VWC23" s="92">
        <v>0</v>
      </c>
      <c r="VWD23" s="92">
        <v>0</v>
      </c>
      <c r="VWE23" s="92">
        <v>0</v>
      </c>
      <c r="VWF23" s="92">
        <v>0</v>
      </c>
      <c r="VWG23" s="92">
        <v>0</v>
      </c>
      <c r="VWH23" s="92">
        <v>0</v>
      </c>
      <c r="VWI23" s="92">
        <v>0</v>
      </c>
      <c r="VWJ23" s="92">
        <v>0</v>
      </c>
      <c r="VWK23" s="92">
        <v>0</v>
      </c>
      <c r="VWL23" s="92">
        <v>0</v>
      </c>
      <c r="VWM23" s="92">
        <v>0</v>
      </c>
      <c r="VWN23" s="92">
        <v>0</v>
      </c>
      <c r="VWO23" s="92">
        <v>0</v>
      </c>
      <c r="VWP23" s="92">
        <v>0</v>
      </c>
      <c r="VWQ23" s="92">
        <v>0</v>
      </c>
      <c r="VWR23" s="92">
        <v>0</v>
      </c>
      <c r="VWS23" s="92">
        <v>0</v>
      </c>
      <c r="VWT23" s="92">
        <v>0</v>
      </c>
      <c r="VWU23" s="92">
        <v>0</v>
      </c>
      <c r="VWV23" s="92">
        <v>0</v>
      </c>
      <c r="VWW23" s="92">
        <v>0</v>
      </c>
      <c r="VWX23" s="92">
        <v>0</v>
      </c>
      <c r="VWY23" s="92">
        <v>0</v>
      </c>
      <c r="VWZ23" s="92">
        <v>0</v>
      </c>
      <c r="VXA23" s="92">
        <v>0</v>
      </c>
      <c r="VXB23" s="92">
        <v>0</v>
      </c>
      <c r="VXC23" s="92">
        <v>0</v>
      </c>
      <c r="VXD23" s="92">
        <v>0</v>
      </c>
      <c r="VXE23" s="92">
        <v>0</v>
      </c>
      <c r="VXF23" s="92">
        <v>0</v>
      </c>
      <c r="VXG23" s="92">
        <v>0</v>
      </c>
      <c r="VXH23" s="92">
        <v>0</v>
      </c>
      <c r="VXI23" s="92">
        <v>0</v>
      </c>
      <c r="VXJ23" s="92">
        <v>0</v>
      </c>
      <c r="VXK23" s="92">
        <v>0</v>
      </c>
      <c r="VXL23" s="92">
        <v>0</v>
      </c>
      <c r="VXM23" s="92">
        <v>0</v>
      </c>
      <c r="VXN23" s="92">
        <v>0</v>
      </c>
      <c r="VXO23" s="92">
        <v>0</v>
      </c>
      <c r="VXP23" s="92">
        <v>0</v>
      </c>
      <c r="VXQ23" s="92">
        <v>0</v>
      </c>
      <c r="VXR23" s="92">
        <v>0</v>
      </c>
      <c r="VXS23" s="92">
        <v>0</v>
      </c>
      <c r="VXT23" s="92">
        <v>0</v>
      </c>
      <c r="VXU23" s="92">
        <v>0</v>
      </c>
      <c r="VXV23" s="92">
        <v>0</v>
      </c>
      <c r="VXW23" s="92">
        <v>0</v>
      </c>
      <c r="VXX23" s="92">
        <v>0</v>
      </c>
      <c r="VXY23" s="92">
        <v>0</v>
      </c>
      <c r="VXZ23" s="92">
        <v>0</v>
      </c>
      <c r="VYA23" s="92">
        <v>0</v>
      </c>
      <c r="VYB23" s="92">
        <v>0</v>
      </c>
      <c r="VYC23" s="92">
        <v>0</v>
      </c>
      <c r="VYD23" s="92">
        <v>0</v>
      </c>
      <c r="VYE23" s="92">
        <v>0</v>
      </c>
      <c r="VYF23" s="92">
        <v>0</v>
      </c>
      <c r="VYG23" s="92">
        <v>0</v>
      </c>
      <c r="VYH23" s="92">
        <v>0</v>
      </c>
      <c r="VYI23" s="92">
        <v>0</v>
      </c>
      <c r="VYJ23" s="92">
        <v>0</v>
      </c>
      <c r="VYK23" s="92">
        <v>0</v>
      </c>
      <c r="VYL23" s="92">
        <v>0</v>
      </c>
      <c r="VYM23" s="92">
        <v>0</v>
      </c>
      <c r="VYN23" s="92">
        <v>0</v>
      </c>
      <c r="VYO23" s="92">
        <v>0</v>
      </c>
      <c r="VYP23" s="92">
        <v>0</v>
      </c>
      <c r="VYQ23" s="92">
        <v>0</v>
      </c>
      <c r="VYR23" s="92">
        <v>0</v>
      </c>
      <c r="VYS23" s="92">
        <v>0</v>
      </c>
      <c r="VYT23" s="92">
        <v>0</v>
      </c>
      <c r="VYU23" s="92">
        <v>0</v>
      </c>
      <c r="VYV23" s="92">
        <v>0</v>
      </c>
      <c r="VYW23" s="92">
        <v>0</v>
      </c>
      <c r="VYX23" s="92">
        <v>0</v>
      </c>
      <c r="VYY23" s="92">
        <v>0</v>
      </c>
      <c r="VYZ23" s="92">
        <v>0</v>
      </c>
      <c r="VZA23" s="92">
        <v>0</v>
      </c>
      <c r="VZB23" s="92">
        <v>0</v>
      </c>
      <c r="VZC23" s="92">
        <v>0</v>
      </c>
      <c r="VZD23" s="92">
        <v>0</v>
      </c>
      <c r="VZE23" s="92">
        <v>0</v>
      </c>
      <c r="VZF23" s="92">
        <v>0</v>
      </c>
      <c r="VZG23" s="92">
        <v>0</v>
      </c>
      <c r="VZH23" s="92">
        <v>0</v>
      </c>
      <c r="VZI23" s="92">
        <v>0</v>
      </c>
      <c r="VZJ23" s="92">
        <v>0</v>
      </c>
      <c r="VZK23" s="92">
        <v>0</v>
      </c>
      <c r="VZL23" s="92">
        <v>0</v>
      </c>
      <c r="VZM23" s="92">
        <v>0</v>
      </c>
      <c r="VZN23" s="92">
        <v>0</v>
      </c>
      <c r="VZO23" s="92">
        <v>0</v>
      </c>
      <c r="VZP23" s="92">
        <v>0</v>
      </c>
      <c r="VZQ23" s="92">
        <v>0</v>
      </c>
      <c r="VZR23" s="92">
        <v>0</v>
      </c>
      <c r="VZS23" s="92">
        <v>0</v>
      </c>
      <c r="VZT23" s="92">
        <v>0</v>
      </c>
      <c r="VZU23" s="92">
        <v>0</v>
      </c>
      <c r="VZV23" s="92">
        <v>0</v>
      </c>
      <c r="VZW23" s="92">
        <v>0</v>
      </c>
      <c r="VZX23" s="92">
        <v>0</v>
      </c>
      <c r="VZY23" s="92">
        <v>0</v>
      </c>
      <c r="VZZ23" s="92">
        <v>0</v>
      </c>
      <c r="WAA23" s="92">
        <v>0</v>
      </c>
      <c r="WAB23" s="92">
        <v>0</v>
      </c>
      <c r="WAC23" s="92">
        <v>0</v>
      </c>
      <c r="WAD23" s="92">
        <v>0</v>
      </c>
      <c r="WAE23" s="92">
        <v>0</v>
      </c>
      <c r="WAF23" s="92">
        <v>0</v>
      </c>
      <c r="WAG23" s="92">
        <v>0</v>
      </c>
      <c r="WAH23" s="92">
        <v>0</v>
      </c>
      <c r="WAI23" s="92">
        <v>0</v>
      </c>
      <c r="WAJ23" s="92">
        <v>0</v>
      </c>
      <c r="WAK23" s="92">
        <v>0</v>
      </c>
      <c r="WAL23" s="92">
        <v>0</v>
      </c>
      <c r="WAM23" s="92">
        <v>0</v>
      </c>
      <c r="WAN23" s="92">
        <v>0</v>
      </c>
      <c r="WAO23" s="92">
        <v>0</v>
      </c>
      <c r="WAP23" s="92">
        <v>0</v>
      </c>
      <c r="WAQ23" s="92">
        <v>0</v>
      </c>
      <c r="WAR23" s="92">
        <v>0</v>
      </c>
      <c r="WAS23" s="92">
        <v>0</v>
      </c>
      <c r="WAT23" s="92">
        <v>0</v>
      </c>
      <c r="WAU23" s="92">
        <v>0</v>
      </c>
      <c r="WAV23" s="92">
        <v>0</v>
      </c>
      <c r="WAW23" s="92">
        <v>0</v>
      </c>
      <c r="WAX23" s="92">
        <v>0</v>
      </c>
      <c r="WAY23" s="92">
        <v>0</v>
      </c>
      <c r="WAZ23" s="92">
        <v>0</v>
      </c>
      <c r="WBA23" s="92">
        <v>0</v>
      </c>
      <c r="WBB23" s="92">
        <v>0</v>
      </c>
      <c r="WBC23" s="92">
        <v>0</v>
      </c>
      <c r="WBD23" s="92">
        <v>0</v>
      </c>
      <c r="WBE23" s="92">
        <v>0</v>
      </c>
      <c r="WBF23" s="92">
        <v>0</v>
      </c>
      <c r="WBG23" s="92">
        <v>0</v>
      </c>
      <c r="WBH23" s="92">
        <v>0</v>
      </c>
      <c r="WBI23" s="92">
        <v>0</v>
      </c>
      <c r="WBJ23" s="92">
        <v>0</v>
      </c>
      <c r="WBK23" s="92">
        <v>0</v>
      </c>
      <c r="WBL23" s="92">
        <v>0</v>
      </c>
      <c r="WBM23" s="92">
        <v>0</v>
      </c>
      <c r="WBN23" s="92">
        <v>0</v>
      </c>
      <c r="WBO23" s="92">
        <v>0</v>
      </c>
      <c r="WBP23" s="92">
        <v>0</v>
      </c>
      <c r="WBQ23" s="92">
        <v>0</v>
      </c>
      <c r="WBR23" s="92">
        <v>0</v>
      </c>
      <c r="WBS23" s="92">
        <v>0</v>
      </c>
      <c r="WBT23" s="92">
        <v>0</v>
      </c>
      <c r="WBU23" s="92">
        <v>0</v>
      </c>
      <c r="WBV23" s="92">
        <v>0</v>
      </c>
      <c r="WBW23" s="92">
        <v>0</v>
      </c>
      <c r="WBX23" s="92">
        <v>0</v>
      </c>
      <c r="WBY23" s="92">
        <v>0</v>
      </c>
      <c r="WBZ23" s="92">
        <v>0</v>
      </c>
      <c r="WCA23" s="92">
        <v>0</v>
      </c>
      <c r="WCB23" s="92">
        <v>0</v>
      </c>
      <c r="WCC23" s="92">
        <v>0</v>
      </c>
      <c r="WCD23" s="92">
        <v>0</v>
      </c>
      <c r="WCE23" s="92">
        <v>0</v>
      </c>
      <c r="WCF23" s="92">
        <v>0</v>
      </c>
      <c r="WCG23" s="92">
        <v>0</v>
      </c>
      <c r="WCH23" s="92">
        <v>0</v>
      </c>
      <c r="WCI23" s="92">
        <v>0</v>
      </c>
      <c r="WCJ23" s="92">
        <v>0</v>
      </c>
      <c r="WCK23" s="92">
        <v>0</v>
      </c>
      <c r="WCL23" s="92">
        <v>0</v>
      </c>
      <c r="WCM23" s="92">
        <v>0</v>
      </c>
      <c r="WCN23" s="92">
        <v>0</v>
      </c>
      <c r="WCO23" s="92">
        <v>0</v>
      </c>
      <c r="WCP23" s="92">
        <v>0</v>
      </c>
      <c r="WCQ23" s="92">
        <v>0</v>
      </c>
      <c r="WCR23" s="92">
        <v>0</v>
      </c>
      <c r="WCS23" s="92">
        <v>0</v>
      </c>
      <c r="WCT23" s="92">
        <v>0</v>
      </c>
      <c r="WCU23" s="92">
        <v>0</v>
      </c>
      <c r="WCV23" s="92">
        <v>0</v>
      </c>
      <c r="WCW23" s="92">
        <v>0</v>
      </c>
      <c r="WCX23" s="92">
        <v>0</v>
      </c>
      <c r="WCY23" s="92">
        <v>0</v>
      </c>
      <c r="WCZ23" s="92">
        <v>0</v>
      </c>
      <c r="WDA23" s="92">
        <v>0</v>
      </c>
      <c r="WDB23" s="92">
        <v>0</v>
      </c>
      <c r="WDC23" s="92">
        <v>0</v>
      </c>
      <c r="WDD23" s="92">
        <v>0</v>
      </c>
      <c r="WDE23" s="92">
        <v>0</v>
      </c>
      <c r="WDF23" s="92">
        <v>0</v>
      </c>
      <c r="WDG23" s="92">
        <v>0</v>
      </c>
      <c r="WDH23" s="92">
        <v>0</v>
      </c>
      <c r="WDI23" s="92">
        <v>0</v>
      </c>
      <c r="WDJ23" s="92">
        <v>0</v>
      </c>
      <c r="WDK23" s="92">
        <v>0</v>
      </c>
      <c r="WDL23" s="92">
        <v>0</v>
      </c>
      <c r="WDM23" s="92">
        <v>0</v>
      </c>
      <c r="WDN23" s="92">
        <v>0</v>
      </c>
      <c r="WDO23" s="92">
        <v>0</v>
      </c>
      <c r="WDP23" s="92">
        <v>0</v>
      </c>
      <c r="WDQ23" s="92">
        <v>0</v>
      </c>
      <c r="WDR23" s="92">
        <v>0</v>
      </c>
      <c r="WDS23" s="92">
        <v>0</v>
      </c>
      <c r="WDT23" s="92">
        <v>0</v>
      </c>
      <c r="WDU23" s="92">
        <v>0</v>
      </c>
      <c r="WDV23" s="92">
        <v>0</v>
      </c>
      <c r="WDW23" s="92">
        <v>0</v>
      </c>
      <c r="WDX23" s="92">
        <v>0</v>
      </c>
      <c r="WDY23" s="92">
        <v>0</v>
      </c>
      <c r="WDZ23" s="92">
        <v>0</v>
      </c>
      <c r="WEA23" s="92">
        <v>0</v>
      </c>
      <c r="WEB23" s="92">
        <v>0</v>
      </c>
      <c r="WEC23" s="92">
        <v>0</v>
      </c>
      <c r="WED23" s="92">
        <v>0</v>
      </c>
      <c r="WEE23" s="92">
        <v>0</v>
      </c>
      <c r="WEF23" s="92">
        <v>0</v>
      </c>
      <c r="WEG23" s="92">
        <v>0</v>
      </c>
      <c r="WEH23" s="92">
        <v>0</v>
      </c>
      <c r="WEI23" s="92">
        <v>0</v>
      </c>
      <c r="WEJ23" s="92">
        <v>0</v>
      </c>
      <c r="WEK23" s="92">
        <v>0</v>
      </c>
      <c r="WEL23" s="92">
        <v>0</v>
      </c>
      <c r="WEM23" s="92">
        <v>0</v>
      </c>
      <c r="WEN23" s="92">
        <v>0</v>
      </c>
      <c r="WEO23" s="92">
        <v>0</v>
      </c>
      <c r="WEP23" s="92">
        <v>0</v>
      </c>
      <c r="WEQ23" s="92">
        <v>0</v>
      </c>
      <c r="WER23" s="92">
        <v>0</v>
      </c>
      <c r="WES23" s="92">
        <v>0</v>
      </c>
      <c r="WET23" s="92">
        <v>0</v>
      </c>
      <c r="WEU23" s="92">
        <v>0</v>
      </c>
      <c r="WEV23" s="92">
        <v>0</v>
      </c>
      <c r="WEW23" s="92">
        <v>0</v>
      </c>
      <c r="WEX23" s="92">
        <v>0</v>
      </c>
      <c r="WEY23" s="92">
        <v>0</v>
      </c>
      <c r="WEZ23" s="92">
        <v>0</v>
      </c>
      <c r="WFA23" s="92">
        <v>0</v>
      </c>
      <c r="WFB23" s="92">
        <v>0</v>
      </c>
      <c r="WFC23" s="92">
        <v>0</v>
      </c>
      <c r="WFD23" s="92">
        <v>0</v>
      </c>
      <c r="WFE23" s="92">
        <v>0</v>
      </c>
      <c r="WFF23" s="92">
        <v>0</v>
      </c>
      <c r="WFG23" s="92">
        <v>0</v>
      </c>
      <c r="WFH23" s="92">
        <v>0</v>
      </c>
      <c r="WFI23" s="92">
        <v>0</v>
      </c>
      <c r="WFJ23" s="92">
        <v>0</v>
      </c>
      <c r="WFK23" s="92">
        <v>0</v>
      </c>
      <c r="WFL23" s="92">
        <v>0</v>
      </c>
      <c r="WFM23" s="92">
        <v>0</v>
      </c>
      <c r="WFN23" s="92">
        <v>0</v>
      </c>
      <c r="WFO23" s="92">
        <v>0</v>
      </c>
      <c r="WFP23" s="92">
        <v>0</v>
      </c>
      <c r="WFQ23" s="92">
        <v>0</v>
      </c>
      <c r="WFR23" s="92">
        <v>0</v>
      </c>
      <c r="WFS23" s="92">
        <v>0</v>
      </c>
      <c r="WFT23" s="92">
        <v>0</v>
      </c>
      <c r="WFU23" s="92">
        <v>0</v>
      </c>
      <c r="WFV23" s="92">
        <v>0</v>
      </c>
      <c r="WFW23" s="92">
        <v>0</v>
      </c>
      <c r="WFX23" s="92">
        <v>0</v>
      </c>
      <c r="WFY23" s="92">
        <v>0</v>
      </c>
      <c r="WFZ23" s="92">
        <v>0</v>
      </c>
      <c r="WGA23" s="92">
        <v>0</v>
      </c>
      <c r="WGB23" s="92">
        <v>0</v>
      </c>
      <c r="WGC23" s="92">
        <v>0</v>
      </c>
      <c r="WGD23" s="92">
        <v>0</v>
      </c>
      <c r="WGE23" s="92">
        <v>0</v>
      </c>
      <c r="WGF23" s="92">
        <v>0</v>
      </c>
      <c r="WGG23" s="92">
        <v>0</v>
      </c>
      <c r="WGH23" s="92">
        <v>0</v>
      </c>
      <c r="WGI23" s="92">
        <v>0</v>
      </c>
      <c r="WGJ23" s="92">
        <v>0</v>
      </c>
      <c r="WGK23" s="92">
        <v>0</v>
      </c>
      <c r="WGL23" s="92">
        <v>0</v>
      </c>
      <c r="WGM23" s="92">
        <v>0</v>
      </c>
      <c r="WGN23" s="92">
        <v>0</v>
      </c>
      <c r="WGO23" s="92">
        <v>0</v>
      </c>
      <c r="WGP23" s="92">
        <v>0</v>
      </c>
      <c r="WGQ23" s="92">
        <v>0</v>
      </c>
      <c r="WGR23" s="92">
        <v>0</v>
      </c>
      <c r="WGS23" s="92">
        <v>0</v>
      </c>
      <c r="WGT23" s="92">
        <v>0</v>
      </c>
      <c r="WGU23" s="92">
        <v>0</v>
      </c>
      <c r="WGV23" s="92">
        <v>0</v>
      </c>
      <c r="WGW23" s="92">
        <v>0</v>
      </c>
      <c r="WGX23" s="92">
        <v>0</v>
      </c>
      <c r="WGY23" s="92">
        <v>0</v>
      </c>
      <c r="WGZ23" s="92">
        <v>0</v>
      </c>
      <c r="WHA23" s="92">
        <v>0</v>
      </c>
      <c r="WHB23" s="92">
        <v>0</v>
      </c>
      <c r="WHC23" s="92">
        <v>0</v>
      </c>
      <c r="WHD23" s="92">
        <v>0</v>
      </c>
      <c r="WHE23" s="92">
        <v>0</v>
      </c>
      <c r="WHF23" s="92">
        <v>0</v>
      </c>
      <c r="WHG23" s="92">
        <v>0</v>
      </c>
      <c r="WHH23" s="92">
        <v>0</v>
      </c>
      <c r="WHI23" s="92">
        <v>0</v>
      </c>
      <c r="WHJ23" s="92">
        <v>0</v>
      </c>
      <c r="WHK23" s="92">
        <v>0</v>
      </c>
      <c r="WHL23" s="92">
        <v>0</v>
      </c>
      <c r="WHM23" s="92">
        <v>0</v>
      </c>
      <c r="WHN23" s="92">
        <v>0</v>
      </c>
      <c r="WHO23" s="92">
        <v>0</v>
      </c>
      <c r="WHP23" s="92">
        <v>0</v>
      </c>
      <c r="WHQ23" s="92">
        <v>0</v>
      </c>
      <c r="WHR23" s="92">
        <v>0</v>
      </c>
      <c r="WHS23" s="92">
        <v>0</v>
      </c>
      <c r="WHT23" s="92">
        <v>0</v>
      </c>
      <c r="WHU23" s="92">
        <v>0</v>
      </c>
      <c r="WHV23" s="92">
        <v>0</v>
      </c>
      <c r="WHW23" s="92">
        <v>0</v>
      </c>
      <c r="WHX23" s="92">
        <v>0</v>
      </c>
      <c r="WHY23" s="92">
        <v>0</v>
      </c>
      <c r="WHZ23" s="92">
        <v>0</v>
      </c>
      <c r="WIA23" s="92">
        <v>0</v>
      </c>
      <c r="WIB23" s="92">
        <v>0</v>
      </c>
      <c r="WIC23" s="92">
        <v>0</v>
      </c>
      <c r="WID23" s="92">
        <v>0</v>
      </c>
      <c r="WIE23" s="92">
        <v>0</v>
      </c>
      <c r="WIF23" s="92">
        <v>0</v>
      </c>
      <c r="WIG23" s="92">
        <v>0</v>
      </c>
      <c r="WIH23" s="92">
        <v>0</v>
      </c>
      <c r="WII23" s="92">
        <v>0</v>
      </c>
      <c r="WIJ23" s="92">
        <v>0</v>
      </c>
      <c r="WIK23" s="92">
        <v>0</v>
      </c>
      <c r="WIL23" s="92">
        <v>0</v>
      </c>
      <c r="WIM23" s="92">
        <v>0</v>
      </c>
      <c r="WIN23" s="92">
        <v>0</v>
      </c>
      <c r="WIO23" s="92">
        <v>0</v>
      </c>
      <c r="WIP23" s="92">
        <v>0</v>
      </c>
      <c r="WIQ23" s="92">
        <v>0</v>
      </c>
      <c r="WIR23" s="92">
        <v>0</v>
      </c>
      <c r="WIS23" s="92">
        <v>0</v>
      </c>
      <c r="WIT23" s="92">
        <v>0</v>
      </c>
      <c r="WIU23" s="92">
        <v>0</v>
      </c>
      <c r="WIV23" s="92">
        <v>0</v>
      </c>
      <c r="WIW23" s="92">
        <v>0</v>
      </c>
      <c r="WIX23" s="92">
        <v>0</v>
      </c>
      <c r="WIY23" s="92">
        <v>0</v>
      </c>
      <c r="WIZ23" s="92">
        <v>0</v>
      </c>
      <c r="WJA23" s="92">
        <v>0</v>
      </c>
      <c r="WJB23" s="92">
        <v>0</v>
      </c>
      <c r="WJC23" s="92">
        <v>0</v>
      </c>
      <c r="WJD23" s="92">
        <v>0</v>
      </c>
      <c r="WJE23" s="92">
        <v>0</v>
      </c>
      <c r="WJF23" s="92">
        <v>0</v>
      </c>
      <c r="WJG23" s="92">
        <v>0</v>
      </c>
      <c r="WJH23" s="92">
        <v>0</v>
      </c>
      <c r="WJI23" s="92">
        <v>0</v>
      </c>
      <c r="WJJ23" s="92">
        <v>0</v>
      </c>
      <c r="WJK23" s="92">
        <v>0</v>
      </c>
      <c r="WJL23" s="92">
        <v>0</v>
      </c>
      <c r="WJM23" s="92">
        <v>0</v>
      </c>
      <c r="WJN23" s="92">
        <v>0</v>
      </c>
      <c r="WJO23" s="92">
        <v>0</v>
      </c>
      <c r="WJP23" s="92">
        <v>0</v>
      </c>
      <c r="WJQ23" s="92">
        <v>0</v>
      </c>
      <c r="WJR23" s="92">
        <v>0</v>
      </c>
      <c r="WJS23" s="92">
        <v>0</v>
      </c>
      <c r="WJT23" s="92">
        <v>0</v>
      </c>
      <c r="WJU23" s="92">
        <v>0</v>
      </c>
      <c r="WJV23" s="92">
        <v>0</v>
      </c>
      <c r="WJW23" s="92">
        <v>0</v>
      </c>
      <c r="WJX23" s="92">
        <v>0</v>
      </c>
      <c r="WJY23" s="92">
        <v>0</v>
      </c>
      <c r="WJZ23" s="92">
        <v>0</v>
      </c>
      <c r="WKA23" s="92">
        <v>0</v>
      </c>
      <c r="WKB23" s="92">
        <v>0</v>
      </c>
      <c r="WKC23" s="92">
        <v>0</v>
      </c>
      <c r="WKD23" s="92">
        <v>0</v>
      </c>
      <c r="WKE23" s="92">
        <v>0</v>
      </c>
      <c r="WKF23" s="92">
        <v>0</v>
      </c>
      <c r="WKG23" s="92">
        <v>0</v>
      </c>
      <c r="WKH23" s="92">
        <v>0</v>
      </c>
      <c r="WKI23" s="92">
        <v>0</v>
      </c>
      <c r="WKJ23" s="92">
        <v>0</v>
      </c>
      <c r="WKK23" s="92">
        <v>0</v>
      </c>
      <c r="WKL23" s="92">
        <v>0</v>
      </c>
      <c r="WKM23" s="92">
        <v>0</v>
      </c>
      <c r="WKN23" s="92">
        <v>0</v>
      </c>
      <c r="WKO23" s="92">
        <v>0</v>
      </c>
      <c r="WKP23" s="92">
        <v>0</v>
      </c>
      <c r="WKQ23" s="92">
        <v>0</v>
      </c>
      <c r="WKR23" s="92">
        <v>0</v>
      </c>
      <c r="WKS23" s="92">
        <v>0</v>
      </c>
      <c r="WKT23" s="92">
        <v>0</v>
      </c>
      <c r="WKU23" s="92">
        <v>0</v>
      </c>
      <c r="WKV23" s="92">
        <v>0</v>
      </c>
      <c r="WKW23" s="92">
        <v>0</v>
      </c>
      <c r="WKX23" s="92">
        <v>0</v>
      </c>
      <c r="WKY23" s="92">
        <v>0</v>
      </c>
      <c r="WKZ23" s="92">
        <v>0</v>
      </c>
      <c r="WLA23" s="92">
        <v>0</v>
      </c>
      <c r="WLB23" s="92">
        <v>0</v>
      </c>
      <c r="WLC23" s="92">
        <v>0</v>
      </c>
      <c r="WLD23" s="92">
        <v>0</v>
      </c>
      <c r="WLE23" s="92">
        <v>0</v>
      </c>
      <c r="WLF23" s="92">
        <v>0</v>
      </c>
      <c r="WLG23" s="92">
        <v>0</v>
      </c>
      <c r="WLH23" s="92">
        <v>0</v>
      </c>
      <c r="WLI23" s="92">
        <v>0</v>
      </c>
      <c r="WLJ23" s="92">
        <v>0</v>
      </c>
      <c r="WLK23" s="92">
        <v>0</v>
      </c>
      <c r="WLL23" s="92">
        <v>0</v>
      </c>
      <c r="WLM23" s="92">
        <v>0</v>
      </c>
      <c r="WLN23" s="92">
        <v>0</v>
      </c>
      <c r="WLO23" s="92">
        <v>0</v>
      </c>
      <c r="WLP23" s="92">
        <v>0</v>
      </c>
      <c r="WLQ23" s="92">
        <v>0</v>
      </c>
      <c r="WLR23" s="92">
        <v>0</v>
      </c>
      <c r="WLS23" s="92">
        <v>0</v>
      </c>
      <c r="WLT23" s="92">
        <v>0</v>
      </c>
      <c r="WLU23" s="92">
        <v>0</v>
      </c>
      <c r="WLV23" s="92">
        <v>0</v>
      </c>
      <c r="WLW23" s="92">
        <v>0</v>
      </c>
      <c r="WLX23" s="92">
        <v>0</v>
      </c>
      <c r="WLY23" s="92">
        <v>0</v>
      </c>
      <c r="WLZ23" s="92">
        <v>0</v>
      </c>
      <c r="WMA23" s="92">
        <v>0</v>
      </c>
      <c r="WMB23" s="92">
        <v>0</v>
      </c>
      <c r="WMC23" s="92">
        <v>0</v>
      </c>
      <c r="WMD23" s="92">
        <v>0</v>
      </c>
      <c r="WME23" s="92">
        <v>0</v>
      </c>
      <c r="WMF23" s="92">
        <v>0</v>
      </c>
      <c r="WMG23" s="92">
        <v>0</v>
      </c>
      <c r="WMH23" s="92">
        <v>0</v>
      </c>
      <c r="WMI23" s="92">
        <v>0</v>
      </c>
      <c r="WMJ23" s="92">
        <v>0</v>
      </c>
      <c r="WMK23" s="92">
        <v>0</v>
      </c>
      <c r="WML23" s="92">
        <v>0</v>
      </c>
      <c r="WMM23" s="92">
        <v>0</v>
      </c>
      <c r="WMN23" s="92">
        <v>0</v>
      </c>
      <c r="WMO23" s="92">
        <v>0</v>
      </c>
      <c r="WMP23" s="92">
        <v>0</v>
      </c>
      <c r="WMQ23" s="92">
        <v>0</v>
      </c>
      <c r="WMR23" s="92">
        <v>0</v>
      </c>
      <c r="WMS23" s="92">
        <v>0</v>
      </c>
      <c r="WMT23" s="92">
        <v>0</v>
      </c>
      <c r="WMU23" s="92">
        <v>0</v>
      </c>
      <c r="WMV23" s="92">
        <v>0</v>
      </c>
      <c r="WMW23" s="92">
        <v>0</v>
      </c>
      <c r="WMX23" s="92">
        <v>0</v>
      </c>
      <c r="WMY23" s="92">
        <v>0</v>
      </c>
      <c r="WMZ23" s="92">
        <v>0</v>
      </c>
      <c r="WNA23" s="92">
        <v>0</v>
      </c>
      <c r="WNB23" s="92">
        <v>0</v>
      </c>
      <c r="WNC23" s="92">
        <v>0</v>
      </c>
      <c r="WND23" s="92">
        <v>0</v>
      </c>
      <c r="WNE23" s="92">
        <v>0</v>
      </c>
      <c r="WNF23" s="92">
        <v>0</v>
      </c>
      <c r="WNG23" s="92">
        <v>0</v>
      </c>
      <c r="WNH23" s="92">
        <v>0</v>
      </c>
      <c r="WNI23" s="92">
        <v>0</v>
      </c>
      <c r="WNJ23" s="92">
        <v>0</v>
      </c>
      <c r="WNK23" s="92">
        <v>0</v>
      </c>
      <c r="WNL23" s="92">
        <v>0</v>
      </c>
      <c r="WNM23" s="92">
        <v>0</v>
      </c>
      <c r="WNN23" s="92">
        <v>0</v>
      </c>
      <c r="WNO23" s="92">
        <v>0</v>
      </c>
      <c r="WNP23" s="92">
        <v>0</v>
      </c>
      <c r="WNQ23" s="92">
        <v>0</v>
      </c>
      <c r="WNR23" s="92">
        <v>0</v>
      </c>
      <c r="WNS23" s="92">
        <v>0</v>
      </c>
      <c r="WNT23" s="92">
        <v>0</v>
      </c>
      <c r="WNU23" s="92">
        <v>0</v>
      </c>
      <c r="WNV23" s="92">
        <v>0</v>
      </c>
      <c r="WNW23" s="92">
        <v>0</v>
      </c>
      <c r="WNX23" s="92">
        <v>0</v>
      </c>
      <c r="WNY23" s="92">
        <v>0</v>
      </c>
      <c r="WNZ23" s="92">
        <v>0</v>
      </c>
      <c r="WOA23" s="92">
        <v>0</v>
      </c>
      <c r="WOB23" s="92">
        <v>0</v>
      </c>
      <c r="WOC23" s="92">
        <v>0</v>
      </c>
      <c r="WOD23" s="92">
        <v>0</v>
      </c>
      <c r="WOE23" s="92">
        <v>0</v>
      </c>
      <c r="WOF23" s="92">
        <v>0</v>
      </c>
      <c r="WOG23" s="92">
        <v>0</v>
      </c>
      <c r="WOH23" s="92">
        <v>0</v>
      </c>
      <c r="WOI23" s="92">
        <v>0</v>
      </c>
      <c r="WOJ23" s="92">
        <v>0</v>
      </c>
      <c r="WOK23" s="92">
        <v>0</v>
      </c>
      <c r="WOL23" s="92">
        <v>0</v>
      </c>
      <c r="WOM23" s="92">
        <v>0</v>
      </c>
      <c r="WON23" s="92">
        <v>0</v>
      </c>
      <c r="WOO23" s="92">
        <v>0</v>
      </c>
      <c r="WOP23" s="92">
        <v>0</v>
      </c>
      <c r="WOQ23" s="92">
        <v>0</v>
      </c>
      <c r="WOR23" s="92">
        <v>0</v>
      </c>
      <c r="WOS23" s="92">
        <v>0</v>
      </c>
      <c r="WOT23" s="92">
        <v>0</v>
      </c>
      <c r="WOU23" s="92">
        <v>0</v>
      </c>
      <c r="WOV23" s="92">
        <v>0</v>
      </c>
      <c r="WOW23" s="92">
        <v>0</v>
      </c>
      <c r="WOX23" s="92">
        <v>0</v>
      </c>
      <c r="WOY23" s="92">
        <v>0</v>
      </c>
      <c r="WOZ23" s="92">
        <v>0</v>
      </c>
      <c r="WPA23" s="92">
        <v>0</v>
      </c>
      <c r="WPB23" s="92">
        <v>0</v>
      </c>
      <c r="WPC23" s="92">
        <v>0</v>
      </c>
      <c r="WPD23" s="92">
        <v>0</v>
      </c>
      <c r="WPE23" s="92">
        <v>0</v>
      </c>
      <c r="WPF23" s="92">
        <v>0</v>
      </c>
      <c r="WPG23" s="92">
        <v>0</v>
      </c>
      <c r="WPH23" s="92">
        <v>0</v>
      </c>
      <c r="WPI23" s="92">
        <v>0</v>
      </c>
      <c r="WPJ23" s="92">
        <v>0</v>
      </c>
      <c r="WPK23" s="92">
        <v>0</v>
      </c>
      <c r="WPL23" s="92">
        <v>0</v>
      </c>
      <c r="WPM23" s="92">
        <v>0</v>
      </c>
      <c r="WPN23" s="92">
        <v>0</v>
      </c>
      <c r="WPO23" s="92">
        <v>0</v>
      </c>
      <c r="WPP23" s="92">
        <v>0</v>
      </c>
      <c r="WPQ23" s="92">
        <v>0</v>
      </c>
      <c r="WPR23" s="92">
        <v>0</v>
      </c>
      <c r="WPS23" s="92">
        <v>0</v>
      </c>
      <c r="WPT23" s="92">
        <v>0</v>
      </c>
      <c r="WPU23" s="92">
        <v>0</v>
      </c>
      <c r="WPV23" s="92">
        <v>0</v>
      </c>
      <c r="WPW23" s="92">
        <v>0</v>
      </c>
      <c r="WPX23" s="92">
        <v>0</v>
      </c>
      <c r="WPY23" s="92">
        <v>0</v>
      </c>
      <c r="WPZ23" s="92">
        <v>0</v>
      </c>
      <c r="WQA23" s="92">
        <v>0</v>
      </c>
      <c r="WQB23" s="92">
        <v>0</v>
      </c>
      <c r="WQC23" s="92">
        <v>0</v>
      </c>
      <c r="WQD23" s="92">
        <v>0</v>
      </c>
      <c r="WQE23" s="92">
        <v>0</v>
      </c>
      <c r="WQF23" s="92">
        <v>0</v>
      </c>
      <c r="WQG23" s="92">
        <v>0</v>
      </c>
      <c r="WQH23" s="92">
        <v>0</v>
      </c>
      <c r="WQI23" s="92">
        <v>0</v>
      </c>
      <c r="WQJ23" s="92">
        <v>0</v>
      </c>
      <c r="WQK23" s="92">
        <v>0</v>
      </c>
      <c r="WQL23" s="92">
        <v>0</v>
      </c>
      <c r="WQM23" s="92">
        <v>0</v>
      </c>
      <c r="WQN23" s="92">
        <v>0</v>
      </c>
      <c r="WQO23" s="92">
        <v>0</v>
      </c>
      <c r="WQP23" s="92">
        <v>0</v>
      </c>
      <c r="WQQ23" s="92">
        <v>0</v>
      </c>
      <c r="WQR23" s="92">
        <v>0</v>
      </c>
      <c r="WQS23" s="92">
        <v>0</v>
      </c>
      <c r="WQT23" s="92">
        <v>0</v>
      </c>
      <c r="WQU23" s="92">
        <v>0</v>
      </c>
      <c r="WQV23" s="92">
        <v>0</v>
      </c>
      <c r="WQW23" s="92">
        <v>0</v>
      </c>
      <c r="WQX23" s="92">
        <v>0</v>
      </c>
      <c r="WQY23" s="92">
        <v>0</v>
      </c>
      <c r="WQZ23" s="92">
        <v>0</v>
      </c>
      <c r="WRA23" s="92">
        <v>0</v>
      </c>
      <c r="WRB23" s="92">
        <v>0</v>
      </c>
      <c r="WRC23" s="92">
        <v>0</v>
      </c>
      <c r="WRD23" s="92">
        <v>0</v>
      </c>
      <c r="WRE23" s="92">
        <v>0</v>
      </c>
      <c r="WRF23" s="92">
        <v>0</v>
      </c>
      <c r="WRG23" s="92">
        <v>0</v>
      </c>
      <c r="WRH23" s="92">
        <v>0</v>
      </c>
      <c r="WRI23" s="92">
        <v>0</v>
      </c>
      <c r="WRJ23" s="92">
        <v>0</v>
      </c>
      <c r="WRK23" s="92">
        <v>0</v>
      </c>
      <c r="WRL23" s="92">
        <v>0</v>
      </c>
      <c r="WRM23" s="92">
        <v>0</v>
      </c>
      <c r="WRN23" s="92">
        <v>0</v>
      </c>
      <c r="WRO23" s="92">
        <v>0</v>
      </c>
      <c r="WRP23" s="92">
        <v>0</v>
      </c>
      <c r="WRQ23" s="92">
        <v>0</v>
      </c>
      <c r="WRR23" s="92">
        <v>0</v>
      </c>
      <c r="WRS23" s="92">
        <v>0</v>
      </c>
      <c r="WRT23" s="92">
        <v>0</v>
      </c>
      <c r="WRU23" s="92">
        <v>0</v>
      </c>
      <c r="WRV23" s="92">
        <v>0</v>
      </c>
      <c r="WRW23" s="92">
        <v>0</v>
      </c>
      <c r="WRX23" s="92">
        <v>0</v>
      </c>
      <c r="WRY23" s="92">
        <v>0</v>
      </c>
      <c r="WRZ23" s="92">
        <v>0</v>
      </c>
      <c r="WSA23" s="92">
        <v>0</v>
      </c>
      <c r="WSB23" s="92">
        <v>0</v>
      </c>
      <c r="WSC23" s="92">
        <v>0</v>
      </c>
      <c r="WSD23" s="92">
        <v>0</v>
      </c>
      <c r="WSE23" s="92">
        <v>0</v>
      </c>
      <c r="WSF23" s="92">
        <v>0</v>
      </c>
      <c r="WSG23" s="92">
        <v>0</v>
      </c>
      <c r="WSH23" s="92">
        <v>0</v>
      </c>
      <c r="WSI23" s="92">
        <v>0</v>
      </c>
      <c r="WSJ23" s="92">
        <v>0</v>
      </c>
      <c r="WSK23" s="92">
        <v>0</v>
      </c>
      <c r="WSL23" s="92">
        <v>0</v>
      </c>
      <c r="WSM23" s="92">
        <v>0</v>
      </c>
      <c r="WSN23" s="92">
        <v>0</v>
      </c>
      <c r="WSO23" s="92">
        <v>0</v>
      </c>
      <c r="WSP23" s="92">
        <v>0</v>
      </c>
      <c r="WSQ23" s="92">
        <v>0</v>
      </c>
      <c r="WSR23" s="92">
        <v>0</v>
      </c>
      <c r="WSS23" s="92">
        <v>0</v>
      </c>
      <c r="WST23" s="92">
        <v>0</v>
      </c>
      <c r="WSU23" s="92">
        <v>0</v>
      </c>
      <c r="WSV23" s="92">
        <v>0</v>
      </c>
      <c r="WSW23" s="92">
        <v>0</v>
      </c>
      <c r="WSX23" s="92">
        <v>0</v>
      </c>
      <c r="WSY23" s="92">
        <v>0</v>
      </c>
      <c r="WSZ23" s="92">
        <v>0</v>
      </c>
      <c r="WTA23" s="92">
        <v>0</v>
      </c>
      <c r="WTB23" s="92">
        <v>0</v>
      </c>
      <c r="WTC23" s="92">
        <v>0</v>
      </c>
      <c r="WTD23" s="92">
        <v>0</v>
      </c>
      <c r="WTE23" s="92">
        <v>0</v>
      </c>
      <c r="WTF23" s="92">
        <v>0</v>
      </c>
      <c r="WTG23" s="92">
        <v>0</v>
      </c>
      <c r="WTH23" s="92">
        <v>0</v>
      </c>
      <c r="WTI23" s="92">
        <v>0</v>
      </c>
      <c r="WTJ23" s="92">
        <v>0</v>
      </c>
      <c r="WTK23" s="92">
        <v>0</v>
      </c>
      <c r="WTL23" s="92">
        <v>0</v>
      </c>
      <c r="WTM23" s="92">
        <v>0</v>
      </c>
      <c r="WTN23" s="92">
        <v>0</v>
      </c>
      <c r="WTO23" s="92">
        <v>0</v>
      </c>
      <c r="WTP23" s="92">
        <v>0</v>
      </c>
      <c r="WTQ23" s="92">
        <v>0</v>
      </c>
      <c r="WTR23" s="92">
        <v>0</v>
      </c>
      <c r="WTS23" s="92">
        <v>0</v>
      </c>
      <c r="WTT23" s="92">
        <v>0</v>
      </c>
      <c r="WTU23" s="92">
        <v>0</v>
      </c>
      <c r="WTV23" s="92">
        <v>0</v>
      </c>
      <c r="WTW23" s="92">
        <v>0</v>
      </c>
      <c r="WTX23" s="92">
        <v>0</v>
      </c>
      <c r="WTY23" s="92">
        <v>0</v>
      </c>
      <c r="WTZ23" s="92">
        <v>0</v>
      </c>
      <c r="WUA23" s="92">
        <v>0</v>
      </c>
      <c r="WUB23" s="92">
        <v>0</v>
      </c>
      <c r="WUC23" s="92">
        <v>0</v>
      </c>
      <c r="WUD23" s="92">
        <v>0</v>
      </c>
      <c r="WUE23" s="92">
        <v>0</v>
      </c>
      <c r="WUF23" s="92">
        <v>0</v>
      </c>
      <c r="WUG23" s="92">
        <v>0</v>
      </c>
      <c r="WUH23" s="92">
        <v>0</v>
      </c>
      <c r="WUI23" s="92">
        <v>0</v>
      </c>
      <c r="WUJ23" s="92">
        <v>0</v>
      </c>
      <c r="WUK23" s="92">
        <v>0</v>
      </c>
      <c r="WUL23" s="92">
        <v>0</v>
      </c>
      <c r="WUM23" s="92">
        <v>0</v>
      </c>
      <c r="WUN23" s="92">
        <v>0</v>
      </c>
      <c r="WUO23" s="92">
        <v>0</v>
      </c>
      <c r="WUP23" s="92">
        <v>0</v>
      </c>
      <c r="WUQ23" s="92">
        <v>0</v>
      </c>
      <c r="WUR23" s="92">
        <v>0</v>
      </c>
      <c r="WUS23" s="92">
        <v>0</v>
      </c>
      <c r="WUT23" s="92">
        <v>0</v>
      </c>
      <c r="WUU23" s="92">
        <v>0</v>
      </c>
      <c r="WUV23" s="92">
        <v>0</v>
      </c>
      <c r="WUW23" s="92">
        <v>0</v>
      </c>
      <c r="WUX23" s="92">
        <v>0</v>
      </c>
      <c r="WUY23" s="92">
        <v>0</v>
      </c>
      <c r="WUZ23" s="92">
        <v>0</v>
      </c>
      <c r="WVA23" s="92">
        <v>0</v>
      </c>
      <c r="WVB23" s="92">
        <v>0</v>
      </c>
      <c r="WVC23" s="92">
        <v>0</v>
      </c>
      <c r="WVD23" s="92">
        <v>0</v>
      </c>
      <c r="WVE23" s="92">
        <v>0</v>
      </c>
      <c r="WVF23" s="92">
        <v>0</v>
      </c>
      <c r="WVG23" s="92">
        <v>0</v>
      </c>
      <c r="WVH23" s="92">
        <v>0</v>
      </c>
      <c r="WVI23" s="92">
        <v>0</v>
      </c>
      <c r="WVJ23" s="92">
        <v>0</v>
      </c>
      <c r="WVK23" s="92">
        <v>0</v>
      </c>
      <c r="WVL23" s="92">
        <v>0</v>
      </c>
      <c r="WVM23" s="92">
        <v>0</v>
      </c>
      <c r="WVN23" s="92">
        <v>0</v>
      </c>
      <c r="WVO23" s="92">
        <v>0</v>
      </c>
      <c r="WVP23" s="92">
        <v>0</v>
      </c>
      <c r="WVQ23" s="92">
        <v>0</v>
      </c>
      <c r="WVR23" s="92">
        <v>0</v>
      </c>
      <c r="WVS23" s="92">
        <v>0</v>
      </c>
      <c r="WVT23" s="92">
        <v>0</v>
      </c>
      <c r="WVU23" s="92">
        <v>0</v>
      </c>
      <c r="WVV23" s="92">
        <v>0</v>
      </c>
      <c r="WVW23" s="92">
        <v>0</v>
      </c>
      <c r="WVX23" s="92">
        <v>0</v>
      </c>
      <c r="WVY23" s="92">
        <v>0</v>
      </c>
      <c r="WVZ23" s="92">
        <v>0</v>
      </c>
      <c r="WWA23" s="92">
        <v>0</v>
      </c>
      <c r="WWB23" s="92">
        <v>0</v>
      </c>
      <c r="WWC23" s="92">
        <v>0</v>
      </c>
      <c r="WWD23" s="92">
        <v>0</v>
      </c>
      <c r="WWE23" s="92">
        <v>0</v>
      </c>
      <c r="WWF23" s="92">
        <v>0</v>
      </c>
      <c r="WWG23" s="92">
        <v>0</v>
      </c>
      <c r="WWH23" s="92">
        <v>0</v>
      </c>
      <c r="WWI23" s="92">
        <v>0</v>
      </c>
      <c r="WWJ23" s="92">
        <v>0</v>
      </c>
      <c r="WWK23" s="92">
        <v>0</v>
      </c>
      <c r="WWL23" s="92">
        <v>0</v>
      </c>
      <c r="WWM23" s="92">
        <v>0</v>
      </c>
      <c r="WWN23" s="92">
        <v>0</v>
      </c>
      <c r="WWO23" s="92">
        <v>0</v>
      </c>
      <c r="WWP23" s="92">
        <v>0</v>
      </c>
      <c r="WWQ23" s="92">
        <v>0</v>
      </c>
      <c r="WWR23" s="92">
        <v>0</v>
      </c>
      <c r="WWS23" s="92">
        <v>0</v>
      </c>
      <c r="WWT23" s="92">
        <v>0</v>
      </c>
      <c r="WWU23" s="92">
        <v>0</v>
      </c>
      <c r="WWV23" s="92">
        <v>0</v>
      </c>
      <c r="WWW23" s="92">
        <v>0</v>
      </c>
      <c r="WWX23" s="92">
        <v>0</v>
      </c>
      <c r="WWY23" s="92">
        <v>0</v>
      </c>
      <c r="WWZ23" s="92">
        <v>0</v>
      </c>
      <c r="WXA23" s="92">
        <v>0</v>
      </c>
      <c r="WXB23" s="92">
        <v>0</v>
      </c>
      <c r="WXC23" s="92">
        <v>0</v>
      </c>
      <c r="WXD23" s="92">
        <v>0</v>
      </c>
      <c r="WXE23" s="92">
        <v>0</v>
      </c>
      <c r="WXF23" s="92">
        <v>0</v>
      </c>
      <c r="WXG23" s="92">
        <v>0</v>
      </c>
      <c r="WXH23" s="92">
        <v>0</v>
      </c>
      <c r="WXI23" s="92">
        <v>0</v>
      </c>
      <c r="WXJ23" s="92">
        <v>0</v>
      </c>
      <c r="WXK23" s="92">
        <v>0</v>
      </c>
      <c r="WXL23" s="92">
        <v>0</v>
      </c>
      <c r="WXM23" s="92">
        <v>0</v>
      </c>
      <c r="WXN23" s="92">
        <v>0</v>
      </c>
      <c r="WXO23" s="92">
        <v>0</v>
      </c>
      <c r="WXP23" s="92">
        <v>0</v>
      </c>
      <c r="WXQ23" s="92">
        <v>0</v>
      </c>
      <c r="WXR23" s="92">
        <v>0</v>
      </c>
      <c r="WXS23" s="92">
        <v>0</v>
      </c>
      <c r="WXT23" s="92">
        <v>0</v>
      </c>
      <c r="WXU23" s="92">
        <v>0</v>
      </c>
      <c r="WXV23" s="92">
        <v>0</v>
      </c>
      <c r="WXW23" s="92">
        <v>0</v>
      </c>
      <c r="WXX23" s="92">
        <v>0</v>
      </c>
      <c r="WXY23" s="92">
        <v>0</v>
      </c>
      <c r="WXZ23" s="92">
        <v>0</v>
      </c>
      <c r="WYA23" s="92">
        <v>0</v>
      </c>
      <c r="WYB23" s="92">
        <v>0</v>
      </c>
      <c r="WYC23" s="92">
        <v>0</v>
      </c>
      <c r="WYD23" s="92">
        <v>0</v>
      </c>
      <c r="WYE23" s="92">
        <v>0</v>
      </c>
      <c r="WYF23" s="92">
        <v>0</v>
      </c>
      <c r="WYG23" s="92">
        <v>0</v>
      </c>
      <c r="WYH23" s="92">
        <v>0</v>
      </c>
      <c r="WYI23" s="92">
        <v>0</v>
      </c>
      <c r="WYJ23" s="92">
        <v>0</v>
      </c>
      <c r="WYK23" s="92">
        <v>0</v>
      </c>
      <c r="WYL23" s="92">
        <v>0</v>
      </c>
      <c r="WYM23" s="92">
        <v>0</v>
      </c>
      <c r="WYN23" s="92">
        <v>0</v>
      </c>
      <c r="WYO23" s="92">
        <v>0</v>
      </c>
      <c r="WYP23" s="92">
        <v>0</v>
      </c>
      <c r="WYQ23" s="92">
        <v>0</v>
      </c>
      <c r="WYR23" s="92">
        <v>0</v>
      </c>
      <c r="WYS23" s="92">
        <v>0</v>
      </c>
      <c r="WYT23" s="92">
        <v>0</v>
      </c>
      <c r="WYU23" s="92">
        <v>0</v>
      </c>
      <c r="WYV23" s="92">
        <v>0</v>
      </c>
      <c r="WYW23" s="92">
        <v>0</v>
      </c>
      <c r="WYX23" s="92">
        <v>0</v>
      </c>
      <c r="WYY23" s="92">
        <v>0</v>
      </c>
      <c r="WYZ23" s="92">
        <v>0</v>
      </c>
      <c r="WZA23" s="92">
        <v>0</v>
      </c>
      <c r="WZB23" s="92">
        <v>0</v>
      </c>
      <c r="WZC23" s="92">
        <v>0</v>
      </c>
      <c r="WZD23" s="92">
        <v>0</v>
      </c>
      <c r="WZE23" s="92">
        <v>0</v>
      </c>
      <c r="WZF23" s="92">
        <v>0</v>
      </c>
      <c r="WZG23" s="92">
        <v>0</v>
      </c>
      <c r="WZH23" s="92">
        <v>0</v>
      </c>
      <c r="WZI23" s="92">
        <v>0</v>
      </c>
      <c r="WZJ23" s="92">
        <v>0</v>
      </c>
      <c r="WZK23" s="92">
        <v>0</v>
      </c>
      <c r="WZL23" s="92">
        <v>0</v>
      </c>
      <c r="WZM23" s="92">
        <v>0</v>
      </c>
      <c r="WZN23" s="92">
        <v>0</v>
      </c>
      <c r="WZO23" s="92">
        <v>0</v>
      </c>
      <c r="WZP23" s="92">
        <v>0</v>
      </c>
      <c r="WZQ23" s="92">
        <v>0</v>
      </c>
      <c r="WZR23" s="92">
        <v>0</v>
      </c>
      <c r="WZS23" s="92">
        <v>0</v>
      </c>
      <c r="WZT23" s="92">
        <v>0</v>
      </c>
      <c r="WZU23" s="92">
        <v>0</v>
      </c>
      <c r="WZV23" s="92">
        <v>0</v>
      </c>
      <c r="WZW23" s="92">
        <v>0</v>
      </c>
      <c r="WZX23" s="92">
        <v>0</v>
      </c>
      <c r="WZY23" s="92">
        <v>0</v>
      </c>
      <c r="WZZ23" s="92">
        <v>0</v>
      </c>
      <c r="XAA23" s="92">
        <v>0</v>
      </c>
      <c r="XAB23" s="92">
        <v>0</v>
      </c>
      <c r="XAC23" s="92">
        <v>0</v>
      </c>
      <c r="XAD23" s="92">
        <v>0</v>
      </c>
      <c r="XAE23" s="92">
        <v>0</v>
      </c>
      <c r="XAF23" s="92">
        <v>0</v>
      </c>
      <c r="XAG23" s="92">
        <v>0</v>
      </c>
      <c r="XAH23" s="92">
        <v>0</v>
      </c>
      <c r="XAI23" s="92">
        <v>0</v>
      </c>
      <c r="XAJ23" s="92">
        <v>0</v>
      </c>
      <c r="XAK23" s="92">
        <v>0</v>
      </c>
      <c r="XAL23" s="92">
        <v>0</v>
      </c>
      <c r="XAM23" s="92">
        <v>0</v>
      </c>
      <c r="XAN23" s="92">
        <v>0</v>
      </c>
      <c r="XAO23" s="92">
        <v>0</v>
      </c>
      <c r="XAP23" s="92">
        <v>0</v>
      </c>
      <c r="XAQ23" s="92">
        <v>0</v>
      </c>
      <c r="XAR23" s="92">
        <v>0</v>
      </c>
      <c r="XAS23" s="92">
        <v>0</v>
      </c>
      <c r="XAT23" s="92">
        <v>0</v>
      </c>
      <c r="XAU23" s="92">
        <v>0</v>
      </c>
      <c r="XAV23" s="92">
        <v>0</v>
      </c>
      <c r="XAW23" s="92">
        <v>0</v>
      </c>
      <c r="XAX23" s="92">
        <v>0</v>
      </c>
      <c r="XAY23" s="92">
        <v>0</v>
      </c>
      <c r="XAZ23" s="92">
        <v>0</v>
      </c>
      <c r="XBA23" s="92">
        <v>0</v>
      </c>
      <c r="XBB23" s="92">
        <v>0</v>
      </c>
      <c r="XBC23" s="92">
        <v>0</v>
      </c>
      <c r="XBD23" s="92">
        <v>0</v>
      </c>
      <c r="XBE23" s="92">
        <v>0</v>
      </c>
      <c r="XBF23" s="92">
        <v>0</v>
      </c>
      <c r="XBG23" s="92">
        <v>0</v>
      </c>
      <c r="XBH23" s="92">
        <v>0</v>
      </c>
      <c r="XBI23" s="92">
        <v>0</v>
      </c>
      <c r="XBJ23" s="92">
        <v>0</v>
      </c>
      <c r="XBK23" s="92">
        <v>0</v>
      </c>
      <c r="XBL23" s="92">
        <v>0</v>
      </c>
      <c r="XBM23" s="92">
        <v>0</v>
      </c>
      <c r="XBN23" s="92">
        <v>0</v>
      </c>
      <c r="XBO23" s="92">
        <v>0</v>
      </c>
      <c r="XBP23" s="92">
        <v>0</v>
      </c>
      <c r="XBQ23" s="92">
        <v>0</v>
      </c>
      <c r="XBR23" s="92">
        <v>0</v>
      </c>
      <c r="XBS23" s="92">
        <v>0</v>
      </c>
      <c r="XBT23" s="92">
        <v>0</v>
      </c>
      <c r="XBU23" s="92">
        <v>0</v>
      </c>
      <c r="XBV23" s="92">
        <v>0</v>
      </c>
      <c r="XBW23" s="92">
        <v>0</v>
      </c>
      <c r="XBX23" s="92">
        <v>0</v>
      </c>
      <c r="XBY23" s="92">
        <v>0</v>
      </c>
      <c r="XBZ23" s="92">
        <v>0</v>
      </c>
      <c r="XCA23" s="92">
        <v>0</v>
      </c>
      <c r="XCB23" s="92">
        <v>0</v>
      </c>
      <c r="XCC23" s="92">
        <v>0</v>
      </c>
      <c r="XCD23" s="92">
        <v>0</v>
      </c>
      <c r="XCE23" s="92">
        <v>0</v>
      </c>
      <c r="XCF23" s="92">
        <v>0</v>
      </c>
      <c r="XCG23" s="92">
        <v>0</v>
      </c>
      <c r="XCH23" s="92">
        <v>0</v>
      </c>
      <c r="XCI23" s="92">
        <v>0</v>
      </c>
      <c r="XCJ23" s="92">
        <v>0</v>
      </c>
      <c r="XCK23" s="92">
        <v>0</v>
      </c>
      <c r="XCL23" s="92">
        <v>0</v>
      </c>
      <c r="XCM23" s="92">
        <v>0</v>
      </c>
      <c r="XCN23" s="92">
        <v>0</v>
      </c>
      <c r="XCO23" s="92">
        <v>0</v>
      </c>
      <c r="XCP23" s="92">
        <v>0</v>
      </c>
      <c r="XCQ23" s="92">
        <v>0</v>
      </c>
      <c r="XCR23" s="92">
        <v>0</v>
      </c>
      <c r="XCS23" s="92">
        <v>0</v>
      </c>
      <c r="XCT23" s="92">
        <v>0</v>
      </c>
      <c r="XCU23" s="92">
        <v>0</v>
      </c>
      <c r="XCV23" s="92">
        <v>0</v>
      </c>
      <c r="XCW23" s="92">
        <v>0</v>
      </c>
      <c r="XCX23" s="92">
        <v>0</v>
      </c>
      <c r="XCY23" s="92">
        <v>0</v>
      </c>
      <c r="XCZ23" s="92">
        <v>0</v>
      </c>
      <c r="XDA23" s="92">
        <v>0</v>
      </c>
      <c r="XDB23" s="92">
        <v>0</v>
      </c>
      <c r="XDC23" s="92">
        <v>0</v>
      </c>
      <c r="XDD23" s="92">
        <v>0</v>
      </c>
      <c r="XDE23" s="92">
        <v>0</v>
      </c>
      <c r="XDF23" s="92">
        <v>0</v>
      </c>
      <c r="XDG23" s="92">
        <v>0</v>
      </c>
      <c r="XDH23" s="92">
        <v>0</v>
      </c>
      <c r="XDI23" s="92">
        <v>0</v>
      </c>
      <c r="XDJ23" s="92">
        <v>0</v>
      </c>
      <c r="XDK23" s="92">
        <v>0</v>
      </c>
      <c r="XDL23" s="92">
        <v>0</v>
      </c>
      <c r="XDM23" s="92">
        <v>0</v>
      </c>
      <c r="XDN23" s="92">
        <v>0</v>
      </c>
      <c r="XDO23" s="92">
        <v>0</v>
      </c>
      <c r="XDP23" s="92">
        <v>0</v>
      </c>
      <c r="XDQ23" s="92">
        <v>0</v>
      </c>
      <c r="XDR23" s="92">
        <v>0</v>
      </c>
      <c r="XDS23" s="92">
        <v>0</v>
      </c>
      <c r="XDT23" s="92">
        <v>0</v>
      </c>
      <c r="XDU23" s="92">
        <v>0</v>
      </c>
      <c r="XDV23" s="92">
        <v>0</v>
      </c>
      <c r="XDW23" s="92">
        <v>0</v>
      </c>
      <c r="XDX23" s="92">
        <v>0</v>
      </c>
      <c r="XDY23" s="92">
        <v>0</v>
      </c>
      <c r="XDZ23" s="92">
        <v>0</v>
      </c>
      <c r="XEA23" s="92">
        <v>0</v>
      </c>
      <c r="XEB23" s="92">
        <v>0</v>
      </c>
      <c r="XEC23" s="92">
        <v>0</v>
      </c>
      <c r="XED23" s="92">
        <v>0</v>
      </c>
      <c r="XEE23" s="92">
        <v>0</v>
      </c>
      <c r="XEF23" s="92">
        <v>0</v>
      </c>
      <c r="XEG23" s="92">
        <v>0</v>
      </c>
      <c r="XEH23" s="92">
        <v>0</v>
      </c>
      <c r="XEI23" s="92">
        <v>0</v>
      </c>
      <c r="XEJ23" s="92">
        <v>0</v>
      </c>
      <c r="XEK23" s="92">
        <v>0</v>
      </c>
      <c r="XEL23" s="92">
        <v>0</v>
      </c>
      <c r="XEM23" s="92">
        <v>0</v>
      </c>
      <c r="XEN23" s="92">
        <v>0</v>
      </c>
      <c r="XEO23" s="92">
        <v>0</v>
      </c>
      <c r="XEP23" s="92">
        <v>0</v>
      </c>
      <c r="XEQ23" s="92">
        <v>0</v>
      </c>
      <c r="XER23" s="92">
        <v>0</v>
      </c>
      <c r="XES23" s="92">
        <v>0</v>
      </c>
      <c r="XET23" s="92">
        <v>0</v>
      </c>
      <c r="XEU23" s="92">
        <v>0</v>
      </c>
      <c r="XEV23" s="92">
        <v>0</v>
      </c>
      <c r="XEW23" s="92">
        <v>0</v>
      </c>
      <c r="XEX23" s="92">
        <v>0</v>
      </c>
      <c r="XEY23" s="92">
        <v>0</v>
      </c>
      <c r="XEZ23" s="92">
        <v>0</v>
      </c>
      <c r="XFA23" s="92">
        <v>0</v>
      </c>
      <c r="XFB23" s="92">
        <v>0</v>
      </c>
      <c r="XFC23" s="92">
        <v>0</v>
      </c>
      <c r="XFD23" s="92">
        <v>0</v>
      </c>
    </row>
    <row r="24" spans="1:16384">
      <c r="D24" s="94"/>
      <c r="E24" s="94"/>
      <c r="F24" s="95"/>
      <c r="G24" s="94"/>
      <c r="H24" s="94"/>
      <c r="I24" s="94"/>
      <c r="J24" s="94"/>
      <c r="K24" s="95"/>
      <c r="L24" s="95"/>
      <c r="M24" s="95"/>
      <c r="N24" s="94"/>
    </row>
    <row r="25" spans="1:16384">
      <c r="B25" s="16" t="s">
        <v>199</v>
      </c>
      <c r="D25" s="94"/>
      <c r="E25" s="94"/>
      <c r="F25" s="94"/>
      <c r="G25" s="94"/>
      <c r="H25" s="94"/>
      <c r="I25" s="94"/>
      <c r="J25" s="94"/>
      <c r="K25" s="94"/>
      <c r="L25" s="94"/>
      <c r="M25" s="94"/>
      <c r="N25" s="94"/>
    </row>
    <row r="26" spans="1:16384">
      <c r="B26" t="s">
        <v>200</v>
      </c>
      <c r="D26" s="92">
        <v>1305.54</v>
      </c>
      <c r="E26" s="92">
        <v>1267.2</v>
      </c>
      <c r="F26" s="92">
        <v>1631.5</v>
      </c>
      <c r="G26" s="92">
        <v>1832.27</v>
      </c>
      <c r="H26" s="92">
        <v>2114.41</v>
      </c>
      <c r="I26" s="92">
        <v>2861.28</v>
      </c>
      <c r="J26" s="92">
        <v>3164.18</v>
      </c>
      <c r="K26" s="92">
        <v>4080.63</v>
      </c>
      <c r="L26" s="92">
        <v>5910.67</v>
      </c>
      <c r="M26" s="92">
        <v>6248</v>
      </c>
      <c r="N26" s="92">
        <v>8203</v>
      </c>
      <c r="O26" s="92">
        <v>9848</v>
      </c>
    </row>
    <row r="27" spans="1:16384">
      <c r="B27" t="s">
        <v>202</v>
      </c>
      <c r="C27" s="96"/>
      <c r="D27" s="92">
        <v>2467.4899999999998</v>
      </c>
      <c r="E27" s="92">
        <v>8053.68</v>
      </c>
      <c r="F27" s="92">
        <v>1531.19</v>
      </c>
      <c r="G27" s="92">
        <v>6707.18</v>
      </c>
      <c r="H27" s="92">
        <v>7284.17</v>
      </c>
      <c r="I27" s="92">
        <v>7190.66</v>
      </c>
      <c r="J27" s="92">
        <v>5088.8500000000004</v>
      </c>
      <c r="K27" s="92">
        <v>10153.290000000001</v>
      </c>
      <c r="L27" s="92">
        <v>12679.69</v>
      </c>
      <c r="M27" s="92">
        <v>6953</v>
      </c>
      <c r="N27" s="92">
        <v>10731</v>
      </c>
      <c r="O27" s="92">
        <v>13239</v>
      </c>
    </row>
    <row r="28" spans="1:16384">
      <c r="B28" t="s">
        <v>203</v>
      </c>
      <c r="D28" s="92">
        <v>17526.310000000001</v>
      </c>
      <c r="E28" s="92">
        <v>29133.02</v>
      </c>
      <c r="F28" s="92">
        <v>44794.26</v>
      </c>
      <c r="G28" s="92">
        <v>59099.73</v>
      </c>
      <c r="H28" s="92">
        <v>78935.8</v>
      </c>
      <c r="I28" s="92">
        <v>101533.64</v>
      </c>
      <c r="J28" s="92">
        <v>107187.8</v>
      </c>
      <c r="K28" s="92">
        <v>91048.12</v>
      </c>
      <c r="L28" s="92">
        <v>105717.16</v>
      </c>
      <c r="M28" s="92">
        <v>160253</v>
      </c>
      <c r="N28" s="92">
        <v>178898</v>
      </c>
      <c r="O28" s="92">
        <v>226754</v>
      </c>
    </row>
    <row r="29" spans="1:16384">
      <c r="B29" s="16" t="s">
        <v>191</v>
      </c>
      <c r="D29" s="92"/>
      <c r="E29" s="92"/>
      <c r="F29" s="92"/>
      <c r="G29" s="92"/>
      <c r="H29" s="92"/>
      <c r="I29" s="92"/>
      <c r="J29" s="92"/>
      <c r="K29" s="92"/>
      <c r="L29" s="92"/>
      <c r="M29" s="92"/>
      <c r="N29" s="92" t="s">
        <v>164</v>
      </c>
    </row>
    <row r="30" spans="1:16384">
      <c r="A30" t="s">
        <v>226</v>
      </c>
      <c r="B30" t="s">
        <v>192</v>
      </c>
      <c r="D30" s="92">
        <v>5167.5200000000004</v>
      </c>
      <c r="E30" s="92">
        <v>9741.2000000000007</v>
      </c>
      <c r="F30" s="92">
        <v>37134.1</v>
      </c>
      <c r="G30" s="92">
        <v>63439.12</v>
      </c>
      <c r="H30" s="92">
        <v>65165.7</v>
      </c>
      <c r="I30" s="92">
        <v>94991.67</v>
      </c>
      <c r="J30" s="92">
        <v>73394.06</v>
      </c>
      <c r="K30" s="92">
        <v>81064.72</v>
      </c>
      <c r="L30" s="92">
        <v>115580.29</v>
      </c>
      <c r="M30" s="92">
        <v>155711</v>
      </c>
      <c r="N30" s="92">
        <v>247748</v>
      </c>
      <c r="O30" s="92">
        <v>257438</v>
      </c>
      <c r="P30" s="210"/>
    </row>
    <row r="31" spans="1:16384">
      <c r="A31" t="s">
        <v>226</v>
      </c>
      <c r="B31" t="s">
        <v>193</v>
      </c>
      <c r="D31" s="92">
        <v>1555.61</v>
      </c>
      <c r="E31" s="92">
        <v>2248.75</v>
      </c>
      <c r="F31" s="92">
        <v>39.76</v>
      </c>
      <c r="G31" s="92">
        <v>1914.95</v>
      </c>
      <c r="H31" s="92">
        <v>4669.6099999999997</v>
      </c>
      <c r="I31" s="92">
        <v>4551.2299999999996</v>
      </c>
      <c r="J31" s="92">
        <v>1286.04</v>
      </c>
      <c r="K31" s="92">
        <v>0</v>
      </c>
      <c r="L31" s="92">
        <v>0</v>
      </c>
      <c r="M31" s="92">
        <v>0</v>
      </c>
      <c r="N31" s="92">
        <v>0</v>
      </c>
      <c r="O31" s="92">
        <v>0</v>
      </c>
    </row>
    <row r="32" spans="1:16384">
      <c r="A32" t="s">
        <v>226</v>
      </c>
      <c r="B32" t="s">
        <v>194</v>
      </c>
      <c r="D32" s="92">
        <v>0</v>
      </c>
      <c r="E32" s="92">
        <v>0</v>
      </c>
      <c r="F32" s="92">
        <v>4100.8599999999997</v>
      </c>
      <c r="G32" s="92">
        <v>4580.01</v>
      </c>
      <c r="H32" s="92">
        <v>7925.2</v>
      </c>
      <c r="I32" s="92">
        <v>6231.27</v>
      </c>
      <c r="J32" s="92">
        <v>6192.86</v>
      </c>
      <c r="K32" s="92">
        <v>3281.1</v>
      </c>
      <c r="L32" s="92">
        <v>10397.67</v>
      </c>
      <c r="M32" s="92">
        <v>17282</v>
      </c>
      <c r="N32" s="92">
        <v>35867</v>
      </c>
      <c r="O32" s="92">
        <v>47947</v>
      </c>
    </row>
    <row r="33" spans="1:16">
      <c r="B33" t="s">
        <v>201</v>
      </c>
      <c r="D33" s="92">
        <v>1045.5</v>
      </c>
      <c r="E33" s="92">
        <v>1571.14</v>
      </c>
      <c r="F33" s="92">
        <v>1587.02</v>
      </c>
      <c r="G33" s="92">
        <v>2263.15</v>
      </c>
      <c r="H33" s="92">
        <v>3624.67</v>
      </c>
      <c r="I33" s="92">
        <v>2594.16</v>
      </c>
      <c r="J33" s="92">
        <v>2189.7800000000002</v>
      </c>
      <c r="K33" s="92">
        <v>3329.23</v>
      </c>
      <c r="L33" s="92">
        <v>5199.04</v>
      </c>
      <c r="M33" s="92">
        <v>6425</v>
      </c>
      <c r="N33" s="92">
        <v>7397</v>
      </c>
      <c r="O33" s="92">
        <v>5996</v>
      </c>
    </row>
    <row r="34" spans="1:16" s="19" customFormat="1">
      <c r="B34" s="19" t="s">
        <v>42</v>
      </c>
      <c r="D34" s="19">
        <v>882.39</v>
      </c>
      <c r="E34" s="92">
        <v>1052.17</v>
      </c>
      <c r="F34" s="92">
        <v>1327.65</v>
      </c>
      <c r="G34" s="92">
        <v>1704.19</v>
      </c>
      <c r="H34" s="92">
        <v>2463.42</v>
      </c>
      <c r="I34" s="92">
        <v>400.94</v>
      </c>
      <c r="J34" s="92">
        <v>390.93</v>
      </c>
      <c r="K34" s="92">
        <v>632.38</v>
      </c>
      <c r="L34" s="92">
        <v>669.73</v>
      </c>
      <c r="M34" s="92">
        <v>1029</v>
      </c>
      <c r="N34" s="92">
        <v>2138</v>
      </c>
      <c r="O34" s="171">
        <v>3399</v>
      </c>
    </row>
    <row r="35" spans="1:16">
      <c r="B35" t="s">
        <v>204</v>
      </c>
      <c r="D35" s="92">
        <f>2612.16-D34</f>
        <v>1729.77</v>
      </c>
      <c r="E35" s="92">
        <f>3992.87-E34</f>
        <v>2940.7</v>
      </c>
      <c r="F35" s="92">
        <f>3645.23-F34</f>
        <v>2317.58</v>
      </c>
      <c r="G35" s="92">
        <f>6479.22-G34</f>
        <v>4775.0300000000007</v>
      </c>
      <c r="H35" s="92">
        <f>11450.9-H34</f>
        <v>8987.48</v>
      </c>
      <c r="I35" s="92">
        <f>4610.69-I34</f>
        <v>4209.75</v>
      </c>
      <c r="J35" s="92">
        <f>8182.16-J34+1453.44</f>
        <v>9244.67</v>
      </c>
      <c r="K35" s="92">
        <f>9331.7-K34</f>
        <v>8699.3200000000015</v>
      </c>
      <c r="L35" s="92">
        <f>6002.62-L34</f>
        <v>5332.8899999999994</v>
      </c>
      <c r="M35" s="92">
        <f>5659-M34</f>
        <v>4630</v>
      </c>
      <c r="N35" s="92">
        <f>18187-N34</f>
        <v>16049</v>
      </c>
      <c r="O35" s="92">
        <f>18070-O34</f>
        <v>14671</v>
      </c>
      <c r="P35" s="111"/>
    </row>
    <row r="36" spans="1:16">
      <c r="B36" s="30" t="s">
        <v>205</v>
      </c>
      <c r="C36" s="30"/>
      <c r="D36" s="97">
        <f t="shared" ref="D36:O36" si="3">SUM(D26:D28,D30:D35)</f>
        <v>31680.13</v>
      </c>
      <c r="E36" s="97">
        <f t="shared" si="3"/>
        <v>56007.86</v>
      </c>
      <c r="F36" s="97">
        <f t="shared" si="3"/>
        <v>94463.92</v>
      </c>
      <c r="G36" s="97">
        <f t="shared" si="3"/>
        <v>146315.63000000003</v>
      </c>
      <c r="H36" s="97">
        <f t="shared" si="3"/>
        <v>181170.46000000005</v>
      </c>
      <c r="I36" s="97">
        <f t="shared" si="3"/>
        <v>224564.6</v>
      </c>
      <c r="J36" s="97">
        <f t="shared" si="3"/>
        <v>208139.17</v>
      </c>
      <c r="K36" s="97">
        <f t="shared" si="3"/>
        <v>202288.79000000004</v>
      </c>
      <c r="L36" s="97">
        <f t="shared" si="3"/>
        <v>261487.14</v>
      </c>
      <c r="M36" s="97">
        <f t="shared" si="3"/>
        <v>358531</v>
      </c>
      <c r="N36" s="97">
        <f t="shared" si="3"/>
        <v>507031</v>
      </c>
      <c r="O36" s="97">
        <f t="shared" si="3"/>
        <v>579292</v>
      </c>
    </row>
    <row r="37" spans="1:16">
      <c r="B37" s="98" t="s">
        <v>206</v>
      </c>
      <c r="C37" s="16"/>
      <c r="D37" s="99"/>
      <c r="E37" s="99"/>
      <c r="F37" s="94"/>
      <c r="G37" s="94"/>
      <c r="H37" s="95"/>
      <c r="I37" s="94"/>
      <c r="J37" s="95"/>
      <c r="K37" s="94"/>
      <c r="L37" s="94"/>
      <c r="M37" s="95"/>
      <c r="N37" s="95"/>
      <c r="O37" s="210">
        <f>O33-N33</f>
        <v>-1401</v>
      </c>
    </row>
    <row r="38" spans="1:16">
      <c r="D38" s="94"/>
      <c r="E38" s="94"/>
      <c r="F38" s="94"/>
      <c r="G38" s="94"/>
      <c r="H38" s="94"/>
      <c r="I38" s="95" t="s">
        <v>207</v>
      </c>
      <c r="J38" s="94"/>
      <c r="K38" s="95"/>
      <c r="L38" s="94"/>
      <c r="M38" s="94"/>
      <c r="N38" s="94" t="s">
        <v>164</v>
      </c>
    </row>
    <row r="39" spans="1:16" ht="15" thickBot="1">
      <c r="B39" s="31" t="s">
        <v>208</v>
      </c>
      <c r="C39" s="31"/>
      <c r="D39" s="100">
        <f t="shared" ref="D39:I39" si="4">D36+D22</f>
        <v>107682.45000000001</v>
      </c>
      <c r="E39" s="100">
        <f t="shared" si="4"/>
        <v>130191.11</v>
      </c>
      <c r="F39" s="100">
        <f t="shared" si="4"/>
        <v>152097.35999999999</v>
      </c>
      <c r="G39" s="100">
        <f t="shared" si="4"/>
        <v>211292.96000000002</v>
      </c>
      <c r="H39" s="100">
        <f t="shared" si="4"/>
        <v>250268.42000000004</v>
      </c>
      <c r="I39" s="100">
        <f t="shared" si="4"/>
        <v>421010.78</v>
      </c>
      <c r="J39" s="100">
        <f>J36+J22+J37</f>
        <v>430511.53</v>
      </c>
      <c r="K39" s="100">
        <f>K36+K22</f>
        <v>459625.98000000004</v>
      </c>
      <c r="L39" s="100">
        <f>L36+L22</f>
        <v>591698.18999999994</v>
      </c>
      <c r="M39" s="100">
        <f>M36+M22</f>
        <v>822245</v>
      </c>
      <c r="N39" s="100">
        <f>N36+N22</f>
        <v>1158435</v>
      </c>
      <c r="O39" s="100">
        <f>O36+O22</f>
        <v>1360021</v>
      </c>
    </row>
    <row r="40" spans="1:16">
      <c r="D40" s="94"/>
      <c r="E40" s="94"/>
      <c r="F40" s="94" t="s">
        <v>209</v>
      </c>
      <c r="G40" s="94"/>
      <c r="H40" s="94"/>
      <c r="I40" s="95"/>
      <c r="J40" s="94"/>
      <c r="K40" s="94"/>
      <c r="L40" s="94"/>
      <c r="M40" s="94"/>
      <c r="N40" s="94"/>
    </row>
    <row r="41" spans="1:16">
      <c r="B41" s="16" t="s">
        <v>210</v>
      </c>
      <c r="D41" s="94"/>
      <c r="E41" s="94"/>
      <c r="F41" s="94"/>
      <c r="G41" s="94"/>
      <c r="H41" s="94"/>
      <c r="I41" s="94"/>
      <c r="J41" s="95"/>
      <c r="K41" s="94"/>
      <c r="L41" s="94"/>
      <c r="M41" s="95"/>
      <c r="N41" s="94"/>
    </row>
    <row r="42" spans="1:16">
      <c r="B42" t="s">
        <v>211</v>
      </c>
      <c r="D42" s="101">
        <v>343.72</v>
      </c>
      <c r="E42" s="101">
        <v>3603.57</v>
      </c>
      <c r="F42" s="101">
        <v>3614.68</v>
      </c>
      <c r="G42" s="101">
        <v>3844.07</v>
      </c>
      <c r="H42" s="101">
        <v>3844.07</v>
      </c>
      <c r="I42" s="101">
        <v>3847.96</v>
      </c>
      <c r="J42" s="101">
        <v>3849.1</v>
      </c>
      <c r="K42" s="101">
        <v>3852.55</v>
      </c>
      <c r="L42" s="101">
        <v>3855.47</v>
      </c>
      <c r="M42" s="101">
        <v>3860</v>
      </c>
      <c r="N42" s="101">
        <v>3864</v>
      </c>
      <c r="O42" s="101">
        <v>3866</v>
      </c>
    </row>
    <row r="43" spans="1:16">
      <c r="B43" t="s">
        <v>212</v>
      </c>
      <c r="D43" s="101">
        <v>3863.23</v>
      </c>
      <c r="E43" s="101">
        <v>14739.2</v>
      </c>
      <c r="F43" s="101">
        <v>34177.08</v>
      </c>
      <c r="G43" s="101">
        <v>66929.48</v>
      </c>
      <c r="H43" s="101">
        <v>65614.03</v>
      </c>
      <c r="I43" s="101">
        <v>54931.44</v>
      </c>
      <c r="J43" s="101">
        <v>-2740.51</v>
      </c>
      <c r="K43" s="101">
        <v>-63733.17</v>
      </c>
      <c r="L43" s="101">
        <v>-66320.63</v>
      </c>
      <c r="M43" s="101">
        <v>16105</v>
      </c>
      <c r="N43" s="101">
        <v>89818</v>
      </c>
      <c r="O43" s="101">
        <v>65845</v>
      </c>
    </row>
    <row r="44" spans="1:16">
      <c r="B44" s="30" t="s">
        <v>213</v>
      </c>
      <c r="C44" s="30"/>
      <c r="D44" s="97">
        <f t="shared" ref="D44:M44" si="5">SUM(D42:D43)</f>
        <v>4206.95</v>
      </c>
      <c r="E44" s="97">
        <f t="shared" si="5"/>
        <v>18342.77</v>
      </c>
      <c r="F44" s="97">
        <f t="shared" si="5"/>
        <v>37791.760000000002</v>
      </c>
      <c r="G44" s="97">
        <f t="shared" si="5"/>
        <v>70773.55</v>
      </c>
      <c r="H44" s="97">
        <f t="shared" si="5"/>
        <v>69458.100000000006</v>
      </c>
      <c r="I44" s="97">
        <f t="shared" si="5"/>
        <v>58779.4</v>
      </c>
      <c r="J44" s="97">
        <f t="shared" si="5"/>
        <v>1108.5899999999997</v>
      </c>
      <c r="K44" s="97">
        <f t="shared" si="5"/>
        <v>-59880.619999999995</v>
      </c>
      <c r="L44" s="97">
        <f t="shared" si="5"/>
        <v>-62465.16</v>
      </c>
      <c r="M44" s="97">
        <f t="shared" si="5"/>
        <v>19965</v>
      </c>
      <c r="N44" s="97">
        <f>SUM(N42:N43)</f>
        <v>93682</v>
      </c>
      <c r="O44" s="97">
        <f>SUM(O42:O43)</f>
        <v>69711</v>
      </c>
    </row>
    <row r="45" spans="1:16">
      <c r="B45" s="16"/>
      <c r="C45" s="16"/>
      <c r="D45" s="170"/>
      <c r="E45" s="170"/>
      <c r="F45" s="170"/>
      <c r="G45" s="170"/>
      <c r="H45" s="170"/>
      <c r="I45" s="170"/>
      <c r="J45" s="170"/>
      <c r="K45" s="170"/>
      <c r="L45" s="170"/>
      <c r="M45" s="170"/>
      <c r="N45" s="170"/>
      <c r="O45" s="170"/>
    </row>
    <row r="46" spans="1:16">
      <c r="B46" t="s">
        <v>370</v>
      </c>
      <c r="D46" s="101">
        <v>0</v>
      </c>
      <c r="E46" s="101">
        <v>0</v>
      </c>
      <c r="F46" s="101">
        <v>0</v>
      </c>
      <c r="G46" s="101">
        <v>0</v>
      </c>
      <c r="H46" s="101">
        <v>0</v>
      </c>
      <c r="I46" s="101">
        <v>0</v>
      </c>
      <c r="J46" s="101">
        <v>0</v>
      </c>
      <c r="K46" s="101">
        <v>0</v>
      </c>
      <c r="L46" s="101">
        <v>0</v>
      </c>
      <c r="M46" s="101">
        <v>0</v>
      </c>
      <c r="N46" s="101">
        <v>0</v>
      </c>
      <c r="O46" s="148">
        <v>163</v>
      </c>
    </row>
    <row r="47" spans="1:16">
      <c r="B47" s="16" t="s">
        <v>214</v>
      </c>
      <c r="E47" s="94"/>
      <c r="F47" s="94"/>
      <c r="G47" s="94"/>
      <c r="H47" s="94"/>
      <c r="I47" s="95"/>
      <c r="J47" s="94"/>
      <c r="K47" s="94"/>
      <c r="L47" s="94"/>
      <c r="M47" s="94"/>
      <c r="N47" s="95" t="s">
        <v>164</v>
      </c>
    </row>
    <row r="48" spans="1:16">
      <c r="A48" t="s">
        <v>226</v>
      </c>
      <c r="B48" s="16" t="s">
        <v>215</v>
      </c>
      <c r="D48" s="94"/>
      <c r="E48" s="94"/>
      <c r="F48" s="94"/>
      <c r="G48" s="94"/>
      <c r="H48" s="94"/>
      <c r="I48" s="94"/>
      <c r="J48" s="95"/>
      <c r="K48" s="94"/>
      <c r="L48" s="94"/>
      <c r="M48" s="95"/>
      <c r="N48" s="94" t="s">
        <v>164</v>
      </c>
    </row>
    <row r="49" spans="1:17" ht="14.4" customHeight="1">
      <c r="B49" t="s">
        <v>216</v>
      </c>
      <c r="D49" s="101">
        <v>35884.019999999997</v>
      </c>
      <c r="E49" s="101">
        <v>29498.61</v>
      </c>
      <c r="F49" s="101">
        <v>23957.08</v>
      </c>
      <c r="G49" s="101">
        <v>22413.7</v>
      </c>
      <c r="H49" s="101">
        <v>21936.69</v>
      </c>
      <c r="I49" s="101">
        <v>3465.87</v>
      </c>
      <c r="J49" s="101">
        <v>3816.28</v>
      </c>
      <c r="K49" s="101">
        <v>4161.71</v>
      </c>
      <c r="L49" s="101">
        <v>0</v>
      </c>
      <c r="M49" s="101">
        <v>0</v>
      </c>
      <c r="N49" s="101">
        <v>0</v>
      </c>
    </row>
    <row r="50" spans="1:17">
      <c r="B50" t="s">
        <v>217</v>
      </c>
      <c r="D50" s="101">
        <v>0</v>
      </c>
      <c r="E50" s="101">
        <v>0</v>
      </c>
      <c r="F50" s="101">
        <v>0</v>
      </c>
      <c r="G50" s="101">
        <v>0</v>
      </c>
      <c r="H50" s="101">
        <v>0</v>
      </c>
      <c r="I50" s="101">
        <v>155791.01</v>
      </c>
      <c r="J50" s="101">
        <v>202805.34</v>
      </c>
      <c r="K50" s="101">
        <v>250586.59</v>
      </c>
      <c r="L50" s="101">
        <v>322246.09000000003</v>
      </c>
      <c r="M50" s="101">
        <v>378635</v>
      </c>
      <c r="N50" s="101">
        <v>546683</v>
      </c>
      <c r="O50" s="101">
        <v>644705</v>
      </c>
      <c r="P50" s="210"/>
    </row>
    <row r="51" spans="1:17">
      <c r="B51" t="s">
        <v>218</v>
      </c>
      <c r="D51" s="101">
        <v>0</v>
      </c>
      <c r="E51" s="101">
        <v>0</v>
      </c>
      <c r="F51" s="101">
        <v>22685.34</v>
      </c>
      <c r="G51" s="101">
        <v>29959.08</v>
      </c>
      <c r="H51" s="101">
        <v>33878.94</v>
      </c>
      <c r="I51" s="101">
        <v>30388.86</v>
      </c>
      <c r="J51" s="101">
        <v>26049.29</v>
      </c>
      <c r="K51" s="101">
        <v>33093</v>
      </c>
      <c r="L51" s="101">
        <v>78811.100000000006</v>
      </c>
      <c r="M51" s="101">
        <v>92343</v>
      </c>
      <c r="N51" s="101">
        <v>151192</v>
      </c>
      <c r="O51" s="101">
        <v>229111</v>
      </c>
      <c r="P51" s="210">
        <f>O51-N51</f>
        <v>77919</v>
      </c>
    </row>
    <row r="52" spans="1:17">
      <c r="B52" t="s">
        <v>219</v>
      </c>
      <c r="D52" s="101">
        <v>522.91</v>
      </c>
      <c r="E52" s="101">
        <v>810.64</v>
      </c>
      <c r="F52" s="101">
        <v>1223.94</v>
      </c>
      <c r="G52" s="101">
        <v>1968.93</v>
      </c>
      <c r="H52" s="101">
        <v>2758.2</v>
      </c>
      <c r="I52" s="101">
        <v>5634.98</v>
      </c>
      <c r="J52" s="101">
        <v>5522.94</v>
      </c>
      <c r="K52" s="101">
        <v>5896.88</v>
      </c>
      <c r="L52" s="101">
        <v>13364.54</v>
      </c>
      <c r="M52" s="101">
        <v>22301</v>
      </c>
      <c r="N52" s="101">
        <v>24079</v>
      </c>
      <c r="O52" s="101">
        <v>33100</v>
      </c>
      <c r="P52" s="210"/>
    </row>
    <row r="53" spans="1:17">
      <c r="B53" s="98" t="s">
        <v>220</v>
      </c>
      <c r="D53" s="101">
        <v>4091.35</v>
      </c>
      <c r="E53" s="101">
        <v>5179.72</v>
      </c>
      <c r="F53" s="101">
        <v>1618.06</v>
      </c>
      <c r="G53" s="101">
        <v>3695.25</v>
      </c>
      <c r="H53" s="101">
        <v>644.16</v>
      </c>
      <c r="I53" s="101">
        <v>0</v>
      </c>
      <c r="J53" s="101">
        <v>0</v>
      </c>
      <c r="K53" s="101">
        <v>0</v>
      </c>
      <c r="L53" s="101">
        <v>0</v>
      </c>
      <c r="M53" s="101">
        <v>0</v>
      </c>
      <c r="N53" s="101">
        <v>0</v>
      </c>
      <c r="P53" t="s">
        <v>13</v>
      </c>
      <c r="Q53" t="s">
        <v>13</v>
      </c>
    </row>
    <row r="54" spans="1:17">
      <c r="B54" t="s">
        <v>221</v>
      </c>
      <c r="D54" s="101">
        <v>20169.509999999998</v>
      </c>
      <c r="E54" s="101">
        <v>24722.47</v>
      </c>
      <c r="F54" s="101">
        <v>75</v>
      </c>
      <c r="G54" s="101">
        <v>673.93</v>
      </c>
      <c r="H54" s="101">
        <v>345.18</v>
      </c>
      <c r="I54" s="101">
        <v>369.77</v>
      </c>
      <c r="J54" s="101">
        <v>241.9</v>
      </c>
      <c r="K54" s="101">
        <v>342.79</v>
      </c>
      <c r="L54" s="101">
        <v>451.97</v>
      </c>
      <c r="M54" s="101">
        <v>717</v>
      </c>
      <c r="N54" s="101">
        <v>573</v>
      </c>
      <c r="O54" s="101">
        <v>521</v>
      </c>
    </row>
    <row r="55" spans="1:17">
      <c r="B55" t="s">
        <v>222</v>
      </c>
      <c r="D55" s="101">
        <v>13317.44</v>
      </c>
      <c r="E55" s="101">
        <v>11778.16</v>
      </c>
      <c r="F55" s="101">
        <v>16899.900000000001</v>
      </c>
      <c r="G55" s="101">
        <v>20578.189999999999</v>
      </c>
      <c r="H55" s="101">
        <v>41143.589999999997</v>
      </c>
      <c r="I55" s="101">
        <v>2206.31</v>
      </c>
      <c r="J55" s="101">
        <v>1730.27</v>
      </c>
      <c r="K55" s="101">
        <v>1254.23</v>
      </c>
      <c r="L55" s="101">
        <v>778.19</v>
      </c>
      <c r="M55" s="101">
        <v>302</v>
      </c>
      <c r="N55" s="101">
        <v>48</v>
      </c>
      <c r="O55" s="101">
        <v>0</v>
      </c>
    </row>
    <row r="56" spans="1:17">
      <c r="B56" s="30" t="s">
        <v>223</v>
      </c>
      <c r="C56" s="30"/>
      <c r="D56" s="97">
        <f t="shared" ref="D56:M56" si="6">SUM(D49:D55)</f>
        <v>73985.23</v>
      </c>
      <c r="E56" s="97">
        <f t="shared" si="6"/>
        <v>71989.600000000006</v>
      </c>
      <c r="F56" s="97">
        <f t="shared" si="6"/>
        <v>66459.320000000007</v>
      </c>
      <c r="G56" s="97">
        <f t="shared" si="6"/>
        <v>79289.08</v>
      </c>
      <c r="H56" s="97">
        <f t="shared" si="6"/>
        <v>100706.76000000001</v>
      </c>
      <c r="I56" s="97">
        <f t="shared" si="6"/>
        <v>197856.8</v>
      </c>
      <c r="J56" s="97">
        <f t="shared" si="6"/>
        <v>240166.02</v>
      </c>
      <c r="K56" s="97">
        <f t="shared" si="6"/>
        <v>295335.19999999995</v>
      </c>
      <c r="L56" s="97">
        <f t="shared" si="6"/>
        <v>415651.89</v>
      </c>
      <c r="M56" s="97">
        <f t="shared" si="6"/>
        <v>494298</v>
      </c>
      <c r="N56" s="97">
        <f>SUM(N49:N55)</f>
        <v>722575</v>
      </c>
      <c r="O56" s="97">
        <f>SUM(O49:O55,O46)</f>
        <v>907600</v>
      </c>
    </row>
    <row r="57" spans="1:17">
      <c r="D57" s="94"/>
      <c r="E57" s="94"/>
      <c r="F57" s="94"/>
      <c r="G57" s="94"/>
      <c r="H57" s="94"/>
      <c r="I57" s="94"/>
      <c r="J57" s="94"/>
      <c r="K57" s="94"/>
      <c r="L57" s="94"/>
      <c r="M57" s="94"/>
      <c r="N57" s="94"/>
    </row>
    <row r="58" spans="1:17">
      <c r="B58" s="16" t="s">
        <v>224</v>
      </c>
      <c r="D58" s="94"/>
      <c r="E58" s="94"/>
      <c r="F58" s="94"/>
      <c r="G58" s="94"/>
      <c r="H58" s="94"/>
      <c r="I58" s="95"/>
      <c r="J58" s="94"/>
      <c r="K58" s="94"/>
      <c r="L58" s="94"/>
      <c r="M58" s="94"/>
      <c r="N58" s="94" t="s">
        <v>164</v>
      </c>
    </row>
    <row r="59" spans="1:17">
      <c r="A59" t="s">
        <v>226</v>
      </c>
      <c r="B59" s="16" t="s">
        <v>215</v>
      </c>
      <c r="D59" s="94"/>
      <c r="E59" s="94"/>
      <c r="F59" s="94"/>
      <c r="G59" s="94"/>
      <c r="H59" s="94"/>
      <c r="I59" s="94"/>
      <c r="J59" s="95"/>
      <c r="K59" s="94"/>
      <c r="L59" s="94"/>
      <c r="M59" s="94"/>
      <c r="N59" s="94"/>
    </row>
    <row r="60" spans="1:17">
      <c r="B60" t="s">
        <v>216</v>
      </c>
      <c r="D60" s="101">
        <v>0</v>
      </c>
      <c r="E60" s="101">
        <v>0</v>
      </c>
      <c r="F60" s="101">
        <v>0</v>
      </c>
      <c r="G60" s="101">
        <v>0</v>
      </c>
      <c r="H60" s="101">
        <v>0</v>
      </c>
      <c r="I60" s="101">
        <v>0</v>
      </c>
      <c r="J60" s="101">
        <v>21239.95</v>
      </c>
      <c r="K60" s="101">
        <v>34805.65</v>
      </c>
      <c r="L60" s="101">
        <v>22523.37</v>
      </c>
      <c r="M60" s="101">
        <v>18917</v>
      </c>
      <c r="N60" s="101">
        <v>18000</v>
      </c>
      <c r="O60" s="101">
        <v>18063</v>
      </c>
    </row>
    <row r="61" spans="1:17">
      <c r="B61" t="s">
        <v>217</v>
      </c>
      <c r="D61" s="101">
        <v>0</v>
      </c>
      <c r="E61" s="101">
        <v>0</v>
      </c>
      <c r="F61" s="101">
        <v>0</v>
      </c>
      <c r="G61" s="101">
        <v>0</v>
      </c>
      <c r="H61" s="101">
        <v>0</v>
      </c>
      <c r="I61" s="101">
        <v>64544.27</v>
      </c>
      <c r="J61" s="101">
        <v>70734.97</v>
      </c>
      <c r="K61" s="101">
        <v>79224.42</v>
      </c>
      <c r="L61" s="101">
        <v>103772.67</v>
      </c>
      <c r="M61" s="101">
        <v>115249</v>
      </c>
      <c r="N61" s="101">
        <v>103415</v>
      </c>
      <c r="O61" s="101">
        <v>114724</v>
      </c>
      <c r="P61" s="210"/>
    </row>
    <row r="62" spans="1:17">
      <c r="B62" s="16" t="s">
        <v>225</v>
      </c>
      <c r="D62" s="101"/>
      <c r="E62" s="101"/>
      <c r="F62" s="101"/>
      <c r="G62" s="101"/>
      <c r="H62" s="101"/>
      <c r="I62" s="101"/>
      <c r="J62" s="101"/>
      <c r="K62" s="101"/>
      <c r="L62" s="101"/>
      <c r="M62" s="101"/>
      <c r="N62" s="101" t="s">
        <v>164</v>
      </c>
    </row>
    <row r="63" spans="1:17">
      <c r="A63" t="s">
        <v>226</v>
      </c>
      <c r="B63" t="s">
        <v>227</v>
      </c>
      <c r="D63" s="101">
        <v>17.75</v>
      </c>
      <c r="E63" s="101">
        <v>15.89</v>
      </c>
      <c r="F63" s="101">
        <v>0</v>
      </c>
      <c r="G63" s="101">
        <v>18.27</v>
      </c>
      <c r="H63" s="101">
        <v>47.9</v>
      </c>
      <c r="I63" s="101">
        <v>61.15</v>
      </c>
      <c r="J63" s="101">
        <v>280.98</v>
      </c>
      <c r="K63" s="101">
        <v>97.4</v>
      </c>
      <c r="L63" s="101">
        <v>199.61</v>
      </c>
      <c r="M63" s="101">
        <v>267</v>
      </c>
      <c r="N63" s="101">
        <v>331</v>
      </c>
      <c r="O63" s="101">
        <v>607</v>
      </c>
    </row>
    <row r="64" spans="1:17">
      <c r="A64" t="s">
        <v>226</v>
      </c>
      <c r="B64" t="s">
        <v>228</v>
      </c>
      <c r="D64" s="101">
        <v>4737</v>
      </c>
      <c r="E64" s="101">
        <v>7396.39</v>
      </c>
      <c r="F64" s="101">
        <v>7746.1</v>
      </c>
      <c r="G64" s="101">
        <v>9983.74</v>
      </c>
      <c r="H64" s="101">
        <v>14480.18</v>
      </c>
      <c r="I64" s="101">
        <v>15614.67</v>
      </c>
      <c r="J64" s="101">
        <v>15232.31</v>
      </c>
      <c r="K64" s="101">
        <v>31420.799999999999</v>
      </c>
      <c r="L64" s="101">
        <v>31890.28</v>
      </c>
      <c r="M64" s="101">
        <v>31309</v>
      </c>
      <c r="N64" s="101">
        <v>41425</v>
      </c>
      <c r="O64" s="101">
        <v>49298</v>
      </c>
    </row>
    <row r="65" spans="2:15">
      <c r="B65" t="s">
        <v>218</v>
      </c>
      <c r="D65" s="101">
        <v>0</v>
      </c>
      <c r="E65" s="101">
        <v>0</v>
      </c>
      <c r="F65" s="101">
        <v>14322.67</v>
      </c>
      <c r="G65" s="101">
        <v>15472.83</v>
      </c>
      <c r="H65" s="101">
        <v>21230.48</v>
      </c>
      <c r="I65" s="101">
        <v>45897.39</v>
      </c>
      <c r="J65" s="101">
        <v>47234.6</v>
      </c>
      <c r="K65" s="101">
        <v>36928.589999999997</v>
      </c>
      <c r="L65" s="101">
        <v>25901.59</v>
      </c>
      <c r="M65" s="101">
        <v>70509</v>
      </c>
      <c r="N65" s="101">
        <v>77523</v>
      </c>
      <c r="O65" s="101">
        <v>86060</v>
      </c>
    </row>
    <row r="66" spans="2:15">
      <c r="B66" t="s">
        <v>229</v>
      </c>
      <c r="D66" s="101">
        <v>19007.990000000002</v>
      </c>
      <c r="E66" s="101">
        <v>21509.21</v>
      </c>
      <c r="F66" s="101">
        <v>667.06</v>
      </c>
      <c r="G66" s="101">
        <v>1032.46</v>
      </c>
      <c r="H66" s="101">
        <v>1638.32</v>
      </c>
      <c r="I66" s="101">
        <v>13962.54</v>
      </c>
      <c r="J66" s="101">
        <v>16083.58</v>
      </c>
      <c r="K66" s="101">
        <v>7602.76</v>
      </c>
      <c r="L66" s="101">
        <v>2896.5</v>
      </c>
      <c r="M66" s="101">
        <v>65334</v>
      </c>
      <c r="N66" s="101">
        <v>83727</v>
      </c>
      <c r="O66" s="101">
        <f>87705-O69</f>
        <v>87657</v>
      </c>
    </row>
    <row r="67" spans="2:15">
      <c r="B67" t="s">
        <v>219</v>
      </c>
      <c r="D67" s="101">
        <v>1528.51</v>
      </c>
      <c r="E67" s="101">
        <v>6883.18</v>
      </c>
      <c r="F67" s="101">
        <v>446.77</v>
      </c>
      <c r="G67" s="101">
        <v>127.51</v>
      </c>
      <c r="H67" s="101">
        <v>33.51</v>
      </c>
      <c r="I67" s="101">
        <v>30.76</v>
      </c>
      <c r="J67" s="101">
        <v>30.76</v>
      </c>
      <c r="K67" s="101">
        <v>30.76</v>
      </c>
      <c r="L67" s="101">
        <v>30.76</v>
      </c>
      <c r="M67" s="101">
        <v>5890</v>
      </c>
      <c r="N67" s="101">
        <v>17468</v>
      </c>
      <c r="O67" s="101">
        <v>26210</v>
      </c>
    </row>
    <row r="68" spans="2:15">
      <c r="B68" t="s">
        <v>230</v>
      </c>
      <c r="D68" s="101">
        <v>0</v>
      </c>
      <c r="E68" s="101">
        <v>0</v>
      </c>
      <c r="F68" s="101">
        <v>19725.849999999999</v>
      </c>
      <c r="G68" s="101">
        <v>29156.720000000001</v>
      </c>
      <c r="H68" s="101">
        <v>31934.02</v>
      </c>
      <c r="I68" s="101">
        <v>23787.75</v>
      </c>
      <c r="J68" s="101">
        <v>17923.740000000002</v>
      </c>
      <c r="K68" s="101">
        <v>33584.980000000003</v>
      </c>
      <c r="L68" s="101">
        <v>50820.639999999999</v>
      </c>
      <c r="M68" s="101">
        <v>31</v>
      </c>
      <c r="N68" s="101">
        <v>31</v>
      </c>
      <c r="O68" s="101">
        <v>43</v>
      </c>
    </row>
    <row r="69" spans="2:15">
      <c r="B69" t="s">
        <v>222</v>
      </c>
      <c r="D69" s="101">
        <v>4199.0200000000004</v>
      </c>
      <c r="E69" s="101">
        <v>4054.07</v>
      </c>
      <c r="F69" s="101">
        <v>4937.83</v>
      </c>
      <c r="G69" s="101">
        <v>5438.8</v>
      </c>
      <c r="H69" s="101">
        <v>10739.15</v>
      </c>
      <c r="I69" s="101">
        <v>476.05</v>
      </c>
      <c r="J69" s="101">
        <v>476.03</v>
      </c>
      <c r="K69" s="101">
        <v>476.04</v>
      </c>
      <c r="L69" s="101">
        <v>476.04</v>
      </c>
      <c r="M69" s="101">
        <v>476</v>
      </c>
      <c r="N69" s="101">
        <v>258</v>
      </c>
      <c r="O69" s="101">
        <v>48</v>
      </c>
    </row>
    <row r="70" spans="2:15">
      <c r="B70" s="30" t="s">
        <v>231</v>
      </c>
      <c r="C70" s="30"/>
      <c r="D70" s="97">
        <f>SUM(D60:D61,D62:D69)</f>
        <v>29490.27</v>
      </c>
      <c r="E70" s="97">
        <f>SUM(E60:E61,E63:E69)</f>
        <v>39858.74</v>
      </c>
      <c r="F70" s="97">
        <f t="shared" ref="F70:M70" si="7">SUM(F60:F61,F63:F69)</f>
        <v>47846.28</v>
      </c>
      <c r="G70" s="97">
        <f t="shared" si="7"/>
        <v>61230.33</v>
      </c>
      <c r="H70" s="97">
        <f t="shared" si="7"/>
        <v>80103.56</v>
      </c>
      <c r="I70" s="97">
        <f t="shared" si="7"/>
        <v>164374.57999999999</v>
      </c>
      <c r="J70" s="97">
        <f t="shared" si="7"/>
        <v>189236.91999999998</v>
      </c>
      <c r="K70" s="97">
        <f t="shared" si="7"/>
        <v>224171.40000000002</v>
      </c>
      <c r="L70" s="97">
        <f t="shared" si="7"/>
        <v>238511.46</v>
      </c>
      <c r="M70" s="97">
        <f t="shared" si="7"/>
        <v>307982</v>
      </c>
      <c r="N70" s="97">
        <f>SUM(N60:N61,N63:N69)</f>
        <v>342178</v>
      </c>
      <c r="O70" s="97">
        <f>SUM(O60:O61,O63:O69)</f>
        <v>382710</v>
      </c>
    </row>
    <row r="71" spans="2:15">
      <c r="D71" s="94"/>
      <c r="E71" s="94"/>
      <c r="F71" s="94"/>
      <c r="G71" s="94"/>
      <c r="H71" s="94"/>
      <c r="I71" s="94"/>
      <c r="J71" s="94"/>
      <c r="K71" s="102"/>
      <c r="L71" s="102"/>
      <c r="M71" s="94"/>
      <c r="N71" s="94" t="s">
        <v>164</v>
      </c>
    </row>
    <row r="72" spans="2:15" ht="15" thickBot="1">
      <c r="B72" s="31" t="s">
        <v>232</v>
      </c>
      <c r="C72" s="31"/>
      <c r="D72" s="100">
        <f t="shared" ref="D72:M72" si="8">D44+D56+D70</f>
        <v>107682.45</v>
      </c>
      <c r="E72" s="100">
        <f t="shared" si="8"/>
        <v>130191.11000000002</v>
      </c>
      <c r="F72" s="100">
        <f t="shared" si="8"/>
        <v>152097.36000000002</v>
      </c>
      <c r="G72" s="100">
        <f t="shared" si="8"/>
        <v>211292.96000000002</v>
      </c>
      <c r="H72" s="100">
        <f t="shared" si="8"/>
        <v>250268.42</v>
      </c>
      <c r="I72" s="100">
        <f t="shared" si="8"/>
        <v>421010.77999999997</v>
      </c>
      <c r="J72" s="100">
        <f t="shared" si="8"/>
        <v>430511.52999999997</v>
      </c>
      <c r="K72" s="100">
        <f t="shared" si="8"/>
        <v>459625.98</v>
      </c>
      <c r="L72" s="100">
        <f t="shared" si="8"/>
        <v>591698.18999999994</v>
      </c>
      <c r="M72" s="100">
        <f t="shared" si="8"/>
        <v>822245</v>
      </c>
      <c r="N72" s="100">
        <f>N44+N56+N70</f>
        <v>1158435</v>
      </c>
      <c r="O72" s="100">
        <f>O44+O56+O70</f>
        <v>1360021</v>
      </c>
    </row>
    <row r="74" spans="2:15">
      <c r="D74" s="96">
        <f>D39-D72</f>
        <v>0</v>
      </c>
      <c r="E74" s="96">
        <f t="shared" ref="E74:O74" si="9">E39-E72</f>
        <v>0</v>
      </c>
      <c r="F74" s="96">
        <f t="shared" si="9"/>
        <v>0</v>
      </c>
      <c r="G74" s="96">
        <f t="shared" si="9"/>
        <v>0</v>
      </c>
      <c r="H74" s="96">
        <f t="shared" si="9"/>
        <v>0</v>
      </c>
      <c r="I74" s="96">
        <f t="shared" si="9"/>
        <v>0</v>
      </c>
      <c r="J74" s="96">
        <f t="shared" si="9"/>
        <v>0</v>
      </c>
      <c r="K74" s="96">
        <f t="shared" si="9"/>
        <v>0</v>
      </c>
      <c r="L74" s="96">
        <f t="shared" si="9"/>
        <v>0</v>
      </c>
      <c r="M74" s="96">
        <f t="shared" si="9"/>
        <v>0</v>
      </c>
      <c r="N74" s="96">
        <f t="shared" si="9"/>
        <v>0</v>
      </c>
      <c r="O74" s="96">
        <f t="shared" si="9"/>
        <v>0</v>
      </c>
    </row>
    <row r="76" spans="2:15">
      <c r="B76" s="88" t="s">
        <v>85</v>
      </c>
      <c r="C76" s="89"/>
      <c r="D76" s="103">
        <f>D36-D70</f>
        <v>2189.8600000000006</v>
      </c>
      <c r="E76" s="103">
        <f t="shared" ref="E76:N76" si="10">E36-E70</f>
        <v>16149.120000000003</v>
      </c>
      <c r="F76" s="103">
        <f t="shared" si="10"/>
        <v>46617.64</v>
      </c>
      <c r="G76" s="103">
        <f t="shared" si="10"/>
        <v>85085.300000000032</v>
      </c>
      <c r="H76" s="103">
        <f t="shared" si="10"/>
        <v>101066.90000000005</v>
      </c>
      <c r="I76" s="103">
        <f t="shared" si="10"/>
        <v>60190.020000000019</v>
      </c>
      <c r="J76" s="103">
        <f t="shared" si="10"/>
        <v>18902.250000000029</v>
      </c>
      <c r="K76" s="103">
        <f t="shared" si="10"/>
        <v>-21882.609999999986</v>
      </c>
      <c r="L76" s="103">
        <f t="shared" si="10"/>
        <v>22975.680000000022</v>
      </c>
      <c r="M76" s="103">
        <f t="shared" si="10"/>
        <v>50549</v>
      </c>
      <c r="N76" s="103">
        <f t="shared" si="10"/>
        <v>164853</v>
      </c>
      <c r="O76" s="103"/>
    </row>
    <row r="77" spans="2:15">
      <c r="B77" s="88" t="s">
        <v>86</v>
      </c>
      <c r="C77" s="89"/>
      <c r="D77" s="104">
        <v>2.7403827096164863</v>
      </c>
      <c r="E77" s="104">
        <v>3.5530937627963084</v>
      </c>
      <c r="F77" s="104">
        <v>3.1175818734694976</v>
      </c>
      <c r="G77" s="104">
        <v>3.588262042205411</v>
      </c>
      <c r="H77" s="104">
        <v>4.6426470689381949</v>
      </c>
      <c r="I77" s="104">
        <v>2.6481384201773568</v>
      </c>
      <c r="J77" s="104">
        <v>5.4592571863876644</v>
      </c>
      <c r="K77" s="104">
        <v>4.6861762790046031</v>
      </c>
      <c r="L77" s="104">
        <v>3.485350276169505</v>
      </c>
      <c r="M77" s="104">
        <v>3.4034523244558028</v>
      </c>
      <c r="N77" s="104">
        <v>3.341346659587713</v>
      </c>
      <c r="O77" s="104"/>
    </row>
    <row r="78" spans="2:15">
      <c r="B78" s="88" t="s">
        <v>41</v>
      </c>
      <c r="C78" s="89"/>
      <c r="D78" s="104">
        <v>6.1255437855159007</v>
      </c>
      <c r="E78" s="104">
        <v>6.1628279125493695</v>
      </c>
      <c r="F78" s="104">
        <v>6.2092927278293431</v>
      </c>
      <c r="G78" s="104">
        <v>5.7917481915145235</v>
      </c>
      <c r="H78" s="104">
        <v>4.3977742953121357</v>
      </c>
      <c r="I78" s="104">
        <v>4.4529428037263319</v>
      </c>
      <c r="J78" s="104">
        <v>12.223590952648369</v>
      </c>
      <c r="K78" s="104">
        <v>7.6613440753909652</v>
      </c>
      <c r="L78" s="104">
        <v>5.5446629978007875</v>
      </c>
      <c r="M78" s="104">
        <v>5.6177361744057146</v>
      </c>
      <c r="N78" s="104">
        <v>6.214355244778468</v>
      </c>
      <c r="O78" s="104"/>
    </row>
    <row r="79" spans="2:15">
      <c r="B79" s="88" t="s">
        <v>87</v>
      </c>
      <c r="C79" s="89"/>
      <c r="D79" s="104">
        <v>12.462778276947862</v>
      </c>
      <c r="E79" s="104">
        <v>16.762685588871662</v>
      </c>
      <c r="F79" s="104">
        <v>15.216633029251096</v>
      </c>
      <c r="G79" s="104">
        <v>15.858353546498881</v>
      </c>
      <c r="H79" s="104">
        <v>18.608245172470763</v>
      </c>
      <c r="I79" s="104">
        <v>16.001997259145394</v>
      </c>
      <c r="J79" s="104">
        <v>38.675592944047288</v>
      </c>
      <c r="K79" s="104">
        <v>44.364565138762686</v>
      </c>
      <c r="L79" s="104">
        <v>21.512530577519897</v>
      </c>
      <c r="M79" s="104">
        <v>16.726445229107615</v>
      </c>
      <c r="N79" s="104">
        <v>18.861872531802693</v>
      </c>
      <c r="O79" s="104"/>
    </row>
    <row r="80" spans="2:15">
      <c r="B80" s="105" t="s">
        <v>43</v>
      </c>
      <c r="C80" s="105"/>
      <c r="D80" s="105"/>
      <c r="E80" s="105"/>
      <c r="F80" s="105"/>
      <c r="G80" s="105"/>
      <c r="H80" s="105"/>
      <c r="I80" s="105"/>
      <c r="J80" s="105"/>
      <c r="K80" s="105"/>
      <c r="L80" s="105"/>
      <c r="M80" s="105"/>
      <c r="N80" s="105"/>
      <c r="O80" s="105"/>
    </row>
    <row r="81" spans="2:15">
      <c r="B81" s="88" t="s">
        <v>88</v>
      </c>
      <c r="C81" s="89"/>
      <c r="D81" s="106">
        <v>1.2421746951025096E-2</v>
      </c>
      <c r="E81" s="106">
        <v>1.8220053161390189E-2</v>
      </c>
      <c r="F81" s="106">
        <v>1.2473184252307526E-2</v>
      </c>
      <c r="G81" s="106">
        <v>2.0742163410124036E-2</v>
      </c>
      <c r="H81" s="106">
        <v>3.1538589704125083E-2</v>
      </c>
      <c r="I81" s="106">
        <v>1.1773548166082667E-2</v>
      </c>
      <c r="J81" s="106">
        <v>6.3143931433009962E-2</v>
      </c>
      <c r="K81" s="106">
        <v>3.3548048629345191E-2</v>
      </c>
      <c r="L81" s="106">
        <v>9.7947427355827912E-3</v>
      </c>
      <c r="M81" s="106">
        <v>6.7194645326924445E-3</v>
      </c>
      <c r="N81" s="106">
        <v>1.9861910896762369E-2</v>
      </c>
      <c r="O81" s="106"/>
    </row>
    <row r="82" spans="2:15">
      <c r="B82" s="88" t="s">
        <v>89</v>
      </c>
      <c r="C82" s="89"/>
      <c r="D82" s="106">
        <v>0.13649932755662056</v>
      </c>
      <c r="E82" s="106">
        <v>0.13326723217584435</v>
      </c>
      <c r="F82" s="106">
        <v>3.5901079088291486E-3</v>
      </c>
      <c r="G82" s="106">
        <v>4.4848836623888558E-3</v>
      </c>
      <c r="H82" s="106">
        <v>5.7491423940929176E-3</v>
      </c>
      <c r="I82" s="106">
        <v>3.9049501089341618E-2</v>
      </c>
      <c r="J82" s="106">
        <v>0.10985578422132215</v>
      </c>
      <c r="K82" s="106">
        <v>2.9319275782157733E-2</v>
      </c>
      <c r="L82" s="106">
        <v>5.3199057797208571E-3</v>
      </c>
      <c r="M82" s="106">
        <v>9.4818465610999603E-2</v>
      </c>
      <c r="N82" s="106">
        <v>0.10361880576068433</v>
      </c>
      <c r="O82" s="106"/>
    </row>
    <row r="83" spans="2:15">
      <c r="B83" s="105" t="s">
        <v>47</v>
      </c>
      <c r="C83" s="105"/>
      <c r="D83" s="105"/>
      <c r="E83" s="105"/>
      <c r="F83" s="105"/>
      <c r="G83" s="105"/>
      <c r="H83" s="105"/>
      <c r="I83" s="105"/>
      <c r="J83" s="105"/>
      <c r="K83" s="105"/>
      <c r="L83" s="105"/>
      <c r="M83" s="105"/>
      <c r="N83" s="105"/>
      <c r="O83" s="105"/>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BF61B-B1C8-417A-B70E-EDD4698CBD13}">
  <sheetPr>
    <tabColor rgb="FFFF0000"/>
  </sheetPr>
  <dimension ref="B2:O99"/>
  <sheetViews>
    <sheetView showGridLines="0" topLeftCell="A2" zoomScaleNormal="100" workbookViewId="0">
      <selection activeCell="J11" sqref="J11"/>
    </sheetView>
  </sheetViews>
  <sheetFormatPr defaultRowHeight="14.4"/>
  <cols>
    <col min="1" max="1" width="1.88671875" customWidth="1"/>
    <col min="2" max="2" width="96.109375" customWidth="1"/>
    <col min="3" max="3" width="11.77734375" customWidth="1"/>
    <col min="4" max="4" width="13.109375" customWidth="1"/>
    <col min="5" max="6" width="16.5546875" bestFit="1" customWidth="1"/>
    <col min="7" max="14" width="12.88671875" customWidth="1"/>
    <col min="15" max="15" width="12.77734375" style="173" bestFit="1" customWidth="1"/>
  </cols>
  <sheetData>
    <row r="2" spans="2:15" ht="21">
      <c r="B2" s="282" t="str">
        <f>'Control Sheet'!B2</f>
        <v xml:space="preserve">InterGlobe Aviation </v>
      </c>
    </row>
    <row r="3" spans="2:15" ht="18">
      <c r="B3" s="150" t="s">
        <v>90</v>
      </c>
    </row>
    <row r="4" spans="2:15">
      <c r="B4" s="4" t="s">
        <v>5</v>
      </c>
    </row>
    <row r="6" spans="2:15">
      <c r="B6" s="77" t="s">
        <v>160</v>
      </c>
      <c r="C6" s="77"/>
      <c r="D6" s="78">
        <v>2015</v>
      </c>
      <c r="E6" s="78">
        <f>D6+1</f>
        <v>2016</v>
      </c>
      <c r="F6" s="78">
        <f t="shared" ref="F6:N6" si="0">E6+1</f>
        <v>2017</v>
      </c>
      <c r="G6" s="78">
        <f t="shared" si="0"/>
        <v>2018</v>
      </c>
      <c r="H6" s="78">
        <f t="shared" si="0"/>
        <v>2019</v>
      </c>
      <c r="I6" s="78">
        <f t="shared" si="0"/>
        <v>2020</v>
      </c>
      <c r="J6" s="78">
        <f t="shared" si="0"/>
        <v>2021</v>
      </c>
      <c r="K6" s="78">
        <f t="shared" si="0"/>
        <v>2022</v>
      </c>
      <c r="L6" s="78">
        <f t="shared" si="0"/>
        <v>2023</v>
      </c>
      <c r="M6" s="78">
        <f t="shared" si="0"/>
        <v>2024</v>
      </c>
      <c r="N6" s="78">
        <f t="shared" si="0"/>
        <v>2025</v>
      </c>
      <c r="O6" s="174">
        <f>N6+1</f>
        <v>2026</v>
      </c>
    </row>
    <row r="8" spans="2:15">
      <c r="B8" s="107" t="s">
        <v>233</v>
      </c>
    </row>
    <row r="9" spans="2:15">
      <c r="B9" s="18" t="s">
        <v>234</v>
      </c>
      <c r="C9" s="16"/>
      <c r="D9" s="108">
        <v>18465.22999999996</v>
      </c>
      <c r="E9" s="108">
        <v>28289.499999999993</v>
      </c>
      <c r="F9" s="108">
        <v>21442.990000000009</v>
      </c>
      <c r="G9" s="108">
        <v>31266.269999999997</v>
      </c>
      <c r="H9" s="108">
        <v>-1473.7800000000352</v>
      </c>
      <c r="I9" s="108">
        <v>-2556.6899999999732</v>
      </c>
      <c r="J9" s="108">
        <v>-58180.7</v>
      </c>
      <c r="K9" s="108">
        <v>-61536.840000000004</v>
      </c>
      <c r="L9" s="108">
        <v>-3043.8499999999804</v>
      </c>
      <c r="M9" s="108">
        <v>80493</v>
      </c>
      <c r="N9" s="108">
        <v>75934</v>
      </c>
      <c r="O9" s="175">
        <v>-19605</v>
      </c>
    </row>
    <row r="10" spans="2:15">
      <c r="B10" s="19"/>
      <c r="D10" s="109"/>
      <c r="E10" s="109"/>
      <c r="F10" s="110"/>
      <c r="G10" s="109"/>
      <c r="H10" s="109"/>
      <c r="I10" s="109"/>
      <c r="J10" s="109" t="s">
        <v>164</v>
      </c>
      <c r="K10" s="109"/>
      <c r="L10" s="109"/>
      <c r="M10" s="110"/>
      <c r="N10" s="109"/>
    </row>
    <row r="11" spans="2:15">
      <c r="B11" s="98" t="s">
        <v>235</v>
      </c>
      <c r="D11" s="109"/>
      <c r="E11" s="109"/>
      <c r="F11" s="109"/>
      <c r="G11" s="109"/>
      <c r="H11" s="109"/>
      <c r="I11" s="109"/>
      <c r="J11" s="109"/>
      <c r="K11" s="110"/>
      <c r="L11" s="110"/>
      <c r="M11" s="109"/>
      <c r="N11" s="109"/>
    </row>
    <row r="12" spans="2:15">
      <c r="B12" s="206" t="s">
        <v>178</v>
      </c>
      <c r="D12" s="110">
        <v>3022.14</v>
      </c>
      <c r="E12" s="110">
        <v>5030.79</v>
      </c>
      <c r="F12" s="109">
        <v>4572.53</v>
      </c>
      <c r="G12" s="109">
        <v>4368.7700000000004</v>
      </c>
      <c r="H12" s="109">
        <v>7595.8</v>
      </c>
      <c r="I12" s="110">
        <v>39739.29</v>
      </c>
      <c r="J12" s="110">
        <v>46994.46</v>
      </c>
      <c r="K12" s="109">
        <v>50686</v>
      </c>
      <c r="L12" s="109">
        <v>51029.69</v>
      </c>
      <c r="M12" s="109">
        <v>64257</v>
      </c>
      <c r="N12" s="109">
        <v>86802</v>
      </c>
      <c r="O12" s="79">
        <v>108082</v>
      </c>
    </row>
    <row r="13" spans="2:15">
      <c r="B13" s="207" t="s">
        <v>236</v>
      </c>
      <c r="D13" s="92">
        <v>0</v>
      </c>
      <c r="E13" s="92">
        <v>0</v>
      </c>
      <c r="F13" s="92">
        <v>0</v>
      </c>
      <c r="G13" s="92">
        <v>0</v>
      </c>
      <c r="H13" s="92">
        <v>0</v>
      </c>
      <c r="I13" s="109">
        <v>13644.5</v>
      </c>
      <c r="J13" s="109">
        <v>16196.87</v>
      </c>
      <c r="K13" s="110">
        <v>19518.400000000001</v>
      </c>
      <c r="L13" s="110">
        <v>26339.65</v>
      </c>
      <c r="M13" s="110">
        <v>34763</v>
      </c>
      <c r="N13" s="110">
        <v>41084</v>
      </c>
      <c r="O13" s="80">
        <v>48059</v>
      </c>
    </row>
    <row r="14" spans="2:15">
      <c r="B14" s="206" t="s">
        <v>237</v>
      </c>
      <c r="D14" s="109">
        <v>1192.08</v>
      </c>
      <c r="E14" s="109">
        <v>2057.9299999999998</v>
      </c>
      <c r="F14" s="110">
        <v>-861.8</v>
      </c>
      <c r="G14" s="110">
        <v>99.76</v>
      </c>
      <c r="H14" s="110">
        <v>3546.06</v>
      </c>
      <c r="I14" s="110">
        <v>13122.27</v>
      </c>
      <c r="J14" s="110">
        <v>-4664.75</v>
      </c>
      <c r="K14" s="109">
        <v>7886.01</v>
      </c>
      <c r="L14" s="109">
        <v>30035.37</v>
      </c>
      <c r="M14" s="109">
        <v>8262</v>
      </c>
      <c r="N14" s="109">
        <v>17083</v>
      </c>
      <c r="O14" s="79">
        <v>93186</v>
      </c>
    </row>
    <row r="15" spans="2:15">
      <c r="B15" s="207" t="s">
        <v>238</v>
      </c>
      <c r="D15" s="92">
        <v>0</v>
      </c>
      <c r="E15" s="92">
        <v>0</v>
      </c>
      <c r="F15" s="110">
        <v>1670.58</v>
      </c>
      <c r="G15" s="110">
        <v>2275.91</v>
      </c>
      <c r="H15" s="110">
        <v>3496.52</v>
      </c>
      <c r="I15" s="109">
        <v>4564.57</v>
      </c>
      <c r="J15" s="109">
        <v>4416.75</v>
      </c>
      <c r="K15" s="110">
        <v>3321.21</v>
      </c>
      <c r="L15" s="110">
        <v>4292.8900000000003</v>
      </c>
      <c r="M15" s="110">
        <v>6412</v>
      </c>
      <c r="N15" s="110">
        <v>9495</v>
      </c>
      <c r="O15" s="80">
        <v>10700</v>
      </c>
    </row>
    <row r="16" spans="2:15">
      <c r="B16" s="206" t="s">
        <v>239</v>
      </c>
      <c r="D16" s="92">
        <v>0</v>
      </c>
      <c r="E16" s="92">
        <v>0</v>
      </c>
      <c r="F16" s="110">
        <v>-546.41999999999996</v>
      </c>
      <c r="G16" s="110">
        <v>-1712.97</v>
      </c>
      <c r="H16" s="110">
        <v>-2229.0700000000002</v>
      </c>
      <c r="I16" s="110">
        <v>-4595.12</v>
      </c>
      <c r="J16" s="110">
        <v>-3213.31</v>
      </c>
      <c r="K16" s="109">
        <v>-1891.31</v>
      </c>
      <c r="L16" s="109">
        <v>-4061.78</v>
      </c>
      <c r="M16" s="109">
        <v>-9072</v>
      </c>
      <c r="N16" s="109">
        <v>-13700</v>
      </c>
      <c r="O16" s="79">
        <v>-10792</v>
      </c>
    </row>
    <row r="17" spans="2:15">
      <c r="B17" s="207" t="s">
        <v>240</v>
      </c>
      <c r="D17" s="92">
        <v>0</v>
      </c>
      <c r="E17" s="92">
        <v>0</v>
      </c>
      <c r="F17" s="110">
        <v>-3913.27</v>
      </c>
      <c r="G17" s="110">
        <v>-4008.05</v>
      </c>
      <c r="H17" s="110">
        <v>-4344.1099999999997</v>
      </c>
      <c r="I17" s="109">
        <v>-2571.6999999999998</v>
      </c>
      <c r="J17" s="109">
        <v>-1269.28</v>
      </c>
      <c r="K17" s="110">
        <v>-675.25</v>
      </c>
      <c r="L17" s="110">
        <v>-2697.56</v>
      </c>
      <c r="M17" s="110">
        <v>-8465</v>
      </c>
      <c r="N17" s="110">
        <v>-11218</v>
      </c>
      <c r="O17" s="80">
        <v>-13066</v>
      </c>
    </row>
    <row r="18" spans="2:15">
      <c r="B18" s="206" t="s">
        <v>241</v>
      </c>
      <c r="D18" s="110">
        <v>-1.1200000000000001</v>
      </c>
      <c r="E18" s="110">
        <v>51.72</v>
      </c>
      <c r="F18" s="109">
        <v>-2152.27</v>
      </c>
      <c r="G18" s="109">
        <v>-809.83</v>
      </c>
      <c r="H18" s="109">
        <v>-2594.56</v>
      </c>
      <c r="I18" s="110">
        <v>-2164.89</v>
      </c>
      <c r="J18" s="110">
        <v>-3603.61</v>
      </c>
      <c r="K18" s="109">
        <v>-476.04</v>
      </c>
      <c r="L18" s="109">
        <v>-476.04</v>
      </c>
      <c r="M18" s="109">
        <v>-476</v>
      </c>
      <c r="N18" s="109">
        <v>-472</v>
      </c>
      <c r="O18" s="80">
        <v>-258</v>
      </c>
    </row>
    <row r="19" spans="2:15">
      <c r="B19" s="207" t="s">
        <v>242</v>
      </c>
      <c r="D19" s="110">
        <v>-1035.8800000000001</v>
      </c>
      <c r="E19" s="110">
        <v>-372.31</v>
      </c>
      <c r="F19" s="109">
        <v>-1221.27</v>
      </c>
      <c r="G19" s="109">
        <v>-2056.4899999999998</v>
      </c>
      <c r="H19" s="109">
        <v>-1615.92</v>
      </c>
      <c r="I19" s="109">
        <v>-1930.57</v>
      </c>
      <c r="J19" s="109">
        <v>-1154.3499999999999</v>
      </c>
      <c r="K19" s="110">
        <v>-455.95</v>
      </c>
      <c r="L19" s="110">
        <v>-543.37</v>
      </c>
      <c r="M19" s="110">
        <v>-904</v>
      </c>
      <c r="N19" s="110">
        <v>-1210</v>
      </c>
      <c r="O19" s="80">
        <v>-4865</v>
      </c>
    </row>
    <row r="20" spans="2:15">
      <c r="B20" s="206" t="s">
        <v>243</v>
      </c>
      <c r="D20" s="109">
        <v>-2703.77</v>
      </c>
      <c r="E20" s="109">
        <v>-3687.41</v>
      </c>
      <c r="F20" s="109">
        <v>-488.02</v>
      </c>
      <c r="G20" s="109">
        <v>-589.97</v>
      </c>
      <c r="H20" s="109">
        <v>-755.46</v>
      </c>
      <c r="I20" s="110">
        <v>-986.56</v>
      </c>
      <c r="J20" s="110">
        <v>-1174.57</v>
      </c>
      <c r="K20" s="109">
        <v>-1344.13</v>
      </c>
      <c r="L20" s="109">
        <v>-1957.78</v>
      </c>
      <c r="M20" s="109">
        <v>-3118</v>
      </c>
      <c r="N20" s="109">
        <v>-4735</v>
      </c>
      <c r="O20" s="80">
        <v>-6457</v>
      </c>
    </row>
    <row r="21" spans="2:15">
      <c r="B21" s="207" t="s">
        <v>244</v>
      </c>
      <c r="D21" s="92">
        <v>0</v>
      </c>
      <c r="E21" s="110">
        <v>677.07</v>
      </c>
      <c r="F21" s="109">
        <v>504.89</v>
      </c>
      <c r="G21" s="109">
        <v>274.91000000000003</v>
      </c>
      <c r="H21" s="109">
        <v>-133.28</v>
      </c>
      <c r="I21" s="109">
        <v>-99.15</v>
      </c>
      <c r="J21" s="109">
        <v>306.58</v>
      </c>
      <c r="K21" s="110">
        <v>342.04</v>
      </c>
      <c r="L21" s="110">
        <v>172.45</v>
      </c>
      <c r="M21" s="92">
        <v>0</v>
      </c>
      <c r="N21" s="92">
        <v>0</v>
      </c>
    </row>
    <row r="22" spans="2:15">
      <c r="B22" s="207" t="s">
        <v>245</v>
      </c>
      <c r="D22" s="92">
        <v>0</v>
      </c>
      <c r="E22" s="92">
        <v>0</v>
      </c>
      <c r="F22" s="92">
        <v>0</v>
      </c>
      <c r="G22" s="92">
        <v>0</v>
      </c>
      <c r="H22" s="92">
        <v>0</v>
      </c>
      <c r="I22" s="92">
        <v>0</v>
      </c>
      <c r="J22" s="92">
        <v>0</v>
      </c>
      <c r="K22" s="92">
        <v>0</v>
      </c>
      <c r="L22" s="92">
        <v>0</v>
      </c>
      <c r="M22" s="110">
        <v>433</v>
      </c>
      <c r="N22" s="110">
        <v>810</v>
      </c>
      <c r="O22" s="92">
        <v>26</v>
      </c>
    </row>
    <row r="23" spans="2:15">
      <c r="B23" s="206" t="s">
        <v>246</v>
      </c>
      <c r="D23" s="92">
        <v>0</v>
      </c>
      <c r="E23" s="92">
        <v>0</v>
      </c>
      <c r="F23" s="92">
        <v>0</v>
      </c>
      <c r="G23" s="92">
        <v>0</v>
      </c>
      <c r="H23" s="92">
        <v>0</v>
      </c>
      <c r="I23" s="92">
        <v>0</v>
      </c>
      <c r="J23" s="92">
        <v>0</v>
      </c>
      <c r="K23" s="92">
        <v>0</v>
      </c>
      <c r="L23" s="92">
        <v>0</v>
      </c>
      <c r="M23" s="109">
        <v>-2</v>
      </c>
      <c r="N23" s="109">
        <v>80</v>
      </c>
      <c r="O23" s="79">
        <v>-7077</v>
      </c>
    </row>
    <row r="24" spans="2:15">
      <c r="B24" s="207" t="s">
        <v>247</v>
      </c>
      <c r="D24" s="110">
        <v>-107.78</v>
      </c>
      <c r="E24" s="110">
        <v>-69.34</v>
      </c>
      <c r="F24" s="109">
        <v>-414.93</v>
      </c>
      <c r="G24" s="109">
        <v>-252.46</v>
      </c>
      <c r="H24" s="109">
        <v>-263.81</v>
      </c>
      <c r="I24" s="110">
        <v>-76.67</v>
      </c>
      <c r="J24" s="110">
        <v>-78.31</v>
      </c>
      <c r="K24" s="109">
        <v>-13.74</v>
      </c>
      <c r="L24" s="109">
        <v>-23.05</v>
      </c>
      <c r="M24" s="110">
        <v>-1</v>
      </c>
      <c r="N24" s="110">
        <v>-3</v>
      </c>
      <c r="O24" s="80">
        <v>-8</v>
      </c>
    </row>
    <row r="25" spans="2:15">
      <c r="B25" s="206" t="s">
        <v>248</v>
      </c>
      <c r="C25" s="111"/>
      <c r="D25" s="110">
        <v>107.29</v>
      </c>
      <c r="E25" s="110">
        <v>137.99</v>
      </c>
      <c r="F25" s="109">
        <v>179.98</v>
      </c>
      <c r="G25" s="109">
        <v>219.16</v>
      </c>
      <c r="H25" s="109">
        <v>317.11</v>
      </c>
      <c r="I25" s="109">
        <v>336.48</v>
      </c>
      <c r="J25" s="109">
        <v>244.71</v>
      </c>
      <c r="K25" s="110">
        <v>470.46</v>
      </c>
      <c r="L25" s="110">
        <v>434.36</v>
      </c>
      <c r="M25" s="109">
        <v>514</v>
      </c>
      <c r="N25" s="109">
        <v>220</v>
      </c>
      <c r="O25" s="79">
        <v>142</v>
      </c>
    </row>
    <row r="26" spans="2:15" s="33" customFormat="1">
      <c r="B26" s="207" t="s">
        <v>249</v>
      </c>
      <c r="D26" s="205">
        <v>63.37</v>
      </c>
      <c r="E26" s="205">
        <v>82.48</v>
      </c>
      <c r="F26" s="202">
        <v>286.55</v>
      </c>
      <c r="G26" s="202">
        <v>660.78</v>
      </c>
      <c r="H26" s="202">
        <v>307.66000000000003</v>
      </c>
      <c r="I26" s="202">
        <v>160.79</v>
      </c>
      <c r="J26" s="202">
        <v>1.17</v>
      </c>
      <c r="K26" s="203">
        <v>0</v>
      </c>
      <c r="L26" s="203">
        <v>0</v>
      </c>
      <c r="M26" s="203">
        <v>0</v>
      </c>
      <c r="N26" s="203">
        <v>0</v>
      </c>
      <c r="O26" s="204"/>
    </row>
    <row r="27" spans="2:15" s="33" customFormat="1">
      <c r="B27" s="206" t="s">
        <v>250</v>
      </c>
      <c r="D27" s="205">
        <v>71.45</v>
      </c>
      <c r="E27" s="203">
        <v>0</v>
      </c>
      <c r="F27" s="203">
        <v>0</v>
      </c>
      <c r="G27" s="203">
        <v>0</v>
      </c>
      <c r="H27" s="203">
        <v>0</v>
      </c>
      <c r="I27" s="203">
        <v>0</v>
      </c>
      <c r="J27" s="203">
        <v>0</v>
      </c>
      <c r="K27" s="203">
        <v>0</v>
      </c>
      <c r="L27" s="203">
        <v>0</v>
      </c>
      <c r="M27" s="203">
        <v>0</v>
      </c>
      <c r="N27" s="203">
        <v>0</v>
      </c>
      <c r="O27" s="204"/>
    </row>
    <row r="28" spans="2:15" s="33" customFormat="1">
      <c r="B28" s="206" t="s">
        <v>251</v>
      </c>
      <c r="D28" s="202">
        <v>21.34</v>
      </c>
      <c r="E28" s="202">
        <v>31.62</v>
      </c>
      <c r="F28" s="203">
        <v>0</v>
      </c>
      <c r="G28" s="203">
        <v>0</v>
      </c>
      <c r="H28" s="203">
        <v>0</v>
      </c>
      <c r="I28" s="203">
        <v>0</v>
      </c>
      <c r="J28" s="203">
        <v>0</v>
      </c>
      <c r="K28" s="203">
        <v>0</v>
      </c>
      <c r="L28" s="203">
        <v>0</v>
      </c>
      <c r="M28" s="203">
        <v>0</v>
      </c>
      <c r="N28" s="203">
        <v>0</v>
      </c>
      <c r="O28" s="204"/>
    </row>
    <row r="29" spans="2:15">
      <c r="B29" s="19" t="s">
        <v>371</v>
      </c>
      <c r="D29" s="110"/>
      <c r="E29" s="110"/>
      <c r="F29" s="92"/>
      <c r="G29" s="92"/>
      <c r="H29" s="92"/>
      <c r="I29" s="92"/>
      <c r="J29" s="92"/>
      <c r="K29" s="92"/>
      <c r="L29" s="92"/>
      <c r="M29" s="92"/>
      <c r="N29" s="92"/>
      <c r="O29" s="176">
        <v>17964</v>
      </c>
    </row>
    <row r="30" spans="2:15" s="33" customFormat="1">
      <c r="B30" s="206" t="s">
        <v>252</v>
      </c>
      <c r="D30" s="202">
        <v>0.18</v>
      </c>
      <c r="E30" s="202">
        <v>4.26</v>
      </c>
      <c r="F30" s="203">
        <v>0</v>
      </c>
      <c r="G30" s="203">
        <v>0</v>
      </c>
      <c r="H30" s="203">
        <v>0</v>
      </c>
      <c r="I30" s="203">
        <v>0</v>
      </c>
      <c r="J30" s="203">
        <v>0</v>
      </c>
      <c r="K30" s="203">
        <v>0</v>
      </c>
      <c r="L30" s="203">
        <v>0</v>
      </c>
      <c r="M30" s="203">
        <v>0</v>
      </c>
      <c r="N30" s="203">
        <v>0</v>
      </c>
      <c r="O30" s="204"/>
    </row>
    <row r="31" spans="2:15">
      <c r="B31" s="207" t="s">
        <v>253</v>
      </c>
      <c r="D31" s="92">
        <v>0</v>
      </c>
      <c r="E31" s="92">
        <v>0</v>
      </c>
      <c r="F31" s="110">
        <v>47.46</v>
      </c>
      <c r="G31" s="110">
        <v>53.41</v>
      </c>
      <c r="H31" s="110">
        <v>94.759999999999991</v>
      </c>
      <c r="I31" s="109">
        <v>104.04</v>
      </c>
      <c r="J31" s="109">
        <v>540.72</v>
      </c>
      <c r="K31" s="109">
        <v>153.72</v>
      </c>
      <c r="L31" s="109">
        <v>199</v>
      </c>
      <c r="M31" s="110">
        <v>703</v>
      </c>
      <c r="N31" s="110">
        <v>482</v>
      </c>
      <c r="O31" s="79">
        <v>517</v>
      </c>
    </row>
    <row r="32" spans="2:15">
      <c r="B32" s="206" t="s">
        <v>254</v>
      </c>
      <c r="D32" s="109">
        <v>0.13</v>
      </c>
      <c r="E32" s="109">
        <v>-0.4</v>
      </c>
      <c r="F32" s="110">
        <v>-24.58</v>
      </c>
      <c r="G32" s="110">
        <v>0.45</v>
      </c>
      <c r="H32" s="110">
        <v>0.81</v>
      </c>
      <c r="I32" s="110">
        <v>49.26</v>
      </c>
      <c r="J32" s="110">
        <v>-9.98</v>
      </c>
      <c r="K32" s="110">
        <v>-6.63</v>
      </c>
      <c r="L32" s="110">
        <v>-11.88</v>
      </c>
      <c r="M32" s="109">
        <v>-16</v>
      </c>
      <c r="N32" s="109">
        <v>-19</v>
      </c>
      <c r="O32" s="80">
        <v>-17</v>
      </c>
    </row>
    <row r="33" spans="2:15">
      <c r="B33" s="206" t="s">
        <v>255</v>
      </c>
      <c r="D33" s="92">
        <v>0</v>
      </c>
      <c r="E33" s="92">
        <v>0</v>
      </c>
      <c r="F33" s="92">
        <v>0</v>
      </c>
      <c r="G33" s="92">
        <v>0</v>
      </c>
      <c r="H33" s="92">
        <v>0</v>
      </c>
      <c r="I33" s="92">
        <v>0</v>
      </c>
      <c r="J33" s="109">
        <v>-12.81</v>
      </c>
      <c r="K33" s="109">
        <v>-750.96</v>
      </c>
      <c r="L33" s="92">
        <v>0</v>
      </c>
      <c r="M33" s="92">
        <v>0</v>
      </c>
      <c r="N33" s="92">
        <v>0</v>
      </c>
    </row>
    <row r="34" spans="2:15" s="33" customFormat="1">
      <c r="B34" s="206" t="s">
        <v>256</v>
      </c>
      <c r="D34" s="203">
        <v>0</v>
      </c>
      <c r="E34" s="203">
        <v>0</v>
      </c>
      <c r="F34" s="205">
        <v>535.97</v>
      </c>
      <c r="G34" s="205">
        <v>646.97</v>
      </c>
      <c r="H34" s="205">
        <v>693.48</v>
      </c>
      <c r="I34" s="203">
        <v>0</v>
      </c>
      <c r="J34" s="203">
        <v>0</v>
      </c>
      <c r="K34" s="203">
        <v>0</v>
      </c>
      <c r="L34" s="203">
        <v>0</v>
      </c>
      <c r="M34" s="203">
        <v>0</v>
      </c>
      <c r="N34" s="203">
        <v>0</v>
      </c>
      <c r="O34" s="204"/>
    </row>
    <row r="35" spans="2:15" s="33" customFormat="1">
      <c r="B35" s="206" t="s">
        <v>257</v>
      </c>
      <c r="D35" s="205">
        <v>929.36</v>
      </c>
      <c r="E35" s="205">
        <v>1019.02</v>
      </c>
      <c r="F35" s="202">
        <v>1298.99</v>
      </c>
      <c r="G35" s="202">
        <v>872.47</v>
      </c>
      <c r="H35" s="202">
        <v>1119.55</v>
      </c>
      <c r="I35" s="203">
        <v>0</v>
      </c>
      <c r="J35" s="203">
        <v>0</v>
      </c>
      <c r="K35" s="203">
        <v>0</v>
      </c>
      <c r="L35" s="203">
        <v>0</v>
      </c>
      <c r="M35" s="203">
        <v>0</v>
      </c>
      <c r="N35" s="203">
        <v>0</v>
      </c>
      <c r="O35" s="204"/>
    </row>
    <row r="36" spans="2:15">
      <c r="B36" s="207" t="s">
        <v>258</v>
      </c>
      <c r="D36" s="92">
        <v>0</v>
      </c>
      <c r="E36" s="92">
        <v>0</v>
      </c>
      <c r="F36" s="92">
        <v>0</v>
      </c>
      <c r="G36" s="92">
        <v>0</v>
      </c>
      <c r="H36" s="110">
        <v>8.65</v>
      </c>
      <c r="I36" s="110">
        <v>13.45</v>
      </c>
      <c r="J36" s="110">
        <v>193.81</v>
      </c>
      <c r="K36" s="110">
        <v>46.53</v>
      </c>
      <c r="L36" s="110">
        <v>89.56</v>
      </c>
      <c r="M36" s="110">
        <v>1</v>
      </c>
      <c r="N36" s="110">
        <v>14</v>
      </c>
      <c r="O36" s="80">
        <v>0</v>
      </c>
    </row>
    <row r="37" spans="2:15">
      <c r="B37" s="206" t="s">
        <v>259</v>
      </c>
      <c r="D37" s="92">
        <v>0</v>
      </c>
      <c r="E37" s="92">
        <v>0</v>
      </c>
      <c r="F37" s="92">
        <v>0</v>
      </c>
      <c r="G37" s="92">
        <v>0</v>
      </c>
      <c r="H37" s="109">
        <v>6.91</v>
      </c>
      <c r="I37" s="109">
        <v>3.7</v>
      </c>
      <c r="J37" s="109">
        <v>2.92</v>
      </c>
      <c r="K37" s="109">
        <v>0.33</v>
      </c>
      <c r="L37" s="109">
        <v>67.75</v>
      </c>
      <c r="M37" s="109">
        <v>3</v>
      </c>
      <c r="N37" s="109">
        <v>14</v>
      </c>
      <c r="O37" s="79">
        <v>263</v>
      </c>
    </row>
    <row r="38" spans="2:15" s="33" customFormat="1">
      <c r="B38" s="206" t="s">
        <v>260</v>
      </c>
      <c r="D38" s="203">
        <v>0</v>
      </c>
      <c r="E38" s="203">
        <v>0</v>
      </c>
      <c r="F38" s="203">
        <v>0</v>
      </c>
      <c r="G38" s="203">
        <v>0</v>
      </c>
      <c r="H38" s="203">
        <v>0</v>
      </c>
      <c r="I38" s="205">
        <v>8.3699999999999992</v>
      </c>
      <c r="J38" s="203">
        <v>0</v>
      </c>
      <c r="K38" s="203">
        <v>0</v>
      </c>
      <c r="L38" s="203">
        <v>0</v>
      </c>
      <c r="M38" s="203">
        <v>0</v>
      </c>
      <c r="N38" s="203">
        <v>0</v>
      </c>
      <c r="O38" s="204"/>
    </row>
    <row r="39" spans="2:15">
      <c r="B39" s="207" t="s">
        <v>261</v>
      </c>
      <c r="D39" s="109">
        <v>0.9</v>
      </c>
      <c r="E39" s="109">
        <v>2.1</v>
      </c>
      <c r="F39" s="109">
        <v>9.09</v>
      </c>
      <c r="G39" s="92">
        <v>0</v>
      </c>
      <c r="H39" s="109">
        <v>1.1599999999999999</v>
      </c>
      <c r="I39" s="110">
        <v>0.6</v>
      </c>
      <c r="J39" s="110">
        <v>13.81</v>
      </c>
      <c r="K39" s="110">
        <v>0.21</v>
      </c>
      <c r="L39" s="110">
        <v>0.23</v>
      </c>
      <c r="M39" s="92">
        <v>0</v>
      </c>
      <c r="N39" s="92">
        <v>0</v>
      </c>
    </row>
    <row r="40" spans="2:15">
      <c r="B40" s="112" t="s">
        <v>262</v>
      </c>
      <c r="C40" s="30"/>
      <c r="D40" s="113">
        <f>D9+SUM(D12:D39)</f>
        <v>20024.919999999958</v>
      </c>
      <c r="E40" s="113">
        <f t="shared" ref="E40:M40" si="1">E9+SUM(E12:E39)</f>
        <v>33255.01999999999</v>
      </c>
      <c r="F40" s="113">
        <f t="shared" si="1"/>
        <v>20926.470000000008</v>
      </c>
      <c r="G40" s="113">
        <f t="shared" si="1"/>
        <v>31309.089999999997</v>
      </c>
      <c r="H40" s="113">
        <f t="shared" si="1"/>
        <v>3778.479999999965</v>
      </c>
      <c r="I40" s="113">
        <f t="shared" si="1"/>
        <v>56765.970000000045</v>
      </c>
      <c r="J40" s="113">
        <f t="shared" si="1"/>
        <v>-4449.8699999999953</v>
      </c>
      <c r="K40" s="113">
        <f t="shared" si="1"/>
        <v>15274.05999999999</v>
      </c>
      <c r="L40" s="113">
        <f t="shared" si="1"/>
        <v>99845.640000000014</v>
      </c>
      <c r="M40" s="113">
        <f t="shared" si="1"/>
        <v>173787</v>
      </c>
      <c r="N40" s="113">
        <f>N9+SUM(N12:N39)</f>
        <v>200661</v>
      </c>
      <c r="O40" s="130">
        <f>O9+SUM(O12:O39)</f>
        <v>216794</v>
      </c>
    </row>
    <row r="41" spans="2:15">
      <c r="B41" s="19"/>
      <c r="D41" s="109"/>
      <c r="E41" s="109"/>
      <c r="F41" s="109"/>
      <c r="G41" s="109"/>
      <c r="H41" s="109"/>
      <c r="I41" s="109"/>
      <c r="J41" s="110" t="s">
        <v>164</v>
      </c>
      <c r="K41" s="109"/>
      <c r="L41" s="109"/>
      <c r="M41" s="110"/>
      <c r="N41" s="109"/>
    </row>
    <row r="42" spans="2:15">
      <c r="B42" s="98" t="s">
        <v>235</v>
      </c>
      <c r="D42" s="109"/>
      <c r="E42" s="109"/>
      <c r="F42" s="109"/>
      <c r="G42" s="109"/>
      <c r="H42" s="109"/>
      <c r="I42" s="109"/>
      <c r="J42" s="109"/>
      <c r="K42" s="109"/>
      <c r="L42" s="109"/>
      <c r="M42" s="109"/>
      <c r="N42" s="109"/>
    </row>
    <row r="43" spans="2:15">
      <c r="B43" s="19" t="s">
        <v>263</v>
      </c>
      <c r="C43" s="111"/>
      <c r="D43" s="110">
        <v>2.0099999999999998</v>
      </c>
      <c r="E43" s="110">
        <v>-3013.81</v>
      </c>
      <c r="F43" s="110">
        <v>-2432.46</v>
      </c>
      <c r="G43" s="110">
        <v>-7775.66</v>
      </c>
      <c r="H43" s="110">
        <v>-9254</v>
      </c>
      <c r="I43" s="109">
        <v>-5350.98</v>
      </c>
      <c r="J43" s="109">
        <v>-7554.77</v>
      </c>
      <c r="K43" s="110">
        <v>-4666.1000000000004</v>
      </c>
      <c r="L43" s="110">
        <v>-5089.59</v>
      </c>
      <c r="M43" s="109">
        <v>-25342</v>
      </c>
      <c r="N43" s="109">
        <v>-42053</v>
      </c>
      <c r="O43" s="109">
        <v>-34531</v>
      </c>
    </row>
    <row r="44" spans="2:15">
      <c r="B44" s="98" t="s">
        <v>264</v>
      </c>
      <c r="C44" s="111"/>
      <c r="D44" s="109">
        <v>-654.02</v>
      </c>
      <c r="E44" s="109">
        <v>6.72</v>
      </c>
      <c r="F44" s="109">
        <v>-868.68</v>
      </c>
      <c r="G44" s="109">
        <v>-200.77</v>
      </c>
      <c r="H44" s="109">
        <v>-282.14</v>
      </c>
      <c r="I44" s="110">
        <v>-746.87</v>
      </c>
      <c r="J44" s="110">
        <v>-302.89999999999998</v>
      </c>
      <c r="K44" s="109">
        <v>-916.45</v>
      </c>
      <c r="L44" s="109">
        <v>-1830.04</v>
      </c>
      <c r="M44" s="110">
        <v>-337</v>
      </c>
      <c r="N44" s="110">
        <v>-1955</v>
      </c>
      <c r="O44" s="110">
        <v>-1645</v>
      </c>
    </row>
    <row r="45" spans="2:15">
      <c r="B45" s="19" t="s">
        <v>265</v>
      </c>
      <c r="C45" s="111"/>
      <c r="D45" s="109">
        <v>8607.2199999999993</v>
      </c>
      <c r="E45" s="109">
        <v>8842.66</v>
      </c>
      <c r="F45" s="109">
        <v>17338.75</v>
      </c>
      <c r="G45" s="109">
        <v>19548.02</v>
      </c>
      <c r="H45" s="109">
        <v>14115.38</v>
      </c>
      <c r="I45" s="109">
        <v>21188.880000000001</v>
      </c>
      <c r="J45" s="109">
        <v>-3462.49</v>
      </c>
      <c r="K45" s="110">
        <v>14393.47</v>
      </c>
      <c r="L45" s="110">
        <v>40291.18</v>
      </c>
      <c r="M45" s="109">
        <v>70379</v>
      </c>
      <c r="N45" s="109">
        <v>90242</v>
      </c>
      <c r="O45" s="109">
        <v>55410</v>
      </c>
    </row>
    <row r="46" spans="2:15">
      <c r="B46" s="98" t="s">
        <v>266</v>
      </c>
      <c r="D46" s="110">
        <v>-224.56</v>
      </c>
      <c r="E46" s="110">
        <v>-530.72</v>
      </c>
      <c r="F46" s="110">
        <v>-21.45</v>
      </c>
      <c r="G46" s="110">
        <v>-674.37</v>
      </c>
      <c r="H46" s="110">
        <v>-1406.8</v>
      </c>
      <c r="I46" s="110">
        <v>1011.08</v>
      </c>
      <c r="J46" s="110">
        <v>392.63</v>
      </c>
      <c r="K46" s="109">
        <v>-1195.3900000000001</v>
      </c>
      <c r="L46" s="109">
        <v>-2045.11</v>
      </c>
      <c r="M46" s="110">
        <v>-1197</v>
      </c>
      <c r="N46" s="110">
        <v>-1057</v>
      </c>
      <c r="O46" s="110">
        <v>1239</v>
      </c>
    </row>
    <row r="47" spans="2:15" s="33" customFormat="1">
      <c r="B47" s="33" t="s">
        <v>267</v>
      </c>
      <c r="D47" s="202">
        <v>34.51</v>
      </c>
      <c r="E47" s="202">
        <v>-1807.96</v>
      </c>
      <c r="F47" s="202">
        <v>7119.03</v>
      </c>
      <c r="G47" s="202">
        <v>4199.75</v>
      </c>
      <c r="H47" s="202">
        <v>25767.83</v>
      </c>
      <c r="I47" s="203">
        <v>0</v>
      </c>
      <c r="J47" s="203">
        <v>0</v>
      </c>
      <c r="K47" s="203">
        <v>0</v>
      </c>
      <c r="L47" s="203">
        <v>0</v>
      </c>
      <c r="M47" s="203">
        <v>0</v>
      </c>
      <c r="N47" s="203">
        <v>0</v>
      </c>
      <c r="O47" s="203">
        <v>0</v>
      </c>
    </row>
    <row r="48" spans="2:15">
      <c r="B48" s="114" t="s">
        <v>268</v>
      </c>
      <c r="C48" s="115"/>
      <c r="D48" s="116">
        <f>D40+SUM(D43:D47)</f>
        <v>27790.079999999958</v>
      </c>
      <c r="E48" s="116">
        <f t="shared" ref="E48:N48" si="2">E40+SUM(E43:E47)</f>
        <v>36751.909999999989</v>
      </c>
      <c r="F48" s="116">
        <f t="shared" si="2"/>
        <v>42061.66</v>
      </c>
      <c r="G48" s="116">
        <f t="shared" si="2"/>
        <v>46406.06</v>
      </c>
      <c r="H48" s="116">
        <f t="shared" si="2"/>
        <v>32718.749999999964</v>
      </c>
      <c r="I48" s="116">
        <f t="shared" si="2"/>
        <v>72868.080000000045</v>
      </c>
      <c r="J48" s="116">
        <f t="shared" si="2"/>
        <v>-15377.399999999996</v>
      </c>
      <c r="K48" s="116">
        <f t="shared" si="2"/>
        <v>22889.589999999989</v>
      </c>
      <c r="L48" s="116">
        <f t="shared" si="2"/>
        <v>131172.08000000002</v>
      </c>
      <c r="M48" s="116">
        <f t="shared" si="2"/>
        <v>217290</v>
      </c>
      <c r="N48" s="116">
        <f t="shared" si="2"/>
        <v>245838</v>
      </c>
      <c r="O48" s="116">
        <f>O40+SUM(O43:O47)</f>
        <v>237267</v>
      </c>
    </row>
    <row r="49" spans="2:15">
      <c r="B49" s="19"/>
      <c r="C49" s="111"/>
      <c r="D49" s="109"/>
      <c r="E49" s="109"/>
      <c r="F49" s="109"/>
      <c r="G49" s="109"/>
      <c r="H49" s="109"/>
      <c r="I49" s="109"/>
      <c r="J49" s="109"/>
      <c r="K49" s="110"/>
      <c r="L49" s="110"/>
      <c r="M49" s="109"/>
      <c r="N49" s="109"/>
    </row>
    <row r="50" spans="2:15">
      <c r="B50" s="98" t="s">
        <v>269</v>
      </c>
      <c r="D50" s="110">
        <v>-3951.24</v>
      </c>
      <c r="E50" s="110">
        <v>-5761.16</v>
      </c>
      <c r="F50" s="110">
        <v>-4240.96</v>
      </c>
      <c r="G50" s="110">
        <v>-7375.22</v>
      </c>
      <c r="H50" s="110">
        <v>-963.34</v>
      </c>
      <c r="I50" s="110">
        <v>-3150.26</v>
      </c>
      <c r="J50" s="110">
        <v>-764.14</v>
      </c>
      <c r="K50" s="109">
        <v>-1983.81</v>
      </c>
      <c r="L50" s="109">
        <v>-3892.69</v>
      </c>
      <c r="M50" s="110">
        <v>-5114</v>
      </c>
      <c r="N50" s="110">
        <v>-4325</v>
      </c>
      <c r="O50" s="110">
        <v>-2568</v>
      </c>
    </row>
    <row r="51" spans="2:15">
      <c r="B51" s="39" t="s">
        <v>270</v>
      </c>
      <c r="C51" s="30"/>
      <c r="D51" s="117">
        <f>D48+D50</f>
        <v>23838.83999999996</v>
      </c>
      <c r="E51" s="117">
        <f t="shared" ref="E51:O51" si="3">E48+E50</f>
        <v>30990.749999999989</v>
      </c>
      <c r="F51" s="117">
        <f t="shared" si="3"/>
        <v>37820.700000000004</v>
      </c>
      <c r="G51" s="117">
        <f t="shared" si="3"/>
        <v>39030.839999999997</v>
      </c>
      <c r="H51" s="117">
        <f t="shared" si="3"/>
        <v>31755.409999999963</v>
      </c>
      <c r="I51" s="117">
        <f t="shared" si="3"/>
        <v>69717.820000000051</v>
      </c>
      <c r="J51" s="117">
        <f t="shared" si="3"/>
        <v>-16141.539999999995</v>
      </c>
      <c r="K51" s="117">
        <f t="shared" si="3"/>
        <v>20905.779999999988</v>
      </c>
      <c r="L51" s="117">
        <f t="shared" si="3"/>
        <v>127279.39000000001</v>
      </c>
      <c r="M51" s="117">
        <f t="shared" si="3"/>
        <v>212176</v>
      </c>
      <c r="N51" s="117">
        <f t="shared" si="3"/>
        <v>241513</v>
      </c>
      <c r="O51" s="117">
        <f t="shared" si="3"/>
        <v>234699</v>
      </c>
    </row>
    <row r="52" spans="2:15">
      <c r="B52" s="98"/>
      <c r="D52" s="109"/>
      <c r="E52" s="109"/>
      <c r="F52" s="110"/>
      <c r="G52" s="109"/>
      <c r="H52" s="109"/>
      <c r="I52" s="109"/>
      <c r="J52" s="109" t="s">
        <v>164</v>
      </c>
      <c r="K52" s="109"/>
      <c r="L52" s="110"/>
      <c r="M52" s="109"/>
      <c r="N52" s="109"/>
    </row>
    <row r="53" spans="2:15">
      <c r="B53" s="18" t="s">
        <v>271</v>
      </c>
      <c r="D53" s="109"/>
      <c r="E53" s="109"/>
      <c r="F53" s="109"/>
      <c r="G53" s="109"/>
      <c r="H53" s="109"/>
      <c r="I53" s="109"/>
      <c r="J53" s="109"/>
      <c r="K53" s="109"/>
      <c r="L53" s="109"/>
      <c r="M53" s="109"/>
      <c r="N53" s="109"/>
    </row>
    <row r="54" spans="2:15">
      <c r="B54" s="98" t="s">
        <v>272</v>
      </c>
      <c r="D54" s="110">
        <v>-65074.52</v>
      </c>
      <c r="E54" s="110">
        <v>-59387.98</v>
      </c>
      <c r="F54" s="109">
        <v>-126733.58</v>
      </c>
      <c r="G54" s="110">
        <v>-157721.19</v>
      </c>
      <c r="H54" s="110">
        <v>-150080.54</v>
      </c>
      <c r="I54" s="110">
        <v>-230557.46</v>
      </c>
      <c r="J54" s="110">
        <v>-128822.39999999999</v>
      </c>
      <c r="K54" s="109">
        <v>-202685.26</v>
      </c>
      <c r="L54" s="109">
        <v>-292773.40999999997</v>
      </c>
      <c r="M54" s="110">
        <v>-237939</v>
      </c>
      <c r="N54" s="110">
        <v>-226798</v>
      </c>
      <c r="O54" s="110">
        <v>-440338</v>
      </c>
    </row>
    <row r="55" spans="2:15">
      <c r="B55" s="19" t="s">
        <v>273</v>
      </c>
      <c r="D55" s="109">
        <v>73657.73</v>
      </c>
      <c r="E55" s="109">
        <v>55186.61</v>
      </c>
      <c r="F55" s="110">
        <v>101228.56</v>
      </c>
      <c r="G55" s="109">
        <v>135185.63</v>
      </c>
      <c r="H55" s="109">
        <v>152198.98000000001</v>
      </c>
      <c r="I55" s="109">
        <v>207256.58</v>
      </c>
      <c r="J55" s="109">
        <v>154787.67000000001</v>
      </c>
      <c r="K55" s="110">
        <v>197361.86</v>
      </c>
      <c r="L55" s="110">
        <v>262858.34999999998</v>
      </c>
      <c r="M55" s="109">
        <v>198244</v>
      </c>
      <c r="N55" s="109">
        <v>146584</v>
      </c>
      <c r="O55" s="110">
        <v>440465</v>
      </c>
    </row>
    <row r="56" spans="2:15">
      <c r="B56" s="98" t="s">
        <v>274</v>
      </c>
      <c r="D56" s="110">
        <v>-7617.43</v>
      </c>
      <c r="E56" s="110">
        <v>-11606.71</v>
      </c>
      <c r="F56" s="109">
        <v>-15661.24</v>
      </c>
      <c r="G56" s="110">
        <v>-77145.929999999993</v>
      </c>
      <c r="H56" s="110">
        <v>-110132.31</v>
      </c>
      <c r="I56" s="110">
        <v>-94209.29</v>
      </c>
      <c r="J56" s="110">
        <v>-99558.59</v>
      </c>
      <c r="K56" s="109">
        <v>-177938.44</v>
      </c>
      <c r="L56" s="109">
        <v>-172651.41</v>
      </c>
      <c r="M56" s="110">
        <v>-217753</v>
      </c>
      <c r="N56" s="110">
        <v>-225906</v>
      </c>
      <c r="O56" s="110">
        <v>-288526</v>
      </c>
    </row>
    <row r="57" spans="2:15">
      <c r="B57" s="19" t="s">
        <v>275</v>
      </c>
      <c r="D57" s="109">
        <v>-1504.44</v>
      </c>
      <c r="E57" s="109">
        <v>1578.62</v>
      </c>
      <c r="F57" s="109">
        <v>3567.53</v>
      </c>
      <c r="G57" s="109">
        <v>64975.43</v>
      </c>
      <c r="H57" s="109">
        <v>94706.15</v>
      </c>
      <c r="I57" s="109">
        <v>78752.899999999994</v>
      </c>
      <c r="J57" s="109">
        <v>89567.28</v>
      </c>
      <c r="K57" s="110">
        <v>194766.58</v>
      </c>
      <c r="L57" s="110">
        <v>159316.71</v>
      </c>
      <c r="M57" s="109">
        <v>147875</v>
      </c>
      <c r="N57" s="109">
        <v>191233</v>
      </c>
      <c r="O57" s="110">
        <v>277995</v>
      </c>
    </row>
    <row r="58" spans="2:15">
      <c r="B58" s="98" t="s">
        <v>276</v>
      </c>
      <c r="D58" s="110">
        <v>1303.1199999999999</v>
      </c>
      <c r="E58" s="110">
        <v>3285.8</v>
      </c>
      <c r="F58" s="109">
        <v>3460.24</v>
      </c>
      <c r="G58" s="110">
        <v>5310.45</v>
      </c>
      <c r="H58" s="110">
        <v>5008.76</v>
      </c>
      <c r="I58" s="110">
        <v>3692.97</v>
      </c>
      <c r="J58" s="110">
        <v>1366.92</v>
      </c>
      <c r="K58" s="109">
        <v>915.5</v>
      </c>
      <c r="L58" s="109">
        <v>1568.31</v>
      </c>
      <c r="M58" s="110">
        <v>5758</v>
      </c>
      <c r="N58" s="110">
        <v>11320</v>
      </c>
      <c r="O58" s="110">
        <v>13526</v>
      </c>
    </row>
    <row r="59" spans="2:15">
      <c r="B59" s="19" t="s">
        <v>277</v>
      </c>
      <c r="D59" s="92">
        <v>0</v>
      </c>
      <c r="E59" s="92">
        <v>0</v>
      </c>
      <c r="F59" s="92">
        <v>0</v>
      </c>
      <c r="G59" s="92">
        <v>0</v>
      </c>
      <c r="H59" s="92">
        <v>0</v>
      </c>
      <c r="I59" s="92">
        <v>0</v>
      </c>
      <c r="J59" s="92">
        <v>0</v>
      </c>
      <c r="K59" s="92">
        <v>0</v>
      </c>
      <c r="L59" s="92">
        <v>0</v>
      </c>
      <c r="M59" s="109">
        <v>-9192</v>
      </c>
      <c r="N59" s="109">
        <v>-8097</v>
      </c>
      <c r="O59" s="110">
        <v>-5617</v>
      </c>
    </row>
    <row r="60" spans="2:15">
      <c r="B60" s="98" t="s">
        <v>278</v>
      </c>
      <c r="D60" s="92">
        <v>0</v>
      </c>
      <c r="E60" s="92">
        <v>0</v>
      </c>
      <c r="F60" s="92">
        <v>0</v>
      </c>
      <c r="G60" s="92">
        <v>0</v>
      </c>
      <c r="H60" s="92">
        <v>0</v>
      </c>
      <c r="I60" s="92">
        <v>0</v>
      </c>
      <c r="J60" s="109">
        <v>18833.68</v>
      </c>
      <c r="K60" s="110">
        <v>6006.43</v>
      </c>
      <c r="L60" s="110">
        <v>6740.71</v>
      </c>
      <c r="M60" s="92">
        <v>0</v>
      </c>
      <c r="N60" s="92">
        <v>0</v>
      </c>
      <c r="O60" s="110">
        <v>0</v>
      </c>
    </row>
    <row r="61" spans="2:15">
      <c r="B61" s="98" t="s">
        <v>279</v>
      </c>
      <c r="D61" s="110">
        <v>-10171.15</v>
      </c>
      <c r="E61" s="110">
        <v>-2319.9</v>
      </c>
      <c r="F61" s="109">
        <v>-2372.38</v>
      </c>
      <c r="G61" s="110">
        <v>-12202.15</v>
      </c>
      <c r="H61" s="110">
        <v>-17115.62</v>
      </c>
      <c r="I61" s="110">
        <v>-10883.06</v>
      </c>
      <c r="J61" s="110">
        <v>-4368.87</v>
      </c>
      <c r="K61" s="109">
        <v>-3468.81</v>
      </c>
      <c r="L61" s="109">
        <v>-5698.04</v>
      </c>
      <c r="M61" s="110">
        <v>-11026</v>
      </c>
      <c r="N61" s="110">
        <v>-16048</v>
      </c>
      <c r="O61" s="110">
        <v>-17101</v>
      </c>
    </row>
    <row r="62" spans="2:15">
      <c r="B62" s="19" t="s">
        <v>280</v>
      </c>
      <c r="D62" s="109">
        <v>1.63</v>
      </c>
      <c r="E62" s="109">
        <v>1.62</v>
      </c>
      <c r="F62" s="110">
        <v>6132.3</v>
      </c>
      <c r="G62" s="109">
        <v>2.4300000000000002</v>
      </c>
      <c r="H62" s="109">
        <v>54.07</v>
      </c>
      <c r="I62" s="109">
        <v>267.38</v>
      </c>
      <c r="J62" s="109">
        <v>164.69</v>
      </c>
      <c r="K62" s="110">
        <v>66.650000000000006</v>
      </c>
      <c r="L62" s="110">
        <v>43.9</v>
      </c>
      <c r="M62" s="109">
        <v>5943</v>
      </c>
      <c r="N62" s="109">
        <v>119</v>
      </c>
      <c r="O62" s="110">
        <v>71</v>
      </c>
    </row>
    <row r="63" spans="2:15">
      <c r="B63" s="112" t="s">
        <v>281</v>
      </c>
      <c r="C63" s="30"/>
      <c r="D63" s="117">
        <f>SUM(D54:D62)</f>
        <v>-9405.0600000000013</v>
      </c>
      <c r="E63" s="117">
        <f t="shared" ref="E63:O63" si="4">SUM(E54:E62)</f>
        <v>-13261.940000000002</v>
      </c>
      <c r="F63" s="117">
        <f t="shared" si="4"/>
        <v>-30378.570000000003</v>
      </c>
      <c r="G63" s="117">
        <f t="shared" si="4"/>
        <v>-41595.329999999987</v>
      </c>
      <c r="H63" s="117">
        <f t="shared" si="4"/>
        <v>-25360.510000000002</v>
      </c>
      <c r="I63" s="117">
        <f t="shared" si="4"/>
        <v>-45679.98</v>
      </c>
      <c r="J63" s="117">
        <f t="shared" si="4"/>
        <v>31970.380000000019</v>
      </c>
      <c r="K63" s="117">
        <f t="shared" si="4"/>
        <v>15024.509999999962</v>
      </c>
      <c r="L63" s="117">
        <f t="shared" si="4"/>
        <v>-40594.880000000012</v>
      </c>
      <c r="M63" s="117">
        <f t="shared" si="4"/>
        <v>-118090</v>
      </c>
      <c r="N63" s="117">
        <f t="shared" si="4"/>
        <v>-127593</v>
      </c>
      <c r="O63" s="117">
        <f t="shared" si="4"/>
        <v>-19525</v>
      </c>
    </row>
    <row r="64" spans="2:15">
      <c r="B64" s="19"/>
      <c r="D64" s="109"/>
      <c r="E64" s="109"/>
      <c r="F64" s="109"/>
      <c r="G64" s="109"/>
      <c r="H64" s="109"/>
      <c r="I64" s="109"/>
      <c r="J64" s="109"/>
      <c r="K64" s="109"/>
      <c r="L64" s="109"/>
      <c r="M64" s="109"/>
      <c r="N64" s="109"/>
    </row>
    <row r="65" spans="2:15">
      <c r="B65" s="107" t="s">
        <v>282</v>
      </c>
      <c r="D65" s="109"/>
      <c r="E65" s="109"/>
      <c r="F65" s="109"/>
      <c r="G65" s="109"/>
      <c r="H65" s="109"/>
      <c r="I65" s="109"/>
      <c r="J65" s="109"/>
      <c r="K65" s="109"/>
      <c r="L65" s="109"/>
      <c r="M65" s="109"/>
      <c r="N65" s="109"/>
    </row>
    <row r="66" spans="2:15">
      <c r="B66" s="19" t="s">
        <v>283</v>
      </c>
      <c r="D66" s="92">
        <v>0</v>
      </c>
      <c r="E66" s="92">
        <v>0</v>
      </c>
      <c r="F66" s="92">
        <v>0</v>
      </c>
      <c r="G66" s="92">
        <v>0</v>
      </c>
      <c r="H66" s="92">
        <v>0</v>
      </c>
      <c r="I66" s="109">
        <v>-8707.56</v>
      </c>
      <c r="J66" s="109">
        <v>-19967.919999999998</v>
      </c>
      <c r="K66" s="110">
        <v>-24893.18</v>
      </c>
      <c r="L66" s="110">
        <v>-41137.71</v>
      </c>
      <c r="M66" s="109">
        <v>-62422</v>
      </c>
      <c r="N66" s="109">
        <v>-69011</v>
      </c>
      <c r="O66" s="110">
        <v>-161802</v>
      </c>
    </row>
    <row r="67" spans="2:15">
      <c r="B67" s="98" t="s">
        <v>284</v>
      </c>
      <c r="D67" s="110">
        <v>-669.67</v>
      </c>
      <c r="E67" s="110">
        <v>-701.57</v>
      </c>
      <c r="F67" s="92">
        <v>0</v>
      </c>
      <c r="G67" s="110">
        <v>-533.41</v>
      </c>
      <c r="H67" s="110">
        <v>-770.09</v>
      </c>
      <c r="I67" s="110">
        <v>-13374.5</v>
      </c>
      <c r="J67" s="110">
        <v>-15928.23</v>
      </c>
      <c r="K67" s="109">
        <v>-19518.400000000001</v>
      </c>
      <c r="L67" s="109">
        <v>-26339.65</v>
      </c>
      <c r="M67" s="110">
        <v>-34353</v>
      </c>
      <c r="N67" s="110">
        <v>-40384</v>
      </c>
      <c r="O67" s="110">
        <v>-47229</v>
      </c>
    </row>
    <row r="68" spans="2:15">
      <c r="B68" s="19" t="s">
        <v>285</v>
      </c>
      <c r="D68" s="109">
        <v>8137.45</v>
      </c>
      <c r="E68" s="109">
        <v>843.7</v>
      </c>
      <c r="F68" s="109">
        <v>676.61</v>
      </c>
      <c r="G68" s="109">
        <v>449.77</v>
      </c>
      <c r="H68" s="109">
        <v>483.54</v>
      </c>
      <c r="I68" s="109">
        <v>420.61</v>
      </c>
      <c r="J68" s="109">
        <v>48442.04</v>
      </c>
      <c r="K68" s="110">
        <v>152358.54</v>
      </c>
      <c r="L68" s="110">
        <v>98332.44</v>
      </c>
      <c r="M68" s="109">
        <v>-2820</v>
      </c>
      <c r="N68" s="109">
        <v>-917</v>
      </c>
      <c r="O68" s="110">
        <v>63</v>
      </c>
    </row>
    <row r="69" spans="2:15">
      <c r="B69" t="s">
        <v>286</v>
      </c>
      <c r="D69" s="110">
        <v>-4320.32</v>
      </c>
      <c r="E69" s="110">
        <v>-11084.9</v>
      </c>
      <c r="F69" s="110">
        <v>-7526.39</v>
      </c>
      <c r="G69" s="110">
        <v>-2328.81</v>
      </c>
      <c r="H69" s="110">
        <v>-2561.9299999999998</v>
      </c>
      <c r="I69" s="92">
        <v>0</v>
      </c>
      <c r="J69" s="110">
        <v>-30099.91</v>
      </c>
      <c r="K69" s="109">
        <v>-138645.22</v>
      </c>
      <c r="L69" s="109">
        <v>-115058.77</v>
      </c>
      <c r="M69" s="92">
        <v>0</v>
      </c>
      <c r="N69" s="92">
        <v>0</v>
      </c>
      <c r="O69" s="110">
        <v>0</v>
      </c>
    </row>
    <row r="70" spans="2:15">
      <c r="B70" s="98" t="s">
        <v>287</v>
      </c>
      <c r="D70" s="109">
        <v>-100.46</v>
      </c>
      <c r="E70" s="109">
        <v>-123.76</v>
      </c>
      <c r="F70" s="109">
        <v>-168.77</v>
      </c>
      <c r="G70" s="109">
        <v>-209.2</v>
      </c>
      <c r="H70" s="109">
        <v>-292.64999999999998</v>
      </c>
      <c r="I70" s="109">
        <v>-340.1</v>
      </c>
      <c r="J70" s="109">
        <v>-292.04000000000002</v>
      </c>
      <c r="K70" s="110">
        <v>-456.71</v>
      </c>
      <c r="L70" s="110">
        <v>-344.57</v>
      </c>
      <c r="M70" s="110">
        <v>-607</v>
      </c>
      <c r="N70" s="110">
        <v>-260</v>
      </c>
      <c r="O70" s="110">
        <v>-144</v>
      </c>
    </row>
    <row r="71" spans="2:15">
      <c r="B71" s="98" t="s">
        <v>288</v>
      </c>
      <c r="D71" s="109">
        <v>-13575.3</v>
      </c>
      <c r="E71" s="109">
        <v>-11026.49</v>
      </c>
      <c r="F71" s="110">
        <v>-5422.03</v>
      </c>
      <c r="G71" s="110">
        <v>-12297.2</v>
      </c>
      <c r="H71" s="110">
        <v>-2306.36</v>
      </c>
      <c r="I71" s="110">
        <v>-1922.53</v>
      </c>
      <c r="J71" s="92">
        <v>0</v>
      </c>
      <c r="K71" s="92">
        <v>0</v>
      </c>
      <c r="L71" s="92">
        <v>0</v>
      </c>
      <c r="M71" s="92">
        <v>0</v>
      </c>
      <c r="N71" s="92">
        <v>0</v>
      </c>
      <c r="O71" s="110">
        <v>-3865</v>
      </c>
    </row>
    <row r="72" spans="2:15" s="33" customFormat="1">
      <c r="B72" s="33" t="s">
        <v>289</v>
      </c>
      <c r="D72" s="202">
        <v>-2552.83</v>
      </c>
      <c r="E72" s="202">
        <v>-2244.77</v>
      </c>
      <c r="F72" s="205">
        <v>-1103.8</v>
      </c>
      <c r="G72" s="205">
        <v>-2503.44</v>
      </c>
      <c r="H72" s="205">
        <v>-474.09</v>
      </c>
      <c r="I72" s="205">
        <v>-395.34</v>
      </c>
      <c r="J72" s="203">
        <v>0</v>
      </c>
      <c r="K72" s="203">
        <v>0</v>
      </c>
      <c r="L72" s="203">
        <v>0</v>
      </c>
      <c r="M72" s="203">
        <v>0</v>
      </c>
      <c r="N72" s="203">
        <v>0</v>
      </c>
      <c r="O72" s="202"/>
    </row>
    <row r="73" spans="2:15">
      <c r="B73" s="19" t="s">
        <v>290</v>
      </c>
      <c r="D73" s="92">
        <v>0</v>
      </c>
      <c r="E73" s="110">
        <v>11971.74</v>
      </c>
      <c r="F73" s="92">
        <v>0</v>
      </c>
      <c r="G73" s="109">
        <v>24852.45</v>
      </c>
      <c r="H73" s="92">
        <v>0</v>
      </c>
      <c r="I73" s="110">
        <v>240.69</v>
      </c>
      <c r="J73" s="110">
        <v>91.55</v>
      </c>
      <c r="K73" s="109">
        <v>273.10000000000002</v>
      </c>
      <c r="L73" s="109">
        <v>220.74</v>
      </c>
      <c r="M73" s="109">
        <v>413</v>
      </c>
      <c r="N73" s="109">
        <v>414</v>
      </c>
      <c r="O73" s="110">
        <v>37</v>
      </c>
    </row>
    <row r="74" spans="2:15">
      <c r="B74" t="s">
        <v>372</v>
      </c>
      <c r="D74" s="92"/>
      <c r="E74" s="110"/>
      <c r="F74" s="92"/>
      <c r="G74" s="109"/>
      <c r="H74" s="92"/>
      <c r="I74" s="110"/>
      <c r="J74" s="110"/>
      <c r="K74" s="109"/>
      <c r="L74" s="109"/>
      <c r="M74" s="109"/>
      <c r="N74" s="109"/>
      <c r="O74" s="110">
        <v>177</v>
      </c>
    </row>
    <row r="75" spans="2:15" s="33" customFormat="1">
      <c r="B75" s="33" t="s">
        <v>291</v>
      </c>
      <c r="D75" s="203">
        <v>0</v>
      </c>
      <c r="E75" s="203">
        <v>0</v>
      </c>
      <c r="F75" s="203">
        <v>0</v>
      </c>
      <c r="G75" s="205">
        <v>223.86</v>
      </c>
      <c r="H75" s="203">
        <v>0</v>
      </c>
      <c r="I75" s="203">
        <v>0</v>
      </c>
      <c r="J75" s="203">
        <v>0</v>
      </c>
      <c r="K75" s="203">
        <v>0</v>
      </c>
      <c r="L75" s="203">
        <v>0</v>
      </c>
      <c r="M75" s="203">
        <v>0</v>
      </c>
      <c r="N75" s="203">
        <v>0</v>
      </c>
      <c r="O75" s="202"/>
    </row>
    <row r="76" spans="2:15">
      <c r="B76" s="98" t="s">
        <v>292</v>
      </c>
      <c r="D76" s="92">
        <v>0</v>
      </c>
      <c r="E76" s="109">
        <v>166.41</v>
      </c>
      <c r="F76" s="109">
        <v>11.11</v>
      </c>
      <c r="G76" s="110">
        <v>5.53</v>
      </c>
      <c r="H76" s="92">
        <v>0</v>
      </c>
      <c r="I76" s="109">
        <v>3.89</v>
      </c>
      <c r="J76" s="109">
        <v>1.1399999999999999</v>
      </c>
      <c r="K76" s="110">
        <v>3.45</v>
      </c>
      <c r="L76" s="110">
        <v>2.92</v>
      </c>
      <c r="M76" s="110">
        <v>4</v>
      </c>
      <c r="N76" s="110">
        <v>4</v>
      </c>
      <c r="O76" s="110">
        <v>2</v>
      </c>
    </row>
    <row r="77" spans="2:15">
      <c r="B77" s="39" t="s">
        <v>293</v>
      </c>
      <c r="C77" s="30"/>
      <c r="D77" s="117">
        <f>SUM(D66:D76)</f>
        <v>-13081.13</v>
      </c>
      <c r="E77" s="117">
        <f t="shared" ref="E77:O77" si="5">SUM(E66:E76)</f>
        <v>-12199.640000000001</v>
      </c>
      <c r="F77" s="117">
        <f t="shared" si="5"/>
        <v>-13533.27</v>
      </c>
      <c r="G77" s="117">
        <f t="shared" si="5"/>
        <v>7659.5499999999993</v>
      </c>
      <c r="H77" s="117">
        <f t="shared" si="5"/>
        <v>-5921.58</v>
      </c>
      <c r="I77" s="117">
        <f t="shared" si="5"/>
        <v>-24074.839999999997</v>
      </c>
      <c r="J77" s="117">
        <f t="shared" si="5"/>
        <v>-17753.369999999995</v>
      </c>
      <c r="K77" s="117">
        <f t="shared" si="5"/>
        <v>-30878.419999999995</v>
      </c>
      <c r="L77" s="117">
        <f t="shared" si="5"/>
        <v>-84324.6</v>
      </c>
      <c r="M77" s="117">
        <f t="shared" si="5"/>
        <v>-99785</v>
      </c>
      <c r="N77" s="117">
        <f t="shared" si="5"/>
        <v>-110154</v>
      </c>
      <c r="O77" s="117">
        <f t="shared" si="5"/>
        <v>-212761</v>
      </c>
    </row>
    <row r="78" spans="2:15">
      <c r="B78" s="98"/>
      <c r="D78" s="109"/>
      <c r="E78" s="109"/>
      <c r="F78" s="109"/>
      <c r="G78" s="109"/>
      <c r="H78" s="109"/>
      <c r="I78" s="109"/>
      <c r="J78" s="109"/>
      <c r="K78" s="109"/>
      <c r="L78" s="109"/>
      <c r="M78" s="109"/>
      <c r="N78" s="109"/>
    </row>
    <row r="79" spans="2:15" ht="15" thickBot="1">
      <c r="B79" s="27" t="s">
        <v>294</v>
      </c>
      <c r="C79" s="31"/>
      <c r="D79" s="118">
        <f>D51+D63+D77</f>
        <v>1352.6499999999596</v>
      </c>
      <c r="E79" s="118">
        <f t="shared" ref="E79:O79" si="6">E51+E63+E77</f>
        <v>5529.1699999999855</v>
      </c>
      <c r="F79" s="118">
        <f t="shared" si="6"/>
        <v>-6091.1399999999994</v>
      </c>
      <c r="G79" s="118">
        <f t="shared" si="6"/>
        <v>5095.0600000000086</v>
      </c>
      <c r="H79" s="118">
        <f t="shared" si="6"/>
        <v>473.31999999996151</v>
      </c>
      <c r="I79" s="118">
        <f t="shared" si="6"/>
        <v>-36.999999999949068</v>
      </c>
      <c r="J79" s="118">
        <f t="shared" si="6"/>
        <v>-1924.5299999999716</v>
      </c>
      <c r="K79" s="118">
        <f t="shared" si="6"/>
        <v>5051.8699999999553</v>
      </c>
      <c r="L79" s="118">
        <f t="shared" si="6"/>
        <v>2359.9100000000035</v>
      </c>
      <c r="M79" s="118">
        <f t="shared" si="6"/>
        <v>-5699</v>
      </c>
      <c r="N79" s="118">
        <f t="shared" si="6"/>
        <v>3766</v>
      </c>
      <c r="O79" s="118">
        <f t="shared" si="6"/>
        <v>2413</v>
      </c>
    </row>
    <row r="80" spans="2:15">
      <c r="B80" s="98"/>
      <c r="D80" s="109"/>
      <c r="E80" s="109"/>
      <c r="F80" s="109"/>
      <c r="G80" s="109"/>
      <c r="H80" s="109"/>
      <c r="I80" s="109"/>
      <c r="J80" s="109"/>
      <c r="K80" s="109"/>
      <c r="L80" s="109"/>
      <c r="M80" s="109"/>
      <c r="N80" s="110" t="s">
        <v>164</v>
      </c>
    </row>
    <row r="81" spans="2:15">
      <c r="B81" s="19" t="s">
        <v>295</v>
      </c>
      <c r="D81" s="109">
        <v>8.4</v>
      </c>
      <c r="E81" s="109">
        <v>57.02</v>
      </c>
      <c r="F81" s="110">
        <v>47.44</v>
      </c>
      <c r="G81" s="110">
        <v>80.930000000000007</v>
      </c>
      <c r="H81" s="110">
        <v>103.67</v>
      </c>
      <c r="I81" s="110">
        <v>-56.51</v>
      </c>
      <c r="J81" s="110">
        <v>-177.28</v>
      </c>
      <c r="K81" s="110">
        <v>12.57</v>
      </c>
      <c r="L81" s="110">
        <v>166.49</v>
      </c>
      <c r="M81" s="109">
        <v>-27</v>
      </c>
      <c r="N81" s="109">
        <v>12</v>
      </c>
      <c r="O81" s="110">
        <v>95</v>
      </c>
    </row>
    <row r="82" spans="2:15">
      <c r="B82" s="107" t="s">
        <v>296</v>
      </c>
      <c r="D82" s="178"/>
      <c r="E82" s="178"/>
      <c r="F82" s="178"/>
      <c r="G82" s="178"/>
      <c r="H82" s="178"/>
      <c r="I82" s="178"/>
      <c r="J82" s="178"/>
      <c r="K82" s="178"/>
      <c r="L82" s="178"/>
      <c r="M82" s="178"/>
      <c r="N82" s="178"/>
      <c r="O82" s="179"/>
    </row>
    <row r="83" spans="2:15">
      <c r="B83" s="19" t="s">
        <v>297</v>
      </c>
      <c r="D83" s="110">
        <v>16.5</v>
      </c>
      <c r="E83" s="110">
        <v>21.42</v>
      </c>
      <c r="F83" s="110">
        <v>30.83</v>
      </c>
      <c r="G83" s="110">
        <v>43.17</v>
      </c>
      <c r="H83" s="110">
        <v>30.31</v>
      </c>
      <c r="I83" s="110">
        <v>48.89</v>
      </c>
      <c r="J83" s="110">
        <v>53.38</v>
      </c>
      <c r="K83" s="110">
        <v>6.46</v>
      </c>
      <c r="L83" s="110">
        <v>9.9499999999999993</v>
      </c>
      <c r="M83" s="109">
        <v>8</v>
      </c>
      <c r="N83" s="109">
        <v>18</v>
      </c>
      <c r="O83" s="110">
        <v>18</v>
      </c>
    </row>
    <row r="84" spans="2:15">
      <c r="B84" t="s">
        <v>298</v>
      </c>
      <c r="D84" s="109">
        <v>1</v>
      </c>
      <c r="E84" s="109">
        <v>0.09</v>
      </c>
      <c r="F84" s="92">
        <v>0</v>
      </c>
      <c r="G84" s="92">
        <v>0</v>
      </c>
      <c r="H84" s="92">
        <v>0</v>
      </c>
      <c r="I84" s="92">
        <v>0</v>
      </c>
      <c r="J84" s="92">
        <v>0</v>
      </c>
      <c r="K84" s="92">
        <v>0</v>
      </c>
      <c r="L84" s="92">
        <v>0</v>
      </c>
      <c r="M84" s="92">
        <v>0</v>
      </c>
      <c r="N84" s="92">
        <v>0</v>
      </c>
      <c r="O84" s="110"/>
    </row>
    <row r="85" spans="2:15">
      <c r="B85" s="107" t="s">
        <v>299</v>
      </c>
      <c r="D85" s="109"/>
      <c r="E85" s="109"/>
      <c r="F85" s="109"/>
      <c r="G85" s="109"/>
      <c r="H85" s="109"/>
      <c r="I85" s="109"/>
      <c r="J85" s="109"/>
      <c r="K85" s="109"/>
      <c r="L85" s="109"/>
      <c r="M85" s="109"/>
      <c r="N85" s="110" t="s">
        <v>164</v>
      </c>
      <c r="O85" s="110"/>
    </row>
    <row r="86" spans="2:15">
      <c r="B86" s="19" t="s">
        <v>300</v>
      </c>
      <c r="D86" s="109">
        <v>838.94</v>
      </c>
      <c r="E86" s="109">
        <v>2098.48</v>
      </c>
      <c r="F86" s="110">
        <v>2664.02</v>
      </c>
      <c r="G86" s="110">
        <v>1488.02</v>
      </c>
      <c r="H86" s="110">
        <v>5511.87</v>
      </c>
      <c r="I86" s="110">
        <v>5593.13</v>
      </c>
      <c r="J86" s="110">
        <v>1526.41</v>
      </c>
      <c r="K86" s="110">
        <v>1353.5</v>
      </c>
      <c r="L86" s="110">
        <v>3635.89</v>
      </c>
      <c r="M86" s="109">
        <v>6513</v>
      </c>
      <c r="N86" s="109">
        <v>6012</v>
      </c>
      <c r="O86" s="110">
        <v>4684</v>
      </c>
    </row>
    <row r="87" spans="2:15">
      <c r="B87" s="98" t="s">
        <v>301</v>
      </c>
      <c r="D87" s="110">
        <v>250</v>
      </c>
      <c r="E87" s="110">
        <v>347.5</v>
      </c>
      <c r="F87" s="109">
        <v>5358.83</v>
      </c>
      <c r="G87" s="92">
        <v>0</v>
      </c>
      <c r="H87" s="109">
        <v>1165</v>
      </c>
      <c r="I87" s="109">
        <v>1642.15</v>
      </c>
      <c r="J87" s="109">
        <v>5610.87</v>
      </c>
      <c r="K87" s="109">
        <v>3728.89</v>
      </c>
      <c r="L87" s="109">
        <v>6507.45</v>
      </c>
      <c r="M87" s="110">
        <v>6158</v>
      </c>
      <c r="N87" s="110">
        <v>923</v>
      </c>
      <c r="O87" s="110">
        <v>6029</v>
      </c>
    </row>
    <row r="88" spans="2:15" s="16" customFormat="1">
      <c r="B88" s="18"/>
      <c r="D88" s="108">
        <v>1106.44</v>
      </c>
      <c r="E88" s="108">
        <v>2467.4899999999998</v>
      </c>
      <c r="F88" s="213">
        <v>8053.68</v>
      </c>
      <c r="G88" s="213">
        <v>1531.19</v>
      </c>
      <c r="H88" s="213">
        <v>6707.18</v>
      </c>
      <c r="I88" s="213">
        <v>7284.17</v>
      </c>
      <c r="J88" s="213">
        <v>7190.66</v>
      </c>
      <c r="K88" s="213">
        <v>5088.8500000000004</v>
      </c>
      <c r="L88" s="213">
        <v>10153.290000000001</v>
      </c>
      <c r="M88" s="108">
        <v>12679</v>
      </c>
      <c r="N88" s="108">
        <v>6953</v>
      </c>
      <c r="O88" s="213">
        <v>10731</v>
      </c>
    </row>
    <row r="89" spans="2:15">
      <c r="B89" s="107" t="s">
        <v>302</v>
      </c>
      <c r="D89" s="109"/>
      <c r="E89" s="109"/>
      <c r="F89" s="109"/>
      <c r="G89" s="109"/>
      <c r="H89" s="109"/>
      <c r="I89" s="109"/>
      <c r="J89" s="109"/>
      <c r="K89" s="109"/>
      <c r="L89" s="109"/>
      <c r="M89" s="109"/>
      <c r="N89" s="110" t="s">
        <v>164</v>
      </c>
      <c r="O89" s="110"/>
    </row>
    <row r="90" spans="2:15">
      <c r="B90" s="19" t="s">
        <v>297</v>
      </c>
      <c r="D90" s="110">
        <v>21.42</v>
      </c>
      <c r="E90" s="110">
        <v>30.83</v>
      </c>
      <c r="F90" s="110">
        <v>43.17</v>
      </c>
      <c r="G90" s="110">
        <v>30.31</v>
      </c>
      <c r="H90" s="110">
        <v>48.89</v>
      </c>
      <c r="I90" s="110">
        <v>53.38</v>
      </c>
      <c r="J90" s="110">
        <v>6.46</v>
      </c>
      <c r="K90" s="110">
        <v>9.9499999999999993</v>
      </c>
      <c r="L90" s="110">
        <v>8.07</v>
      </c>
      <c r="M90" s="109">
        <v>18</v>
      </c>
      <c r="N90" s="109">
        <v>18</v>
      </c>
      <c r="O90" s="110">
        <v>12</v>
      </c>
    </row>
    <row r="91" spans="2:15">
      <c r="B91" t="s">
        <v>298</v>
      </c>
      <c r="D91" s="109">
        <v>0.09</v>
      </c>
      <c r="E91" s="92">
        <v>0</v>
      </c>
      <c r="F91" s="92">
        <v>0</v>
      </c>
      <c r="G91" s="92">
        <v>0</v>
      </c>
      <c r="H91" s="92">
        <v>0</v>
      </c>
      <c r="I91" s="92">
        <v>0</v>
      </c>
      <c r="J91" s="92">
        <v>0</v>
      </c>
      <c r="K91" s="92">
        <v>0</v>
      </c>
      <c r="L91" s="92">
        <v>0</v>
      </c>
      <c r="M91" s="92">
        <v>0</v>
      </c>
      <c r="N91" s="92">
        <v>0</v>
      </c>
      <c r="O91" s="110"/>
    </row>
    <row r="92" spans="2:15">
      <c r="B92" s="107" t="s">
        <v>299</v>
      </c>
      <c r="D92" s="110" t="s">
        <v>164</v>
      </c>
      <c r="E92" s="110"/>
      <c r="F92" s="109"/>
      <c r="G92" s="109"/>
      <c r="H92" s="109"/>
      <c r="I92" s="109"/>
      <c r="J92" s="109"/>
      <c r="K92" s="109"/>
      <c r="L92" s="109"/>
      <c r="M92" s="109"/>
      <c r="N92" s="110" t="s">
        <v>164</v>
      </c>
      <c r="O92" s="110"/>
    </row>
    <row r="93" spans="2:15" ht="13.8" customHeight="1">
      <c r="B93" s="19" t="s">
        <v>300</v>
      </c>
      <c r="D93" s="109">
        <v>2098.48</v>
      </c>
      <c r="E93" s="109">
        <v>2664.02</v>
      </c>
      <c r="F93" s="110">
        <v>1488.02</v>
      </c>
      <c r="G93" s="110">
        <v>5511.87</v>
      </c>
      <c r="H93" s="110">
        <v>5593.13</v>
      </c>
      <c r="I93" s="110">
        <v>1526.41</v>
      </c>
      <c r="J93" s="110">
        <v>1353.5</v>
      </c>
      <c r="K93" s="110">
        <v>3635.89</v>
      </c>
      <c r="L93" s="110">
        <v>6513.15</v>
      </c>
      <c r="M93" s="109">
        <v>6012</v>
      </c>
      <c r="N93" s="109">
        <v>4684</v>
      </c>
      <c r="O93" s="110">
        <v>3075</v>
      </c>
    </row>
    <row r="94" spans="2:15">
      <c r="B94" s="98" t="s">
        <v>301</v>
      </c>
      <c r="D94" s="110">
        <v>347.5</v>
      </c>
      <c r="E94" s="110">
        <v>5358.83</v>
      </c>
      <c r="F94" s="92">
        <v>0</v>
      </c>
      <c r="G94" s="109">
        <v>1165</v>
      </c>
      <c r="H94" s="109">
        <v>1642.15</v>
      </c>
      <c r="I94" s="109">
        <v>5610.87</v>
      </c>
      <c r="J94" s="109">
        <v>3728.89</v>
      </c>
      <c r="K94" s="109">
        <v>6507.45</v>
      </c>
      <c r="L94" s="109">
        <v>6158.47</v>
      </c>
      <c r="M94" s="110">
        <v>923</v>
      </c>
      <c r="N94" s="110">
        <v>6029</v>
      </c>
      <c r="O94" s="110">
        <v>10152</v>
      </c>
    </row>
    <row r="95" spans="2:15" s="16" customFormat="1">
      <c r="D95" s="108">
        <v>2467.4899999999998</v>
      </c>
      <c r="E95" s="108">
        <v>8053.68</v>
      </c>
      <c r="F95" s="108">
        <v>1531.19</v>
      </c>
      <c r="G95" s="213">
        <v>6707.18</v>
      </c>
      <c r="H95" s="213">
        <v>7284.17</v>
      </c>
      <c r="I95" s="213">
        <v>7190.66</v>
      </c>
      <c r="J95" s="213">
        <v>5088.8500000000004</v>
      </c>
      <c r="K95" s="213">
        <v>10153.290000000001</v>
      </c>
      <c r="L95" s="213">
        <v>12679.69</v>
      </c>
      <c r="M95" s="108">
        <v>6953</v>
      </c>
      <c r="N95" s="108">
        <v>10731</v>
      </c>
      <c r="O95" s="213">
        <v>13239</v>
      </c>
    </row>
    <row r="96" spans="2:15">
      <c r="C96" s="111"/>
      <c r="J96" s="111"/>
      <c r="O96" s="177"/>
    </row>
    <row r="97" spans="3:12">
      <c r="C97" s="111"/>
      <c r="D97" s="111"/>
      <c r="K97" s="111"/>
      <c r="L97" s="111"/>
    </row>
    <row r="98" spans="3:12">
      <c r="C98" s="111"/>
    </row>
    <row r="99" spans="3:12">
      <c r="C99" s="111"/>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F4C9C-1911-4409-8185-80D6BDEAF39F}">
  <dimension ref="B2:P140"/>
  <sheetViews>
    <sheetView showGridLines="0" workbookViewId="0">
      <pane ySplit="2" topLeftCell="A4" activePane="bottomLeft" state="frozen"/>
      <selection pane="bottomLeft" activeCell="E122" sqref="E122:O122"/>
    </sheetView>
  </sheetViews>
  <sheetFormatPr defaultRowHeight="14.4"/>
  <cols>
    <col min="1" max="1" width="1.88671875" customWidth="1"/>
    <col min="2" max="2" width="79.21875" customWidth="1"/>
    <col min="3" max="3" width="12.5546875" customWidth="1"/>
    <col min="4" max="4" width="12.33203125" customWidth="1"/>
    <col min="5" max="5" width="11.6640625" bestFit="1" customWidth="1"/>
    <col min="6" max="9" width="11.5546875" bestFit="1" customWidth="1"/>
    <col min="10" max="10" width="11.21875" customWidth="1"/>
    <col min="11" max="11" width="13.88671875" bestFit="1" customWidth="1"/>
    <col min="12" max="15" width="12.77734375" bestFit="1" customWidth="1"/>
    <col min="16" max="16" width="11.21875" bestFit="1" customWidth="1"/>
  </cols>
  <sheetData>
    <row r="2" spans="2:16">
      <c r="C2" s="5">
        <f t="shared" ref="C2" si="0">D2-1</f>
        <v>2019</v>
      </c>
      <c r="D2" s="5">
        <f t="shared" ref="D2" si="1">E2-1</f>
        <v>2020</v>
      </c>
      <c r="E2" s="5">
        <f t="shared" ref="E2:G2" si="2">F2-1</f>
        <v>2021</v>
      </c>
      <c r="F2" s="5">
        <f t="shared" si="2"/>
        <v>2022</v>
      </c>
      <c r="G2" s="5">
        <f t="shared" si="2"/>
        <v>2023</v>
      </c>
      <c r="H2" s="5">
        <f>I2-1</f>
        <v>2024</v>
      </c>
      <c r="I2" s="5">
        <v>2025</v>
      </c>
      <c r="J2" s="5">
        <v>2026</v>
      </c>
      <c r="K2" s="5">
        <f>J2+1</f>
        <v>2027</v>
      </c>
      <c r="L2" s="5">
        <f t="shared" ref="L2:O2" si="3">K2+1</f>
        <v>2028</v>
      </c>
      <c r="M2" s="5">
        <f t="shared" si="3"/>
        <v>2029</v>
      </c>
      <c r="N2" s="5">
        <f t="shared" si="3"/>
        <v>2030</v>
      </c>
      <c r="O2" s="5">
        <f t="shared" si="3"/>
        <v>2031</v>
      </c>
    </row>
    <row r="3" spans="2:16">
      <c r="B3" t="s">
        <v>336</v>
      </c>
      <c r="C3" s="111">
        <f>'Income Statement'!H12</f>
        <v>284967.71999999997</v>
      </c>
      <c r="D3" s="111">
        <f>'Income Statement'!I12</f>
        <v>357560.01</v>
      </c>
      <c r="E3" s="111">
        <f>'Income Statement'!J12</f>
        <v>146406.31</v>
      </c>
      <c r="F3" s="111">
        <f>'Income Statement'!K12</f>
        <v>259309.27</v>
      </c>
      <c r="G3" s="111">
        <f>'Income Statement'!L12</f>
        <v>544464.53</v>
      </c>
      <c r="H3" s="111">
        <f>'Income Statement'!M12</f>
        <v>689043</v>
      </c>
      <c r="I3" s="111">
        <f>'Income Statement'!N12</f>
        <v>808029</v>
      </c>
      <c r="J3" s="111">
        <v>849619</v>
      </c>
      <c r="K3" s="111">
        <f>K5+K9+K13+K17</f>
        <v>1017755.9950000001</v>
      </c>
      <c r="L3" s="111">
        <f>L5+L9+L13+L17</f>
        <v>1219460.6423124999</v>
      </c>
      <c r="M3" s="111">
        <f>M5+M9+M13+M17</f>
        <v>1461468.3178205311</v>
      </c>
      <c r="N3" s="111">
        <f>N5+N9+N13+N17</f>
        <v>1751869.8653767812</v>
      </c>
      <c r="O3" s="111">
        <f>O5+O9+O13+O17</f>
        <v>2100384.8756212294</v>
      </c>
    </row>
    <row r="4" spans="2:16" ht="93.6">
      <c r="E4" s="111"/>
      <c r="F4" s="111"/>
      <c r="G4" s="111"/>
      <c r="H4" s="111"/>
      <c r="I4" s="111"/>
      <c r="J4" s="111"/>
      <c r="K4" s="56">
        <f>K3/J3-1</f>
        <v>0.19789693380209261</v>
      </c>
      <c r="L4" s="56">
        <f t="shared" ref="L4:O4" si="4">L3/K3-1</f>
        <v>0.19818566365949031</v>
      </c>
      <c r="M4" s="56">
        <f t="shared" si="4"/>
        <v>0.19845468325169136</v>
      </c>
      <c r="N4" s="56">
        <f t="shared" si="4"/>
        <v>0.19870533217533048</v>
      </c>
      <c r="O4" s="56">
        <f t="shared" si="4"/>
        <v>0.19893886933747318</v>
      </c>
      <c r="P4" s="432"/>
    </row>
    <row r="5" spans="2:16">
      <c r="B5" t="s">
        <v>708</v>
      </c>
      <c r="C5">
        <v>269473.59999999998</v>
      </c>
      <c r="D5">
        <v>338408.67</v>
      </c>
      <c r="E5" s="111">
        <v>129619.69</v>
      </c>
      <c r="F5" s="111">
        <v>239102.72</v>
      </c>
      <c r="G5" s="111">
        <v>512577.6</v>
      </c>
      <c r="H5" s="111">
        <v>646089.29</v>
      </c>
      <c r="I5" s="111">
        <v>742111</v>
      </c>
      <c r="J5" s="111">
        <v>789026</v>
      </c>
      <c r="K5" s="111">
        <f>J5*K6+J5</f>
        <v>948803.76500000001</v>
      </c>
      <c r="L5" s="111">
        <f t="shared" ref="L5:O5" si="5">K5*L6+K5</f>
        <v>1140936.5274125</v>
      </c>
      <c r="M5" s="111">
        <f t="shared" si="5"/>
        <v>1371976.1742135312</v>
      </c>
      <c r="N5" s="111">
        <f t="shared" si="5"/>
        <v>1649801.3494917713</v>
      </c>
      <c r="O5" s="111">
        <f t="shared" si="5"/>
        <v>1983886.1227638549</v>
      </c>
    </row>
    <row r="6" spans="2:16">
      <c r="D6" s="56">
        <f>D5/C5-1</f>
        <v>0.2558138162699426</v>
      </c>
      <c r="E6" s="56">
        <f t="shared" ref="E6:J6" si="6">E5/D5-1</f>
        <v>-0.6169729043880583</v>
      </c>
      <c r="F6" s="56">
        <f t="shared" si="6"/>
        <v>0.8446481394917702</v>
      </c>
      <c r="G6" s="56">
        <f t="shared" si="6"/>
        <v>1.1437547845545208</v>
      </c>
      <c r="H6" s="56">
        <f t="shared" si="6"/>
        <v>0.26047117548640464</v>
      </c>
      <c r="I6" s="56">
        <f t="shared" si="6"/>
        <v>0.1486198757450381</v>
      </c>
      <c r="J6" s="56">
        <f t="shared" si="6"/>
        <v>6.3218305617353643E-2</v>
      </c>
      <c r="K6" s="225">
        <v>0.20250000000000001</v>
      </c>
      <c r="L6" s="225">
        <v>0.20250000000000001</v>
      </c>
      <c r="M6" s="225">
        <v>0.20250000000000001</v>
      </c>
      <c r="N6" s="225">
        <v>0.20250000000000001</v>
      </c>
      <c r="O6" s="225">
        <v>0.20250000000000001</v>
      </c>
    </row>
    <row r="7" spans="2:16">
      <c r="D7" s="56"/>
      <c r="E7" s="56"/>
      <c r="F7" s="56"/>
      <c r="G7" s="56"/>
      <c r="H7" s="56"/>
      <c r="I7" s="56"/>
      <c r="J7" s="34">
        <f>AVERAGE(D6:J6)</f>
        <v>0.29993617039671022</v>
      </c>
    </row>
    <row r="8" spans="2:16">
      <c r="D8" s="56"/>
      <c r="E8" s="56"/>
      <c r="F8" s="56"/>
      <c r="G8" s="56"/>
      <c r="H8" s="56"/>
      <c r="I8" s="56"/>
      <c r="J8" s="56"/>
    </row>
    <row r="9" spans="2:16">
      <c r="B9" t="s">
        <v>709</v>
      </c>
      <c r="C9">
        <v>8224.48</v>
      </c>
      <c r="D9">
        <v>10451.52</v>
      </c>
      <c r="E9" s="111">
        <v>11451.02</v>
      </c>
      <c r="F9" s="111">
        <v>14974.65</v>
      </c>
      <c r="G9" s="111">
        <v>15837.01</v>
      </c>
      <c r="H9" s="111">
        <v>17943.97</v>
      </c>
      <c r="I9" s="111">
        <v>22651</v>
      </c>
      <c r="J9" s="111">
        <v>24837</v>
      </c>
      <c r="K9" s="111">
        <f>J9*K10+J9</f>
        <v>28562.55</v>
      </c>
      <c r="L9" s="111">
        <f t="shared" ref="L9:O9" si="7">K9*L10+K9</f>
        <v>32846.932499999995</v>
      </c>
      <c r="M9" s="111">
        <f t="shared" si="7"/>
        <v>37773.972374999998</v>
      </c>
      <c r="N9" s="111">
        <f t="shared" si="7"/>
        <v>43440.068231249999</v>
      </c>
      <c r="O9" s="111">
        <f t="shared" si="7"/>
        <v>49956.078465937499</v>
      </c>
    </row>
    <row r="10" spans="2:16">
      <c r="D10" s="56">
        <f t="shared" ref="D10:J10" si="8">D9/C9-1</f>
        <v>0.27078186098087675</v>
      </c>
      <c r="E10" s="56">
        <f t="shared" si="8"/>
        <v>9.5632022901932068E-2</v>
      </c>
      <c r="F10" s="56">
        <f t="shared" si="8"/>
        <v>0.30771319934818031</v>
      </c>
      <c r="G10" s="56">
        <f t="shared" si="8"/>
        <v>5.7587990370392639E-2</v>
      </c>
      <c r="H10" s="56">
        <f t="shared" si="8"/>
        <v>0.13304026454488582</v>
      </c>
      <c r="I10" s="56">
        <f t="shared" si="8"/>
        <v>0.26231820494572822</v>
      </c>
      <c r="J10" s="56">
        <f t="shared" si="8"/>
        <v>9.6507880446779382E-2</v>
      </c>
      <c r="K10" s="225">
        <v>0.15</v>
      </c>
      <c r="L10" s="225">
        <v>0.15</v>
      </c>
      <c r="M10" s="225">
        <v>0.15</v>
      </c>
      <c r="N10" s="225">
        <v>0.15</v>
      </c>
      <c r="O10" s="225">
        <v>0.15</v>
      </c>
    </row>
    <row r="11" spans="2:16">
      <c r="D11" s="56"/>
      <c r="E11" s="56"/>
      <c r="F11" s="56"/>
      <c r="G11" s="56"/>
      <c r="H11" s="56"/>
      <c r="I11" s="56"/>
      <c r="J11" s="34">
        <f>AVERAGE(D10:J10)</f>
        <v>0.17479734621982504</v>
      </c>
    </row>
    <row r="12" spans="2:16">
      <c r="D12" s="56"/>
      <c r="E12" s="56"/>
      <c r="F12" s="56"/>
      <c r="G12" s="56"/>
      <c r="H12" s="56"/>
      <c r="I12" s="56"/>
      <c r="J12" s="56"/>
    </row>
    <row r="13" spans="2:16">
      <c r="B13" t="s">
        <v>710</v>
      </c>
      <c r="C13">
        <v>3954.12</v>
      </c>
      <c r="D13">
        <v>4828.3999999999996</v>
      </c>
      <c r="E13" s="111">
        <v>1028.25</v>
      </c>
      <c r="F13" s="111">
        <v>2462.31</v>
      </c>
      <c r="G13" s="111">
        <v>7662.06</v>
      </c>
      <c r="H13" s="111">
        <v>9835.39</v>
      </c>
      <c r="I13" s="111">
        <v>11424</v>
      </c>
      <c r="J13" s="111">
        <v>13226</v>
      </c>
      <c r="K13" s="111">
        <f>J13*K14+J13</f>
        <v>15606.68</v>
      </c>
      <c r="L13" s="111">
        <f t="shared" ref="L13:O13" si="9">K13*L14+K13</f>
        <v>18415.882400000002</v>
      </c>
      <c r="M13" s="111">
        <f t="shared" si="9"/>
        <v>21730.741232000004</v>
      </c>
      <c r="N13" s="111">
        <f t="shared" si="9"/>
        <v>25642.274653760003</v>
      </c>
      <c r="O13" s="111">
        <f t="shared" si="9"/>
        <v>30257.884091436805</v>
      </c>
    </row>
    <row r="14" spans="2:16">
      <c r="D14" s="56">
        <f t="shared" ref="D14:J14" si="10">D13/C13-1</f>
        <v>0.22110608681577681</v>
      </c>
      <c r="E14" s="56">
        <f t="shared" si="10"/>
        <v>-0.78704125590257634</v>
      </c>
      <c r="F14" s="56">
        <f t="shared" si="10"/>
        <v>1.3946608315098468</v>
      </c>
      <c r="G14" s="56">
        <f t="shared" si="10"/>
        <v>2.1117365400782195</v>
      </c>
      <c r="H14" s="56">
        <f t="shared" si="10"/>
        <v>0.28364826169463542</v>
      </c>
      <c r="I14" s="56">
        <f t="shared" si="10"/>
        <v>0.16151977705002052</v>
      </c>
      <c r="J14" s="56">
        <f t="shared" si="10"/>
        <v>0.15773809523809534</v>
      </c>
      <c r="K14" s="225">
        <v>0.18</v>
      </c>
      <c r="L14" s="225">
        <v>0.18</v>
      </c>
      <c r="M14" s="225">
        <v>0.18</v>
      </c>
      <c r="N14" s="225">
        <v>0.18</v>
      </c>
      <c r="O14" s="225">
        <v>0.18</v>
      </c>
    </row>
    <row r="15" spans="2:16">
      <c r="D15" s="56"/>
      <c r="E15" s="56"/>
      <c r="F15" s="56"/>
      <c r="G15" s="56"/>
      <c r="H15" s="56"/>
      <c r="I15" s="56"/>
      <c r="J15" s="34">
        <f>AVERAGE(D14:J14)</f>
        <v>0.50619547664057396</v>
      </c>
    </row>
    <row r="16" spans="2:16">
      <c r="D16" s="56"/>
      <c r="E16" s="56"/>
      <c r="F16" s="56"/>
      <c r="G16" s="56"/>
      <c r="H16" s="56"/>
      <c r="I16" s="56"/>
      <c r="J16" s="56"/>
    </row>
    <row r="17" spans="2:15">
      <c r="B17" t="s">
        <v>711</v>
      </c>
      <c r="C17" s="111">
        <f>C3-C5-C9-C13</f>
        <v>3315.5199999999959</v>
      </c>
      <c r="D17" s="111">
        <f>D3-D5-D9-D13</f>
        <v>3871.4200000000255</v>
      </c>
      <c r="E17" s="111">
        <f>E3-E5-E9-E13</f>
        <v>4307.3499999999949</v>
      </c>
      <c r="F17" s="111">
        <f t="shared" ref="F17" si="11">F3-F5-F9-F13</f>
        <v>2769.5899999999888</v>
      </c>
      <c r="G17" s="111">
        <f t="shared" ref="G17:H17" si="12">G3-G5-G9-G13</f>
        <v>8387.8600000000515</v>
      </c>
      <c r="H17" s="111">
        <f t="shared" si="12"/>
        <v>15174.349999999962</v>
      </c>
      <c r="I17" s="111">
        <f>I3-I5-I9-I13</f>
        <v>31843</v>
      </c>
      <c r="J17" s="111">
        <f>J3-J5-J9-J13</f>
        <v>22530</v>
      </c>
      <c r="K17" s="111">
        <f>J17*K18+J17</f>
        <v>24783</v>
      </c>
      <c r="L17" s="111">
        <f t="shared" ref="L17:O17" si="13">K17*L18+K17</f>
        <v>27261.3</v>
      </c>
      <c r="M17" s="111">
        <f t="shared" si="13"/>
        <v>29987.43</v>
      </c>
      <c r="N17" s="111">
        <f t="shared" si="13"/>
        <v>32986.173000000003</v>
      </c>
      <c r="O17" s="111">
        <f t="shared" si="13"/>
        <v>36284.790300000001</v>
      </c>
    </row>
    <row r="18" spans="2:15">
      <c r="D18" s="56">
        <f t="shared" ref="D18:J18" si="14">D17/C17-1</f>
        <v>0.16766600714217694</v>
      </c>
      <c r="E18" s="56">
        <f t="shared" si="14"/>
        <v>0.11260209432197144</v>
      </c>
      <c r="F18" s="56">
        <f>F17/E17-1</f>
        <v>-0.35700836941507141</v>
      </c>
      <c r="G18" s="56">
        <f t="shared" si="14"/>
        <v>2.0285565733556541</v>
      </c>
      <c r="H18" s="56">
        <f t="shared" si="14"/>
        <v>0.80908479636043862</v>
      </c>
      <c r="I18" s="56">
        <f t="shared" si="14"/>
        <v>1.0984753877431377</v>
      </c>
      <c r="J18" s="56">
        <f t="shared" si="14"/>
        <v>-0.2924661621078416</v>
      </c>
      <c r="K18" s="225">
        <v>0.1</v>
      </c>
      <c r="L18" s="225">
        <v>0.1</v>
      </c>
      <c r="M18" s="225">
        <v>0.1</v>
      </c>
      <c r="N18" s="225">
        <v>0.1</v>
      </c>
      <c r="O18" s="225">
        <v>0.1</v>
      </c>
    </row>
    <row r="19" spans="2:15">
      <c r="E19" s="111"/>
      <c r="F19" s="111"/>
      <c r="G19" s="111"/>
      <c r="H19" s="111"/>
      <c r="I19" s="111"/>
      <c r="J19" s="34">
        <f>AVERAGE(D18:J18)</f>
        <v>0.50955861820006654</v>
      </c>
      <c r="K19" s="265"/>
      <c r="L19" s="265"/>
      <c r="M19" s="265"/>
      <c r="N19" s="265"/>
      <c r="O19" s="265"/>
    </row>
    <row r="20" spans="2:15" ht="28.8">
      <c r="B20" s="376" t="s">
        <v>730</v>
      </c>
      <c r="E20" s="111"/>
      <c r="F20" s="111"/>
      <c r="G20" s="111"/>
      <c r="H20" s="111"/>
      <c r="I20" s="111"/>
      <c r="J20" s="111"/>
    </row>
    <row r="21" spans="2:15">
      <c r="E21" s="111"/>
      <c r="F21" s="111"/>
      <c r="G21" s="111"/>
      <c r="H21" s="111"/>
      <c r="I21" s="111"/>
      <c r="J21" s="111"/>
    </row>
    <row r="22" spans="2:15">
      <c r="B22" t="s">
        <v>337</v>
      </c>
      <c r="E22">
        <f>'Balance Sheet'!J21</f>
        <v>9498.1299999999992</v>
      </c>
      <c r="F22">
        <f>'Balance Sheet'!K21</f>
        <v>12266.99</v>
      </c>
      <c r="G22">
        <f>'Balance Sheet'!L21</f>
        <v>14971.32</v>
      </c>
      <c r="H22">
        <f>'Balance Sheet'!M21</f>
        <v>19161</v>
      </c>
      <c r="I22">
        <f>'Balance Sheet'!N21</f>
        <v>24169</v>
      </c>
      <c r="J22" s="111"/>
    </row>
    <row r="24" spans="2:15">
      <c r="B24" t="s">
        <v>338</v>
      </c>
      <c r="E24" s="56">
        <f>E22/E3</f>
        <v>6.4875140968992384E-2</v>
      </c>
      <c r="F24" s="56">
        <f>F22/F3</f>
        <v>4.7306407518713081E-2</v>
      </c>
      <c r="G24" s="56">
        <f>G22/G3</f>
        <v>2.7497328430191769E-2</v>
      </c>
      <c r="H24" s="56">
        <f>H22/H3</f>
        <v>2.78081338900475E-2</v>
      </c>
      <c r="I24" s="56">
        <f>I22/I3</f>
        <v>2.9911055172524747E-2</v>
      </c>
      <c r="J24" s="56"/>
    </row>
    <row r="26" spans="2:15">
      <c r="B26" t="s">
        <v>346</v>
      </c>
      <c r="E26">
        <f>'Balance Sheet'!J9</f>
        <v>7969.66</v>
      </c>
      <c r="F26">
        <f>'Balance Sheet'!K9</f>
        <v>8239.5300000000007</v>
      </c>
      <c r="G26">
        <f>'Balance Sheet'!L9</f>
        <v>11111.69</v>
      </c>
      <c r="H26">
        <f>'Balance Sheet'!M9</f>
        <v>19029</v>
      </c>
      <c r="I26">
        <f>'Balance Sheet'!N9</f>
        <v>26779</v>
      </c>
    </row>
    <row r="27" spans="2:15">
      <c r="B27" t="s">
        <v>347</v>
      </c>
      <c r="E27">
        <f>'Balance Sheet'!J11</f>
        <v>663.51</v>
      </c>
      <c r="F27">
        <f>'Balance Sheet'!K11</f>
        <v>1193.18</v>
      </c>
      <c r="G27">
        <f>'Balance Sheet'!L11</f>
        <v>0</v>
      </c>
      <c r="H27">
        <f>'Balance Sheet'!M11</f>
        <v>1</v>
      </c>
      <c r="I27">
        <f>'Balance Sheet'!N11</f>
        <v>7</v>
      </c>
    </row>
    <row r="29" spans="2:15">
      <c r="B29" t="s">
        <v>348</v>
      </c>
      <c r="E29" s="56">
        <f>E27/E26</f>
        <v>8.325449266342605E-2</v>
      </c>
      <c r="F29" s="56">
        <f t="shared" ref="F29:I29" si="15">F27/F26</f>
        <v>0.14481165794650908</v>
      </c>
      <c r="G29" s="56">
        <f t="shared" si="15"/>
        <v>0</v>
      </c>
      <c r="H29" s="56">
        <f t="shared" si="15"/>
        <v>5.2551368963161488E-5</v>
      </c>
      <c r="I29" s="56">
        <f t="shared" si="15"/>
        <v>2.6139885731356658E-4</v>
      </c>
      <c r="J29" s="56"/>
    </row>
    <row r="30" spans="2:15">
      <c r="E30" s="56"/>
      <c r="F30" s="56"/>
      <c r="G30" s="56"/>
      <c r="H30" s="56"/>
      <c r="I30" s="56"/>
      <c r="J30" s="56"/>
    </row>
    <row r="31" spans="2:15" ht="21">
      <c r="B31" s="156" t="s">
        <v>65</v>
      </c>
      <c r="C31" s="156"/>
      <c r="D31" s="156"/>
      <c r="E31" s="56"/>
      <c r="F31" s="56"/>
      <c r="G31" s="56"/>
      <c r="H31" s="56"/>
      <c r="I31" s="56"/>
      <c r="J31" s="56"/>
    </row>
    <row r="32" spans="2:15">
      <c r="B32" s="16" t="s">
        <v>350</v>
      </c>
      <c r="C32" s="16"/>
      <c r="D32" s="16"/>
      <c r="L32" s="157" t="s">
        <v>365</v>
      </c>
      <c r="M32" s="157" t="s">
        <v>364</v>
      </c>
    </row>
    <row r="33" spans="2:13">
      <c r="B33" t="s">
        <v>349</v>
      </c>
      <c r="E33">
        <v>15032.76</v>
      </c>
      <c r="F33">
        <v>15958.99</v>
      </c>
      <c r="G33">
        <v>20279.22</v>
      </c>
      <c r="H33" s="148">
        <v>30538.81</v>
      </c>
      <c r="I33" s="148">
        <v>42057</v>
      </c>
      <c r="J33">
        <v>135094</v>
      </c>
    </row>
    <row r="34" spans="2:13">
      <c r="B34" t="s">
        <v>351</v>
      </c>
      <c r="E34">
        <v>7072.06</v>
      </c>
      <c r="F34">
        <v>7719.46</v>
      </c>
      <c r="G34">
        <v>9167.5300000000007</v>
      </c>
      <c r="H34" s="148">
        <v>11509.69</v>
      </c>
      <c r="I34" s="148">
        <v>15278</v>
      </c>
      <c r="J34">
        <v>24223</v>
      </c>
    </row>
    <row r="35" spans="2:13">
      <c r="B35" s="16" t="s">
        <v>346</v>
      </c>
      <c r="C35" s="16"/>
      <c r="D35" s="16"/>
      <c r="E35" s="16">
        <f t="shared" ref="E35:J35" si="16">E33-E34</f>
        <v>7960.7</v>
      </c>
      <c r="F35" s="16">
        <f t="shared" si="16"/>
        <v>8239.5299999999988</v>
      </c>
      <c r="G35" s="16">
        <f t="shared" si="16"/>
        <v>11111.69</v>
      </c>
      <c r="H35" s="172">
        <f t="shared" si="16"/>
        <v>19029.120000000003</v>
      </c>
      <c r="I35" s="172">
        <f t="shared" si="16"/>
        <v>26779</v>
      </c>
      <c r="J35" s="172">
        <f t="shared" si="16"/>
        <v>110871</v>
      </c>
    </row>
    <row r="36" spans="2:13">
      <c r="B36" s="16"/>
      <c r="C36" s="16"/>
      <c r="D36" s="16"/>
      <c r="E36" s="16"/>
      <c r="F36" s="16"/>
      <c r="G36" s="16"/>
      <c r="H36" s="16"/>
      <c r="I36" s="16"/>
      <c r="J36" s="16"/>
    </row>
    <row r="37" spans="2:13">
      <c r="B37" t="s">
        <v>356</v>
      </c>
      <c r="E37">
        <v>3174.42</v>
      </c>
      <c r="F37">
        <v>2710.49</v>
      </c>
      <c r="G37">
        <v>2269.79</v>
      </c>
      <c r="H37" s="148">
        <v>2908</v>
      </c>
      <c r="I37" s="148">
        <v>4291</v>
      </c>
      <c r="J37" s="148">
        <v>9888</v>
      </c>
    </row>
    <row r="39" spans="2:13">
      <c r="B39" t="s">
        <v>358</v>
      </c>
      <c r="E39" s="22">
        <f>E33/E37</f>
        <v>4.7355926436955409</v>
      </c>
      <c r="F39" s="22">
        <f t="shared" ref="F39:I39" si="17">F33/F37</f>
        <v>5.8878616043593599</v>
      </c>
      <c r="G39" s="22">
        <f t="shared" si="17"/>
        <v>8.9344036232426802</v>
      </c>
      <c r="H39" s="22">
        <f t="shared" si="17"/>
        <v>10.501654057771665</v>
      </c>
      <c r="I39" s="22">
        <f t="shared" si="17"/>
        <v>9.8012118387322307</v>
      </c>
      <c r="J39" s="22"/>
      <c r="L39" s="22">
        <f t="shared" ref="L39:L40" si="18">AVERAGE(E39:I39)</f>
        <v>7.9721447535602952</v>
      </c>
      <c r="M39" s="22">
        <f t="shared" ref="M39:M40" si="19">MEDIAN(E39:I39)</f>
        <v>8.9344036232426802</v>
      </c>
    </row>
    <row r="40" spans="2:13">
      <c r="B40" t="s">
        <v>359</v>
      </c>
      <c r="E40" s="22">
        <f>E34/E37</f>
        <v>2.2278274456436136</v>
      </c>
      <c r="F40" s="22">
        <f t="shared" ref="F40:I40" si="20">F34/F37</f>
        <v>2.8479942740980415</v>
      </c>
      <c r="G40" s="22">
        <f t="shared" si="20"/>
        <v>4.0389331171606191</v>
      </c>
      <c r="H40" s="22">
        <f t="shared" si="20"/>
        <v>3.9579401650618986</v>
      </c>
      <c r="I40" s="22">
        <f t="shared" si="20"/>
        <v>3.5604754136564902</v>
      </c>
      <c r="J40" s="22"/>
      <c r="L40" s="22">
        <f t="shared" si="18"/>
        <v>3.3266340831241328</v>
      </c>
      <c r="M40" s="22">
        <f t="shared" si="19"/>
        <v>3.5604754136564902</v>
      </c>
    </row>
    <row r="41" spans="2:13">
      <c r="E41" s="22"/>
      <c r="F41" s="22"/>
      <c r="G41" s="22"/>
      <c r="H41" s="22"/>
      <c r="I41" s="22"/>
      <c r="J41" s="22"/>
    </row>
    <row r="42" spans="2:13">
      <c r="B42" t="s">
        <v>360</v>
      </c>
      <c r="E42" s="56">
        <f>E34/E33</f>
        <v>0.47044321867707595</v>
      </c>
      <c r="F42" s="56">
        <f t="shared" ref="F42:I42" si="21">F34/F33</f>
        <v>0.48370604906701492</v>
      </c>
      <c r="G42" s="56">
        <f t="shared" si="21"/>
        <v>0.45206521749850342</v>
      </c>
      <c r="H42" s="56">
        <f t="shared" si="21"/>
        <v>0.37688731158810707</v>
      </c>
      <c r="I42" s="56">
        <f t="shared" si="21"/>
        <v>0.36326889697315545</v>
      </c>
      <c r="J42" s="56"/>
      <c r="L42" s="34">
        <f>AVERAGE(E42:I42)</f>
        <v>0.42927413876077136</v>
      </c>
      <c r="M42" s="34">
        <f>MEDIAN(E42:I42)</f>
        <v>0.45206521749850342</v>
      </c>
    </row>
    <row r="43" spans="2:13">
      <c r="E43" s="56"/>
      <c r="F43" s="56"/>
      <c r="G43" s="56"/>
      <c r="H43" s="56"/>
      <c r="I43" s="56"/>
      <c r="J43" s="56"/>
      <c r="L43" s="34"/>
      <c r="M43" s="34"/>
    </row>
    <row r="44" spans="2:13">
      <c r="B44" t="s">
        <v>361</v>
      </c>
      <c r="E44" s="56">
        <f>E37/E35</f>
        <v>0.39876141545341492</v>
      </c>
      <c r="F44" s="56">
        <f t="shared" ref="F44:I44" si="22">F37/F35</f>
        <v>0.32896172475857244</v>
      </c>
      <c r="G44" s="56">
        <f t="shared" si="22"/>
        <v>0.20427045750916376</v>
      </c>
      <c r="H44" s="56">
        <f t="shared" si="22"/>
        <v>0.1528184172468301</v>
      </c>
      <c r="I44" s="56">
        <f t="shared" si="22"/>
        <v>0.16023749953321634</v>
      </c>
      <c r="J44" s="56"/>
      <c r="L44" s="34">
        <f t="shared" ref="L44:L48" si="23">AVERAGE(E44:I44)</f>
        <v>0.2490099029002395</v>
      </c>
      <c r="M44" s="34">
        <f t="shared" ref="M44:M48" si="24">MEDIAN(E44:I44)</f>
        <v>0.20427045750916376</v>
      </c>
    </row>
    <row r="45" spans="2:13">
      <c r="E45" s="56"/>
      <c r="F45" s="56"/>
      <c r="G45" s="56"/>
      <c r="H45" s="56"/>
      <c r="I45" s="56"/>
      <c r="J45" s="56"/>
      <c r="L45" s="34"/>
      <c r="M45" s="34"/>
    </row>
    <row r="46" spans="2:13">
      <c r="B46" t="s">
        <v>362</v>
      </c>
      <c r="E46" s="56">
        <f>E37/E33</f>
        <v>0.21116681168328372</v>
      </c>
      <c r="F46" s="56">
        <f t="shared" ref="F46:I46" si="25">F37/F33</f>
        <v>0.16984094858133253</v>
      </c>
      <c r="G46" s="56">
        <f t="shared" si="25"/>
        <v>0.11192688870676484</v>
      </c>
      <c r="H46" s="56">
        <f t="shared" si="25"/>
        <v>9.5223094809522693E-2</v>
      </c>
      <c r="I46" s="56">
        <f t="shared" si="25"/>
        <v>0.10202819982404832</v>
      </c>
      <c r="J46" s="56"/>
      <c r="L46" s="34">
        <f t="shared" si="23"/>
        <v>0.13803718872099041</v>
      </c>
      <c r="M46" s="34">
        <f t="shared" si="24"/>
        <v>0.11192688870676484</v>
      </c>
    </row>
    <row r="47" spans="2:13">
      <c r="E47" s="56"/>
      <c r="F47" s="56"/>
      <c r="G47" s="56"/>
      <c r="H47" s="56"/>
      <c r="I47" s="56"/>
      <c r="J47" s="56"/>
      <c r="L47" s="34"/>
      <c r="M47" s="34"/>
    </row>
    <row r="48" spans="2:13">
      <c r="B48" t="s">
        <v>363</v>
      </c>
      <c r="E48" s="56">
        <f>E37/'Income Statement'!J36</f>
        <v>9.6326132789883889E-2</v>
      </c>
      <c r="F48" s="56">
        <f>F37/'Income Statement'!K36</f>
        <v>7.7743706121109674E-2</v>
      </c>
      <c r="G48" s="56">
        <f>G37/'Income Statement'!L36</f>
        <v>4.7339049026936121E-2</v>
      </c>
      <c r="H48" s="56">
        <f>H37/'Income Statement'!M36</f>
        <v>4.5002940357176016E-2</v>
      </c>
      <c r="I48" s="56">
        <f>I37/'Income Statement'!N36</f>
        <v>5.7423887587822013E-2</v>
      </c>
      <c r="J48" s="56"/>
      <c r="L48" s="34">
        <f t="shared" si="23"/>
        <v>6.4767143176585537E-2</v>
      </c>
      <c r="M48" s="34">
        <f t="shared" si="24"/>
        <v>5.7423887587822013E-2</v>
      </c>
    </row>
    <row r="51" spans="2:13">
      <c r="B51" s="16" t="s">
        <v>352</v>
      </c>
      <c r="C51" s="16"/>
      <c r="D51" s="16"/>
    </row>
    <row r="52" spans="2:13">
      <c r="B52" t="s">
        <v>349</v>
      </c>
      <c r="E52">
        <v>261670.15</v>
      </c>
      <c r="F52">
        <v>315021.75</v>
      </c>
      <c r="G52">
        <v>410355.3</v>
      </c>
      <c r="H52">
        <v>544269</v>
      </c>
      <c r="I52">
        <v>755364</v>
      </c>
      <c r="J52">
        <v>815849</v>
      </c>
    </row>
    <row r="53" spans="2:13">
      <c r="B53" t="s">
        <v>351</v>
      </c>
      <c r="E53">
        <v>81808.44</v>
      </c>
      <c r="F53">
        <v>110640.27</v>
      </c>
      <c r="G53">
        <v>144990.35</v>
      </c>
      <c r="H53">
        <v>202246</v>
      </c>
      <c r="I53">
        <v>264625</v>
      </c>
      <c r="J53">
        <v>295309</v>
      </c>
    </row>
    <row r="54" spans="2:13">
      <c r="B54" s="16" t="s">
        <v>346</v>
      </c>
      <c r="C54" s="16"/>
      <c r="D54" s="16"/>
      <c r="E54" s="16">
        <f t="shared" ref="E54:J54" si="26">E52-E53</f>
        <v>179861.71</v>
      </c>
      <c r="F54" s="16">
        <f t="shared" si="26"/>
        <v>204381.47999999998</v>
      </c>
      <c r="G54" s="16">
        <f t="shared" si="26"/>
        <v>265364.94999999995</v>
      </c>
      <c r="H54" s="16">
        <f t="shared" si="26"/>
        <v>342023</v>
      </c>
      <c r="I54" s="16">
        <f t="shared" si="26"/>
        <v>490739</v>
      </c>
      <c r="J54" s="16">
        <f t="shared" si="26"/>
        <v>520540</v>
      </c>
    </row>
    <row r="55" spans="2:13">
      <c r="B55" s="16"/>
      <c r="C55" s="16"/>
      <c r="D55" s="16"/>
      <c r="E55" s="16"/>
      <c r="F55" s="16"/>
      <c r="G55" s="16"/>
      <c r="H55" s="16"/>
      <c r="I55" s="16"/>
      <c r="J55" s="16"/>
    </row>
    <row r="56" spans="2:13">
      <c r="B56" t="s">
        <v>356</v>
      </c>
      <c r="E56">
        <v>43617.03</v>
      </c>
      <c r="F56">
        <v>47782.44</v>
      </c>
      <c r="G56">
        <v>48627.39</v>
      </c>
      <c r="H56" s="148">
        <v>61186</v>
      </c>
      <c r="I56" s="148">
        <v>82299</v>
      </c>
      <c r="J56" s="148">
        <v>97978</v>
      </c>
    </row>
    <row r="57" spans="2:13">
      <c r="H57" s="148"/>
      <c r="I57" s="148"/>
      <c r="J57" s="148"/>
    </row>
    <row r="58" spans="2:13">
      <c r="B58" t="s">
        <v>358</v>
      </c>
      <c r="E58" s="22">
        <f>E52/E56</f>
        <v>5.9992656538054057</v>
      </c>
      <c r="F58" s="22">
        <f t="shared" ref="F58:I58" si="27">F52/F56</f>
        <v>6.5928351503188196</v>
      </c>
      <c r="G58" s="22">
        <f t="shared" si="27"/>
        <v>8.4387687679721246</v>
      </c>
      <c r="H58" s="22">
        <f t="shared" si="27"/>
        <v>8.8953191906645319</v>
      </c>
      <c r="I58" s="22">
        <f t="shared" si="27"/>
        <v>9.1782889221011192</v>
      </c>
      <c r="J58" s="22"/>
      <c r="L58" s="22">
        <f t="shared" ref="L58:L59" si="28">AVERAGE(E58:I58)</f>
        <v>7.8208955369723991</v>
      </c>
      <c r="M58" s="22">
        <f t="shared" ref="M58:M59" si="29">MEDIAN(E58:I58)</f>
        <v>8.4387687679721246</v>
      </c>
    </row>
    <row r="59" spans="2:13">
      <c r="B59" t="s">
        <v>359</v>
      </c>
      <c r="E59" s="22">
        <f>E53/E56</f>
        <v>1.8756077614638136</v>
      </c>
      <c r="F59" s="22">
        <f t="shared" ref="F59:I59" si="30">F53/F56</f>
        <v>2.3155006316127849</v>
      </c>
      <c r="G59" s="22">
        <f t="shared" si="30"/>
        <v>2.9816601302270183</v>
      </c>
      <c r="H59" s="22">
        <f t="shared" si="30"/>
        <v>3.3054293465825517</v>
      </c>
      <c r="I59" s="22">
        <f t="shared" si="30"/>
        <v>3.2154096647589885</v>
      </c>
      <c r="J59" s="22"/>
      <c r="L59" s="22">
        <f t="shared" si="28"/>
        <v>2.7387215069290312</v>
      </c>
      <c r="M59" s="22">
        <f t="shared" si="29"/>
        <v>2.9816601302270183</v>
      </c>
    </row>
    <row r="61" spans="2:13">
      <c r="B61" s="16" t="s">
        <v>91</v>
      </c>
      <c r="C61" s="16"/>
      <c r="D61" s="16"/>
    </row>
    <row r="62" spans="2:13">
      <c r="B62" t="s">
        <v>349</v>
      </c>
      <c r="E62">
        <v>1627.54</v>
      </c>
      <c r="F62">
        <v>1701.55</v>
      </c>
      <c r="G62">
        <v>1725.71</v>
      </c>
      <c r="H62">
        <v>2265</v>
      </c>
      <c r="I62">
        <v>2293</v>
      </c>
      <c r="J62">
        <v>2370</v>
      </c>
    </row>
    <row r="63" spans="2:13">
      <c r="B63" t="s">
        <v>355</v>
      </c>
      <c r="E63">
        <v>1295.26</v>
      </c>
      <c r="F63">
        <v>1485.93</v>
      </c>
      <c r="G63">
        <v>1618.44</v>
      </c>
      <c r="H63">
        <v>1782</v>
      </c>
      <c r="I63">
        <v>1994</v>
      </c>
      <c r="J63">
        <v>2210</v>
      </c>
    </row>
    <row r="64" spans="2:13">
      <c r="B64" s="16" t="s">
        <v>346</v>
      </c>
      <c r="C64" s="16"/>
      <c r="D64" s="16"/>
      <c r="E64" s="16">
        <f t="shared" ref="E64:J64" si="31">E62-E63</f>
        <v>332.28</v>
      </c>
      <c r="F64" s="16">
        <f t="shared" si="31"/>
        <v>215.61999999999989</v>
      </c>
      <c r="G64" s="16">
        <f t="shared" si="31"/>
        <v>107.26999999999998</v>
      </c>
      <c r="H64" s="16">
        <f t="shared" si="31"/>
        <v>483</v>
      </c>
      <c r="I64" s="16">
        <f t="shared" si="31"/>
        <v>299</v>
      </c>
      <c r="J64" s="16">
        <f t="shared" si="31"/>
        <v>160</v>
      </c>
    </row>
    <row r="66" spans="2:13">
      <c r="B66" t="s">
        <v>357</v>
      </c>
      <c r="E66">
        <v>203.01</v>
      </c>
      <c r="F66">
        <v>193.07</v>
      </c>
      <c r="G66">
        <v>132.51</v>
      </c>
      <c r="H66" s="148">
        <v>163</v>
      </c>
      <c r="I66" s="148">
        <v>212</v>
      </c>
      <c r="J66" s="148">
        <v>216</v>
      </c>
    </row>
    <row r="68" spans="2:13">
      <c r="B68" t="s">
        <v>358</v>
      </c>
      <c r="E68" s="22">
        <f>E62/E66</f>
        <v>8.017043495394315</v>
      </c>
      <c r="F68" s="22">
        <f t="shared" ref="F68:I68" si="32">F62/F66</f>
        <v>8.8131247733982487</v>
      </c>
      <c r="G68" s="22">
        <f t="shared" si="32"/>
        <v>13.023243528790282</v>
      </c>
      <c r="H68" s="22">
        <f t="shared" si="32"/>
        <v>13.895705521472392</v>
      </c>
      <c r="I68" s="22">
        <f t="shared" si="32"/>
        <v>10.816037735849056</v>
      </c>
      <c r="J68" s="22"/>
      <c r="L68" s="22">
        <f t="shared" ref="L68:L69" si="33">AVERAGE(E68:I68)</f>
        <v>10.913031010980859</v>
      </c>
      <c r="M68" s="22">
        <f t="shared" ref="M68:M69" si="34">MEDIAN(E68:I68)</f>
        <v>10.816037735849056</v>
      </c>
    </row>
    <row r="69" spans="2:13">
      <c r="B69" t="s">
        <v>359</v>
      </c>
      <c r="E69" s="22">
        <f>E63/E66</f>
        <v>6.3802768336535145</v>
      </c>
      <c r="F69" s="22">
        <f t="shared" ref="F69:I69" si="35">F63/F66</f>
        <v>7.6963277567721562</v>
      </c>
      <c r="G69" s="22">
        <f t="shared" si="35"/>
        <v>12.213719719266471</v>
      </c>
      <c r="H69" s="22">
        <f t="shared" si="35"/>
        <v>10.932515337423313</v>
      </c>
      <c r="I69" s="22">
        <f t="shared" si="35"/>
        <v>9.4056603773584904</v>
      </c>
      <c r="J69" s="22"/>
      <c r="L69" s="22">
        <f t="shared" si="33"/>
        <v>9.3257000048947898</v>
      </c>
      <c r="M69" s="22">
        <f t="shared" si="34"/>
        <v>9.4056603773584904</v>
      </c>
    </row>
    <row r="71" spans="2:13" ht="21">
      <c r="B71" s="156" t="s">
        <v>382</v>
      </c>
      <c r="C71" s="156"/>
      <c r="D71" s="156"/>
    </row>
    <row r="72" spans="2:13" ht="13.2" customHeight="1">
      <c r="B72" s="156"/>
      <c r="C72" s="156"/>
      <c r="D72" s="156"/>
    </row>
    <row r="73" spans="2:13" ht="13.2" customHeight="1">
      <c r="B73" t="s">
        <v>22</v>
      </c>
      <c r="E73" s="111">
        <f>'Income Statement'!J12</f>
        <v>146406.31</v>
      </c>
      <c r="F73" s="111">
        <f>'Income Statement'!K12</f>
        <v>259309.27</v>
      </c>
      <c r="G73" s="111">
        <f>'Income Statement'!L12</f>
        <v>544464.53</v>
      </c>
      <c r="H73" s="111">
        <f>'Income Statement'!M12</f>
        <v>689043</v>
      </c>
      <c r="I73" s="111">
        <f>'Income Statement'!N12</f>
        <v>808029</v>
      </c>
      <c r="J73" s="111">
        <f>'Income Statement'!O12</f>
        <v>849619</v>
      </c>
      <c r="L73" t="s">
        <v>365</v>
      </c>
      <c r="M73" t="s">
        <v>364</v>
      </c>
    </row>
    <row r="74" spans="2:13">
      <c r="B74" t="s">
        <v>382</v>
      </c>
      <c r="E74" s="111">
        <f>'Income Statement'!J51</f>
        <v>10369.64</v>
      </c>
      <c r="F74" s="111">
        <f>'Income Statement'!K51</f>
        <v>7255.98</v>
      </c>
      <c r="G74" s="111">
        <f>'Income Statement'!L51</f>
        <v>14349.65</v>
      </c>
      <c r="H74" s="111">
        <f>'Income Statement'!M51</f>
        <v>23269</v>
      </c>
      <c r="I74" s="111">
        <f>'Income Statement'!N51</f>
        <v>32953</v>
      </c>
      <c r="J74" s="111">
        <f>'Income Statement'!O51</f>
        <v>45515</v>
      </c>
    </row>
    <row r="75" spans="2:13">
      <c r="E75" s="56">
        <f>E74/E73</f>
        <v>7.0827821560423179E-2</v>
      </c>
      <c r="F75" s="56">
        <f t="shared" ref="F75:J75" si="36">F74/F73</f>
        <v>2.7981953749667336E-2</v>
      </c>
      <c r="G75" s="56">
        <f t="shared" si="36"/>
        <v>2.6355527696175173E-2</v>
      </c>
      <c r="H75" s="56">
        <f t="shared" si="36"/>
        <v>3.3770025963546543E-2</v>
      </c>
      <c r="I75" s="56">
        <f t="shared" si="36"/>
        <v>4.078195213290612E-2</v>
      </c>
      <c r="J75" s="56">
        <f t="shared" si="36"/>
        <v>5.3571071268415607E-2</v>
      </c>
      <c r="L75" s="34">
        <f>AVERAGE(E75:J75)</f>
        <v>4.2214725395188994E-2</v>
      </c>
      <c r="M75" s="34">
        <f>MEDIAN(E75:J75)</f>
        <v>3.7275989048226335E-2</v>
      </c>
    </row>
    <row r="77" spans="2:13">
      <c r="E77" s="56">
        <v>0.32262680481462852</v>
      </c>
      <c r="F77" s="56">
        <v>0.14241137619183455</v>
      </c>
      <c r="G77" s="56">
        <v>4.7572593939223182E-2</v>
      </c>
      <c r="H77" s="56">
        <v>0.10232888223231351</v>
      </c>
      <c r="I77" s="56">
        <v>9.5940863508611696E-2</v>
      </c>
      <c r="J77" s="56">
        <v>0.1012924616798824</v>
      </c>
      <c r="L77" s="34">
        <f>AVERAGE(E77:J77)</f>
        <v>0.13536216372774898</v>
      </c>
      <c r="M77" s="34">
        <f>AVERAGE(F77:K77)</f>
        <v>9.7909235510373074E-2</v>
      </c>
    </row>
    <row r="79" spans="2:13">
      <c r="E79" s="56">
        <v>0.10985578422132215</v>
      </c>
      <c r="F79" s="56">
        <v>2.9319275782157733E-2</v>
      </c>
      <c r="G79" s="56">
        <v>5.3199057797208571E-3</v>
      </c>
      <c r="H79" s="56">
        <v>9.4818465610999603E-2</v>
      </c>
      <c r="I79" s="56">
        <v>0.10361880576068433</v>
      </c>
      <c r="J79" s="56">
        <v>0.10317212774196434</v>
      </c>
      <c r="L79" s="34">
        <f>AVERAGE(E79:J79)</f>
        <v>7.4350727482808174E-2</v>
      </c>
      <c r="M79" s="34">
        <f>AVERAGE(F79:K79)</f>
        <v>6.7249716135105372E-2</v>
      </c>
    </row>
    <row r="81" spans="2:10" ht="21">
      <c r="B81" s="156" t="s">
        <v>379</v>
      </c>
      <c r="C81" s="156"/>
      <c r="D81" s="156"/>
    </row>
    <row r="82" spans="2:10" s="16" customFormat="1"/>
    <row r="83" spans="2:10">
      <c r="B83" s="215" t="s">
        <v>410</v>
      </c>
      <c r="C83" s="215"/>
      <c r="D83" s="215"/>
      <c r="E83">
        <v>16196.87</v>
      </c>
      <c r="F83">
        <v>19518.400000000001</v>
      </c>
      <c r="G83">
        <v>26339.65</v>
      </c>
      <c r="H83">
        <v>34763.129999999997</v>
      </c>
      <c r="I83">
        <v>41084</v>
      </c>
      <c r="J83">
        <v>48059</v>
      </c>
    </row>
    <row r="84" spans="2:10">
      <c r="B84" s="215" t="s">
        <v>411</v>
      </c>
      <c r="C84" s="215"/>
      <c r="D84" s="215"/>
      <c r="E84">
        <v>244.71</v>
      </c>
      <c r="F84">
        <v>470.46</v>
      </c>
      <c r="G84">
        <v>434.36</v>
      </c>
      <c r="H84">
        <v>513.91</v>
      </c>
      <c r="I84">
        <v>220</v>
      </c>
      <c r="J84">
        <v>142</v>
      </c>
    </row>
    <row r="85" spans="2:10">
      <c r="B85" s="215" t="s">
        <v>412</v>
      </c>
      <c r="C85" s="215"/>
      <c r="D85" s="215"/>
      <c r="E85">
        <v>4416.75</v>
      </c>
      <c r="F85">
        <v>3321.21</v>
      </c>
      <c r="G85">
        <v>4292.8900000000003</v>
      </c>
      <c r="H85">
        <v>6411.7</v>
      </c>
      <c r="I85">
        <v>9495</v>
      </c>
      <c r="J85">
        <v>10700</v>
      </c>
    </row>
    <row r="86" spans="2:10">
      <c r="B86" s="215" t="s">
        <v>413</v>
      </c>
      <c r="C86" s="215"/>
      <c r="D86" s="215"/>
      <c r="E86">
        <v>560.80999999999995</v>
      </c>
      <c r="F86">
        <v>90.87</v>
      </c>
      <c r="G86">
        <v>132.32</v>
      </c>
      <c r="H86">
        <v>0.25</v>
      </c>
      <c r="I86">
        <v>1</v>
      </c>
      <c r="J86">
        <v>7</v>
      </c>
    </row>
    <row r="87" spans="2:10">
      <c r="B87" s="215" t="s">
        <v>414</v>
      </c>
      <c r="C87" s="215"/>
      <c r="D87" s="215"/>
      <c r="E87">
        <v>0.69</v>
      </c>
      <c r="F87">
        <v>179.21</v>
      </c>
      <c r="G87">
        <v>118.09</v>
      </c>
      <c r="H87">
        <v>4.55</v>
      </c>
      <c r="I87">
        <v>0</v>
      </c>
      <c r="J87">
        <v>0</v>
      </c>
    </row>
    <row r="90" spans="2:10" ht="21">
      <c r="B90" s="156" t="s">
        <v>216</v>
      </c>
      <c r="C90" s="156"/>
      <c r="D90" s="156"/>
    </row>
    <row r="91" spans="2:10">
      <c r="B91" t="s">
        <v>415</v>
      </c>
      <c r="E91" s="101">
        <v>3816.28</v>
      </c>
      <c r="F91" s="101">
        <v>4161.71</v>
      </c>
      <c r="G91" s="101">
        <v>0</v>
      </c>
      <c r="H91" s="101">
        <v>0</v>
      </c>
      <c r="I91" s="101">
        <v>0</v>
      </c>
    </row>
    <row r="92" spans="2:10">
      <c r="B92" t="s">
        <v>416</v>
      </c>
      <c r="E92" s="101">
        <v>21239.95</v>
      </c>
      <c r="F92" s="101">
        <v>34805.65</v>
      </c>
      <c r="G92" s="101">
        <v>22523.37</v>
      </c>
      <c r="H92" s="101">
        <v>18917</v>
      </c>
      <c r="I92" s="101">
        <v>18000</v>
      </c>
      <c r="J92" s="101">
        <v>18063</v>
      </c>
    </row>
    <row r="93" spans="2:10" s="16" customFormat="1"/>
    <row r="94" spans="2:10" s="16" customFormat="1">
      <c r="B94" s="215" t="s">
        <v>417</v>
      </c>
      <c r="C94" s="215"/>
      <c r="D94" s="215"/>
      <c r="E94" s="216">
        <f>E84</f>
        <v>244.71</v>
      </c>
      <c r="F94" s="216">
        <f t="shared" ref="F94:J94" si="37">F84</f>
        <v>470.46</v>
      </c>
      <c r="G94" s="216">
        <f t="shared" si="37"/>
        <v>434.36</v>
      </c>
      <c r="H94" s="216">
        <f t="shared" si="37"/>
        <v>513.91</v>
      </c>
      <c r="I94" s="216">
        <f t="shared" si="37"/>
        <v>220</v>
      </c>
      <c r="J94" s="216">
        <f t="shared" si="37"/>
        <v>142</v>
      </c>
    </row>
    <row r="95" spans="2:10" s="16" customFormat="1">
      <c r="B95" t="s">
        <v>415</v>
      </c>
      <c r="C95"/>
      <c r="D95"/>
      <c r="E95" s="217">
        <f>E94/E91</f>
        <v>6.4122653474063748E-2</v>
      </c>
      <c r="F95" s="217">
        <f t="shared" ref="F95" si="38">F94/F91</f>
        <v>0.11304487818709136</v>
      </c>
      <c r="G95" s="217">
        <v>0</v>
      </c>
      <c r="H95" s="217">
        <v>0</v>
      </c>
      <c r="I95" s="217">
        <v>0</v>
      </c>
      <c r="J95" s="217">
        <v>0</v>
      </c>
    </row>
    <row r="96" spans="2:10" s="16" customFormat="1">
      <c r="B96" t="s">
        <v>416</v>
      </c>
      <c r="C96"/>
      <c r="D96"/>
      <c r="E96" s="217">
        <f>E94/E92</f>
        <v>1.1521213562178818E-2</v>
      </c>
      <c r="F96" s="217">
        <f t="shared" ref="F96:J96" si="39">F94/F92</f>
        <v>1.3516770984021272E-2</v>
      </c>
      <c r="G96" s="217">
        <f t="shared" si="39"/>
        <v>1.9284858349350033E-2</v>
      </c>
      <c r="H96" s="217">
        <f t="shared" si="39"/>
        <v>2.7166569752074852E-2</v>
      </c>
      <c r="I96" s="217">
        <f t="shared" si="39"/>
        <v>1.2222222222222223E-2</v>
      </c>
      <c r="J96" s="217">
        <f t="shared" si="39"/>
        <v>7.8613740796102533E-3</v>
      </c>
    </row>
    <row r="97" spans="2:12" s="16" customFormat="1">
      <c r="B97" s="16" t="s">
        <v>419</v>
      </c>
      <c r="E97" s="217"/>
      <c r="F97" s="216"/>
      <c r="G97" s="216"/>
      <c r="H97" s="216"/>
      <c r="I97" s="216"/>
      <c r="J97" s="216"/>
    </row>
    <row r="98" spans="2:12" s="16" customFormat="1">
      <c r="E98" s="216"/>
      <c r="F98" s="216"/>
      <c r="G98" s="216"/>
      <c r="H98" s="216"/>
      <c r="I98" s="216"/>
      <c r="J98" s="216"/>
    </row>
    <row r="99" spans="2:12">
      <c r="E99" s="101"/>
      <c r="F99" s="101"/>
      <c r="G99" s="101"/>
      <c r="H99" s="101"/>
      <c r="I99" s="101"/>
    </row>
    <row r="100" spans="2:12" ht="21">
      <c r="B100" s="156" t="s">
        <v>217</v>
      </c>
      <c r="C100" s="156"/>
      <c r="D100" s="156"/>
    </row>
    <row r="101" spans="2:12">
      <c r="B101" t="s">
        <v>415</v>
      </c>
      <c r="E101" s="101">
        <v>202805.34</v>
      </c>
      <c r="F101" s="101">
        <v>250586.59</v>
      </c>
      <c r="G101" s="101">
        <v>322246.09000000003</v>
      </c>
      <c r="H101" s="101">
        <v>378635</v>
      </c>
      <c r="I101" s="101">
        <v>546683</v>
      </c>
      <c r="J101" s="101">
        <v>644705</v>
      </c>
    </row>
    <row r="102" spans="2:12">
      <c r="B102" t="s">
        <v>416</v>
      </c>
      <c r="E102" s="101">
        <v>70734.97</v>
      </c>
      <c r="F102" s="101">
        <v>79224.42</v>
      </c>
      <c r="G102" s="101">
        <v>103772.67</v>
      </c>
      <c r="H102" s="101">
        <v>115249</v>
      </c>
      <c r="I102" s="101">
        <v>103415</v>
      </c>
      <c r="J102" s="101">
        <v>114724</v>
      </c>
    </row>
    <row r="103" spans="2:12" s="16" customFormat="1"/>
    <row r="104" spans="2:12">
      <c r="B104" s="215" t="s">
        <v>418</v>
      </c>
      <c r="C104" s="215"/>
      <c r="D104" s="215"/>
      <c r="E104">
        <f>E83</f>
        <v>16196.87</v>
      </c>
      <c r="F104">
        <f t="shared" ref="F104:J104" si="40">F83</f>
        <v>19518.400000000001</v>
      </c>
      <c r="G104">
        <f t="shared" si="40"/>
        <v>26339.65</v>
      </c>
      <c r="H104">
        <f t="shared" si="40"/>
        <v>34763.129999999997</v>
      </c>
      <c r="I104">
        <f t="shared" si="40"/>
        <v>41084</v>
      </c>
      <c r="J104">
        <f t="shared" si="40"/>
        <v>48059</v>
      </c>
    </row>
    <row r="105" spans="2:12">
      <c r="B105" t="s">
        <v>415</v>
      </c>
      <c r="E105" s="217">
        <f>E104/E101</f>
        <v>7.9864119948715354E-2</v>
      </c>
      <c r="F105" s="217">
        <f t="shared" ref="F105" si="41">F104/F101</f>
        <v>7.78908400485437E-2</v>
      </c>
      <c r="G105" s="217">
        <f t="shared" ref="G105" si="42">G104/G101</f>
        <v>8.1737686871545909E-2</v>
      </c>
      <c r="H105" s="217">
        <f t="shared" ref="H105" si="43">H104/H101</f>
        <v>9.1811718409550089E-2</v>
      </c>
      <c r="I105" s="217">
        <f t="shared" ref="I105" si="44">I104/I101</f>
        <v>7.515141315899708E-2</v>
      </c>
      <c r="J105" s="217">
        <f t="shared" ref="J105" si="45">J104/J101</f>
        <v>7.4544171365198031E-2</v>
      </c>
    </row>
    <row r="106" spans="2:12">
      <c r="B106" t="s">
        <v>416</v>
      </c>
      <c r="E106" s="217">
        <f>E104/E102</f>
        <v>0.22897966875507264</v>
      </c>
      <c r="F106" s="217">
        <f t="shared" ref="F106:J106" si="46">F104/F102</f>
        <v>0.24636848082952204</v>
      </c>
      <c r="G106" s="217">
        <f t="shared" si="46"/>
        <v>0.25382068322998724</v>
      </c>
      <c r="H106" s="217">
        <f t="shared" si="46"/>
        <v>0.30163498164843078</v>
      </c>
      <c r="I106" s="217">
        <f t="shared" si="46"/>
        <v>0.39727312285451821</v>
      </c>
      <c r="J106" s="217">
        <f t="shared" si="46"/>
        <v>0.41890973118092117</v>
      </c>
    </row>
    <row r="107" spans="2:12">
      <c r="E107" s="56"/>
    </row>
    <row r="108" spans="2:12">
      <c r="B108" s="16" t="s">
        <v>420</v>
      </c>
      <c r="C108" s="16"/>
      <c r="D108" s="16"/>
      <c r="E108" s="216">
        <f t="shared" ref="E108:J108" si="47">E91+E92</f>
        <v>25056.23</v>
      </c>
      <c r="F108" s="216">
        <f t="shared" si="47"/>
        <v>38967.360000000001</v>
      </c>
      <c r="G108" s="216">
        <f t="shared" si="47"/>
        <v>22523.37</v>
      </c>
      <c r="H108" s="216">
        <f t="shared" si="47"/>
        <v>18917</v>
      </c>
      <c r="I108" s="216">
        <f t="shared" si="47"/>
        <v>18000</v>
      </c>
      <c r="J108" s="216">
        <f t="shared" si="47"/>
        <v>18063</v>
      </c>
    </row>
    <row r="109" spans="2:12">
      <c r="B109" s="16" t="s">
        <v>421</v>
      </c>
      <c r="C109" s="16"/>
      <c r="D109" s="16"/>
      <c r="E109" s="216">
        <f t="shared" ref="E109:J109" si="48">E101+E102</f>
        <v>273540.31</v>
      </c>
      <c r="F109" s="216">
        <f t="shared" si="48"/>
        <v>329811.01</v>
      </c>
      <c r="G109" s="216">
        <f t="shared" si="48"/>
        <v>426018.76</v>
      </c>
      <c r="H109" s="216">
        <f t="shared" si="48"/>
        <v>493884</v>
      </c>
      <c r="I109" s="216">
        <f t="shared" si="48"/>
        <v>650098</v>
      </c>
      <c r="J109" s="216">
        <f t="shared" si="48"/>
        <v>759429</v>
      </c>
      <c r="K109" s="3" t="s">
        <v>365</v>
      </c>
      <c r="L109" s="3" t="s">
        <v>364</v>
      </c>
    </row>
    <row r="110" spans="2:12">
      <c r="B110" s="16" t="s">
        <v>128</v>
      </c>
      <c r="C110" s="16"/>
      <c r="D110" s="16"/>
      <c r="E110" s="16">
        <f>SUM(E83:E87)</f>
        <v>21419.83</v>
      </c>
      <c r="F110" s="16">
        <f>SUM(F83:F87)</f>
        <v>23580.149999999998</v>
      </c>
      <c r="G110" s="16">
        <f>SUM(G83:G87)</f>
        <v>31317.31</v>
      </c>
      <c r="H110" s="16">
        <f>SUM(H83:H87)</f>
        <v>41693.54</v>
      </c>
      <c r="I110" s="16">
        <f>SUM(I83:I86)</f>
        <v>50800</v>
      </c>
      <c r="J110" s="16">
        <f>SUM(J83:J86)</f>
        <v>58908</v>
      </c>
      <c r="K110" s="3"/>
      <c r="L110" s="3"/>
    </row>
    <row r="111" spans="2:12">
      <c r="B111" s="16" t="s">
        <v>422</v>
      </c>
      <c r="C111" s="16"/>
      <c r="D111" s="16"/>
      <c r="E111" s="56">
        <f>E110/SUM(E108:E109)</f>
        <v>7.1735024123186442E-2</v>
      </c>
      <c r="F111" s="56">
        <f t="shared" ref="F111:J111" si="49">F110/SUM(F108:F109)</f>
        <v>6.3941250133515148E-2</v>
      </c>
      <c r="G111" s="56">
        <f t="shared" si="49"/>
        <v>6.9820219563321739E-2</v>
      </c>
      <c r="H111" s="56">
        <f t="shared" si="49"/>
        <v>8.130549667414845E-2</v>
      </c>
      <c r="I111" s="56">
        <f t="shared" si="49"/>
        <v>7.6036749099682985E-2</v>
      </c>
      <c r="J111" s="56">
        <f t="shared" si="49"/>
        <v>7.5766695991727251E-2</v>
      </c>
      <c r="K111" s="218">
        <f>AVERAGE(B111:I111)</f>
        <v>7.256774791877095E-2</v>
      </c>
      <c r="L111" s="218">
        <f>MEDIAN(B111:I111)</f>
        <v>7.1735024123186442E-2</v>
      </c>
    </row>
    <row r="113" spans="2:16" ht="21">
      <c r="B113" s="156" t="s">
        <v>439</v>
      </c>
      <c r="C113" s="156"/>
      <c r="D113" s="156"/>
    </row>
    <row r="114" spans="2:16">
      <c r="B114" s="19" t="s">
        <v>77</v>
      </c>
      <c r="C114" s="19"/>
      <c r="D114" s="19"/>
      <c r="E114" s="19"/>
    </row>
    <row r="115" spans="2:16">
      <c r="B115" t="s">
        <v>22</v>
      </c>
      <c r="F115" s="171">
        <f>'3 Statement Model'!D54</f>
        <v>5088.8500000000004</v>
      </c>
      <c r="G115" s="171">
        <f>'3 Statement Model'!E54</f>
        <v>10153.290000000001</v>
      </c>
      <c r="H115" s="171">
        <f>'3 Statement Model'!F54</f>
        <v>12679.69</v>
      </c>
      <c r="I115" s="171">
        <f>'3 Statement Model'!G54</f>
        <v>6953</v>
      </c>
      <c r="J115" s="171">
        <f>'3 Statement Model'!H54</f>
        <v>10731</v>
      </c>
      <c r="K115" s="171">
        <f>'3 Statement Model'!I54</f>
        <v>13239</v>
      </c>
      <c r="L115" s="171">
        <f>'3 Statement Model'!J54</f>
        <v>12850.010783839816</v>
      </c>
      <c r="M115" s="171">
        <f>'3 Statement Model'!K54</f>
        <v>75594.011065737941</v>
      </c>
      <c r="N115" s="171">
        <f>'3 Statement Model'!L54</f>
        <v>30667.138506819974</v>
      </c>
      <c r="O115" s="171">
        <f>'3 Statement Model'!M54</f>
        <v>7441.8579310505738</v>
      </c>
      <c r="P115" s="171">
        <f>'3 Statement Model'!N54</f>
        <v>19363.638936836374</v>
      </c>
    </row>
    <row r="116" spans="2:16">
      <c r="F116" s="111">
        <f>'3 Statement Model'!D13</f>
        <v>146406.31</v>
      </c>
      <c r="G116" s="111">
        <f>'3 Statement Model'!E13</f>
        <v>259309.27</v>
      </c>
      <c r="H116" s="111">
        <f>'3 Statement Model'!F13</f>
        <v>544464.53</v>
      </c>
      <c r="I116" s="111">
        <f>'3 Statement Model'!G13</f>
        <v>689043</v>
      </c>
      <c r="J116" s="111">
        <f>'3 Statement Model'!H13</f>
        <v>808029</v>
      </c>
      <c r="K116" s="111">
        <f>'3 Statement Model'!I13</f>
        <v>849619</v>
      </c>
      <c r="L116" s="111">
        <f>'3 Statement Model'!J13</f>
        <v>1015783.43</v>
      </c>
      <c r="M116" s="111">
        <f>'3 Statement Model'!K13</f>
        <v>1214721.5549000001</v>
      </c>
      <c r="N116" s="111">
        <f>'3 Statement Model'!L13</f>
        <v>1452929.0716069997</v>
      </c>
      <c r="O116" s="111">
        <f>'3 Statement Model'!M13</f>
        <v>1738192.8294850097</v>
      </c>
      <c r="P116" s="111">
        <f>'3 Statement Model'!N13</f>
        <v>2079847.9291773739</v>
      </c>
    </row>
    <row r="117" spans="2:16">
      <c r="B117" t="s">
        <v>438</v>
      </c>
    </row>
    <row r="118" spans="2:16">
      <c r="F118" s="56">
        <f>F115/F116</f>
        <v>3.4758406246288155E-2</v>
      </c>
      <c r="G118" s="56">
        <f t="shared" ref="G118:P118" si="50">G115/G116</f>
        <v>3.9155137030002826E-2</v>
      </c>
      <c r="H118" s="56">
        <f t="shared" si="50"/>
        <v>2.3288367379965046E-2</v>
      </c>
      <c r="I118" s="56">
        <f t="shared" si="50"/>
        <v>1.0090807104926687E-2</v>
      </c>
      <c r="J118" s="56">
        <f t="shared" si="50"/>
        <v>1.3280463943744594E-2</v>
      </c>
      <c r="K118" s="56">
        <f t="shared" si="50"/>
        <v>1.5582278644898478E-2</v>
      </c>
      <c r="L118" s="56">
        <f t="shared" si="50"/>
        <v>1.2650344949848036E-2</v>
      </c>
      <c r="M118" s="56">
        <f t="shared" si="50"/>
        <v>6.2231554845473283E-2</v>
      </c>
      <c r="N118" s="56">
        <f t="shared" si="50"/>
        <v>2.1107113283170009E-2</v>
      </c>
      <c r="O118" s="56">
        <f t="shared" si="50"/>
        <v>4.2813764990938556E-3</v>
      </c>
      <c r="P118" s="56">
        <f t="shared" si="50"/>
        <v>9.3101224686629493E-3</v>
      </c>
    </row>
    <row r="121" spans="2:16">
      <c r="B121" s="16" t="s">
        <v>567</v>
      </c>
      <c r="C121" s="16"/>
      <c r="D121" s="16"/>
    </row>
    <row r="122" spans="2:16">
      <c r="B122" t="s">
        <v>568</v>
      </c>
      <c r="E122" s="111">
        <f>'3 Statement Model'!D81+'3 Statement Model'!D87</f>
        <v>298596.53999999998</v>
      </c>
      <c r="F122" s="111">
        <f>'3 Statement Model'!E81+'3 Statement Model'!E87</f>
        <v>368778.37</v>
      </c>
      <c r="G122" s="111">
        <f>'3 Statement Model'!F81+'3 Statement Model'!F87</f>
        <v>448542.13</v>
      </c>
      <c r="H122" s="111">
        <f>'3 Statement Model'!G81+'3 Statement Model'!G87</f>
        <v>512801</v>
      </c>
      <c r="I122" s="111">
        <f>'3 Statement Model'!H81+'3 Statement Model'!H87</f>
        <v>668098</v>
      </c>
      <c r="J122" s="111">
        <f>'3 Statement Model'!I81+'3 Statement Model'!I87</f>
        <v>777492</v>
      </c>
      <c r="K122" s="111">
        <f>'3 Statement Model'!J81+'3 Statement Model'!J87</f>
        <v>819149.93020000006</v>
      </c>
      <c r="L122" s="111">
        <f>'3 Statement Model'!K81+'3 Statement Model'!K87</f>
        <v>880848.28018600005</v>
      </c>
      <c r="M122" s="111">
        <f>'3 Statement Model'!L81+'3 Statement Model'!L87</f>
        <v>949736.69564997999</v>
      </c>
      <c r="N122" s="111">
        <f>'3 Statement Model'!M81+'3 Statement Model'!M87</f>
        <v>1004600.1542654013</v>
      </c>
      <c r="O122" s="111">
        <f>'3 Statement Model'!N81+'3 Statement Model'!N87</f>
        <v>1067656.9313850822</v>
      </c>
    </row>
    <row r="123" spans="2:16">
      <c r="B123" t="s">
        <v>570</v>
      </c>
      <c r="E123" s="111">
        <f>Assumptions!E122+'3 Statement Model'!D95+'3 Statement Model'!D96</f>
        <v>299705.12999999995</v>
      </c>
      <c r="F123" s="111">
        <f>Assumptions!F122+'3 Statement Model'!E95+'3 Statement Model'!E96</f>
        <v>308897.75</v>
      </c>
      <c r="G123" s="111">
        <f>Assumptions!G122+'3 Statement Model'!F95+'3 Statement Model'!F96</f>
        <v>386076.97</v>
      </c>
      <c r="H123" s="111">
        <f>Assumptions!H122+'3 Statement Model'!G95+'3 Statement Model'!G96</f>
        <v>532766</v>
      </c>
      <c r="I123" s="111">
        <f>Assumptions!I122+'3 Statement Model'!H95+'3 Statement Model'!H96</f>
        <v>761780</v>
      </c>
      <c r="J123" s="111">
        <f>Assumptions!J122+'3 Statement Model'!I95+'3 Statement Model'!I96</f>
        <v>847203</v>
      </c>
      <c r="K123" s="111">
        <f>Assumptions!K122+'3 Statement Model'!J95+'3 Statement Model'!J96</f>
        <v>898300.88375022809</v>
      </c>
      <c r="L123" s="111">
        <f>Assumptions!L122+'3 Statement Model'!K95+'3 Statement Model'!K96</f>
        <v>993890.34801523609</v>
      </c>
      <c r="M123" s="111">
        <f>Assumptions!M122+'3 Statement Model'!L95+'3 Statement Model'!L96</f>
        <v>1094999.5370831892</v>
      </c>
      <c r="N123" s="111">
        <f>Assumptions!N122+'3 Statement Model'!M95+'3 Statement Model'!M96</f>
        <v>1182717.9577811435</v>
      </c>
      <c r="O123" s="111">
        <f>Assumptions!O122+'3 Statement Model'!N95+'3 Statement Model'!N96</f>
        <v>1292466.5837784456</v>
      </c>
    </row>
    <row r="124" spans="2:16">
      <c r="B124" t="s">
        <v>567</v>
      </c>
      <c r="E124" s="271">
        <f t="shared" ref="E124:O124" si="51">E122/E123</f>
        <v>0.99630106431611642</v>
      </c>
      <c r="F124" s="271">
        <f t="shared" si="51"/>
        <v>1.1938525612439714</v>
      </c>
      <c r="G124" s="271">
        <f t="shared" si="51"/>
        <v>1.1617945768689597</v>
      </c>
      <c r="H124" s="271">
        <f t="shared" si="51"/>
        <v>0.96252576177909255</v>
      </c>
      <c r="I124" s="271">
        <f t="shared" si="51"/>
        <v>0.87702223739137286</v>
      </c>
      <c r="J124" s="56">
        <f t="shared" si="51"/>
        <v>0.91771629703860824</v>
      </c>
      <c r="K124" s="271">
        <f t="shared" si="51"/>
        <v>0.91188814908008498</v>
      </c>
      <c r="L124" s="271">
        <f t="shared" si="51"/>
        <v>0.88626303892076519</v>
      </c>
      <c r="M124" s="271">
        <f t="shared" si="51"/>
        <v>0.86733981475448485</v>
      </c>
      <c r="N124" s="271">
        <f t="shared" si="51"/>
        <v>0.84939959493816863</v>
      </c>
      <c r="O124" s="271">
        <f t="shared" si="51"/>
        <v>0.82606153596935061</v>
      </c>
    </row>
    <row r="126" spans="2:16">
      <c r="B126" s="16" t="s">
        <v>104</v>
      </c>
      <c r="C126" s="16"/>
      <c r="D126" s="16"/>
    </row>
    <row r="127" spans="2:16">
      <c r="B127" t="s">
        <v>568</v>
      </c>
      <c r="E127" s="111">
        <f>('3 Statement Model'!D81+'3 Statement Model'!D87)/$E$130</f>
        <v>29859.653999999999</v>
      </c>
      <c r="F127" s="111">
        <f>('3 Statement Model'!E81+'3 Statement Model'!E87)/$E$130</f>
        <v>36877.837</v>
      </c>
      <c r="G127" s="111">
        <f>('3 Statement Model'!F81+'3 Statement Model'!F87)/$E$130</f>
        <v>44854.213000000003</v>
      </c>
      <c r="H127" s="111">
        <f>('3 Statement Model'!G81+'3 Statement Model'!G87)/$E$130</f>
        <v>51280.1</v>
      </c>
      <c r="I127" s="111">
        <f>('3 Statement Model'!H81+'3 Statement Model'!H87)/$E$130</f>
        <v>66809.8</v>
      </c>
      <c r="J127" s="111">
        <f>('3 Statement Model'!I81+'3 Statement Model'!I87)/$E$130</f>
        <v>77749.2</v>
      </c>
    </row>
    <row r="128" spans="2:16">
      <c r="B128" t="s">
        <v>210</v>
      </c>
      <c r="E128" s="111">
        <f>'3 Statement Model'!D95+'3 Statement Model'!D96</f>
        <v>1108.5899999999997</v>
      </c>
      <c r="F128" s="111">
        <f>'3 Statement Model'!E95+'3 Statement Model'!E96</f>
        <v>-59880.619999999995</v>
      </c>
      <c r="G128" s="111">
        <f>'3 Statement Model'!F95+'3 Statement Model'!F96</f>
        <v>-62465.16</v>
      </c>
      <c r="H128" s="111">
        <f>'3 Statement Model'!G95+'3 Statement Model'!G96</f>
        <v>19965</v>
      </c>
      <c r="I128" s="111">
        <f>'3 Statement Model'!H95+'3 Statement Model'!H96</f>
        <v>93682</v>
      </c>
      <c r="J128" s="111">
        <f>'3 Statement Model'!I95+'3 Statement Model'!I96</f>
        <v>69711</v>
      </c>
    </row>
    <row r="129" spans="2:12">
      <c r="B129" t="s">
        <v>104</v>
      </c>
      <c r="E129" s="301">
        <f>E127/E128</f>
        <v>26.934803669526161</v>
      </c>
      <c r="F129" s="301">
        <f t="shared" ref="F129:I129" si="52">F127/F128</f>
        <v>-0.61585596475119997</v>
      </c>
      <c r="G129" s="301">
        <f t="shared" si="52"/>
        <v>-0.71806768765180462</v>
      </c>
      <c r="H129" s="301">
        <f t="shared" si="52"/>
        <v>2.5684998747808665</v>
      </c>
      <c r="I129" s="301">
        <f t="shared" si="52"/>
        <v>0.71315514186289797</v>
      </c>
      <c r="J129" s="230">
        <f>J122/J128</f>
        <v>11.153074837543572</v>
      </c>
    </row>
    <row r="130" spans="2:12">
      <c r="E130">
        <v>10</v>
      </c>
    </row>
    <row r="131" spans="2:12">
      <c r="B131" s="33" t="s">
        <v>568</v>
      </c>
      <c r="C131" s="33"/>
      <c r="D131" s="33"/>
      <c r="E131" s="304">
        <v>298.59654</v>
      </c>
      <c r="F131" s="304">
        <v>368.77</v>
      </c>
      <c r="G131" s="304">
        <v>448.54</v>
      </c>
      <c r="H131" s="304">
        <v>512.79999999999995</v>
      </c>
      <c r="I131" s="304">
        <v>668.09</v>
      </c>
      <c r="J131" s="304">
        <v>777.49</v>
      </c>
    </row>
    <row r="132" spans="2:12">
      <c r="B132" s="33" t="s">
        <v>617</v>
      </c>
      <c r="C132" s="33"/>
      <c r="D132" s="33"/>
      <c r="E132" s="304">
        <v>777.14</v>
      </c>
      <c r="F132" s="304">
        <v>774.04</v>
      </c>
      <c r="G132" s="304">
        <v>1150</v>
      </c>
      <c r="H132" s="304">
        <v>1820</v>
      </c>
      <c r="I132" s="304">
        <v>1960</v>
      </c>
      <c r="J132" s="304">
        <v>2060</v>
      </c>
    </row>
    <row r="133" spans="2:12">
      <c r="B133" s="33" t="s">
        <v>104</v>
      </c>
      <c r="C133" s="33"/>
      <c r="D133" s="33"/>
      <c r="E133" s="305">
        <f>E131/E132</f>
        <v>0.38422490156213812</v>
      </c>
      <c r="F133" s="305">
        <f t="shared" ref="F133" si="53">F131/F132</f>
        <v>0.47642240711074363</v>
      </c>
      <c r="G133" s="305">
        <f t="shared" ref="G133" si="54">G131/G132</f>
        <v>0.39003478260869567</v>
      </c>
      <c r="H133" s="305">
        <f t="shared" ref="H133" si="55">H131/H132</f>
        <v>0.28175824175824171</v>
      </c>
      <c r="I133" s="305">
        <f t="shared" ref="I133" si="56">I131/I132</f>
        <v>0.34086224489795919</v>
      </c>
      <c r="J133" s="305">
        <f t="shared" ref="J133" si="57">J131/J132</f>
        <v>0.37742233009708737</v>
      </c>
    </row>
    <row r="134" spans="2:12">
      <c r="L134" s="351"/>
    </row>
    <row r="135" spans="2:12">
      <c r="B135" s="33" t="s">
        <v>568</v>
      </c>
      <c r="C135" s="33"/>
      <c r="D135" s="33"/>
    </row>
    <row r="136" spans="2:12">
      <c r="B136" s="33" t="s">
        <v>617</v>
      </c>
      <c r="C136" s="33"/>
      <c r="D136" s="33"/>
      <c r="E136" s="84">
        <v>77714</v>
      </c>
      <c r="F136" s="84">
        <v>77404</v>
      </c>
      <c r="G136" s="84">
        <v>115000</v>
      </c>
      <c r="H136" s="84">
        <v>182000</v>
      </c>
      <c r="I136" s="84">
        <v>196000</v>
      </c>
      <c r="J136" s="84">
        <v>206000</v>
      </c>
      <c r="K136" s="56"/>
    </row>
    <row r="137" spans="2:12">
      <c r="B137" s="33" t="s">
        <v>570</v>
      </c>
      <c r="C137" s="33"/>
      <c r="D137" s="33"/>
      <c r="E137" s="352">
        <f>E127+E136</f>
        <v>107573.65399999999</v>
      </c>
      <c r="F137" s="352">
        <f t="shared" ref="F137:I137" si="58">F127+F136</f>
        <v>114281.837</v>
      </c>
      <c r="G137" s="352">
        <f t="shared" si="58"/>
        <v>159854.21299999999</v>
      </c>
      <c r="H137" s="352">
        <f t="shared" si="58"/>
        <v>233280.1</v>
      </c>
      <c r="I137" s="352">
        <f t="shared" si="58"/>
        <v>262809.8</v>
      </c>
      <c r="J137" s="352">
        <f>J127+J136</f>
        <v>283749.2</v>
      </c>
    </row>
    <row r="138" spans="2:12">
      <c r="B138" t="s">
        <v>567</v>
      </c>
      <c r="E138" s="56">
        <f>E127/E137</f>
        <v>0.27757404243235989</v>
      </c>
      <c r="F138" s="56">
        <f t="shared" ref="F138:I138" si="59">F127/F137</f>
        <v>0.32269202148019371</v>
      </c>
      <c r="G138" s="56">
        <f t="shared" si="59"/>
        <v>0.28059450018999504</v>
      </c>
      <c r="H138" s="56">
        <f t="shared" si="59"/>
        <v>0.21982200796381687</v>
      </c>
      <c r="I138" s="56">
        <f t="shared" si="59"/>
        <v>0.25421350345382859</v>
      </c>
      <c r="J138" s="56">
        <f>J127/J137</f>
        <v>0.27400676371951005</v>
      </c>
    </row>
    <row r="139" spans="2:12">
      <c r="J139">
        <f>J127/J136</f>
        <v>0.37742330097087379</v>
      </c>
    </row>
    <row r="140" spans="2:12">
      <c r="E140" s="230">
        <f>E122/E136</f>
        <v>3.8422490156213809</v>
      </c>
      <c r="F140" s="230">
        <f t="shared" ref="F140:J140" si="60">F122/F136</f>
        <v>4.7643322050540027</v>
      </c>
      <c r="G140" s="230">
        <f t="shared" si="60"/>
        <v>3.900366347826087</v>
      </c>
      <c r="H140" s="230">
        <f t="shared" si="60"/>
        <v>2.8175879120879119</v>
      </c>
      <c r="I140" s="230">
        <f t="shared" si="60"/>
        <v>3.4086632653061226</v>
      </c>
      <c r="J140" s="230">
        <f t="shared" si="60"/>
        <v>3.774233009708738</v>
      </c>
    </row>
  </sheetData>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700F8-5227-4EDF-BD53-4AA2117B7915}">
  <dimension ref="B2:P85"/>
  <sheetViews>
    <sheetView showGridLines="0" workbookViewId="0">
      <selection activeCell="P19" sqref="P19"/>
    </sheetView>
  </sheetViews>
  <sheetFormatPr defaultRowHeight="14.4"/>
  <cols>
    <col min="1" max="1" width="1.88671875" customWidth="1"/>
    <col min="2" max="2" width="31.109375" customWidth="1"/>
    <col min="3" max="3" width="16" customWidth="1"/>
    <col min="4" max="4" width="16.33203125" customWidth="1"/>
    <col min="5" max="5" width="15.44140625" customWidth="1"/>
    <col min="6" max="6" width="16" customWidth="1"/>
    <col min="8" max="8" width="10.77734375" customWidth="1"/>
    <col min="9" max="9" width="14.33203125" customWidth="1"/>
    <col min="10" max="15" width="10.77734375" customWidth="1"/>
    <col min="16" max="16" width="21.77734375" customWidth="1"/>
  </cols>
  <sheetData>
    <row r="2" spans="2:16" ht="15.6">
      <c r="B2" s="266" t="s">
        <v>452</v>
      </c>
      <c r="C2" s="267" t="s">
        <v>463</v>
      </c>
      <c r="D2" s="268">
        <v>44560</v>
      </c>
      <c r="E2" s="268">
        <v>44650</v>
      </c>
      <c r="F2" s="267" t="s">
        <v>464</v>
      </c>
    </row>
    <row r="3" spans="2:16" ht="15.6">
      <c r="B3" s="258" t="s">
        <v>465</v>
      </c>
      <c r="C3" s="259" t="s">
        <v>549</v>
      </c>
      <c r="D3" s="260">
        <v>6.0000000000000001E-3</v>
      </c>
      <c r="E3" s="260">
        <v>9.1000000000000004E-3</v>
      </c>
      <c r="F3" s="260">
        <f t="shared" ref="F3:F57" si="0">IF(E3="NA","NA",IF(D3="NA","NA",E3/D3-1))</f>
        <v>0.51666666666666661</v>
      </c>
    </row>
    <row r="4" spans="2:16" ht="15.6">
      <c r="B4" s="258" t="s">
        <v>466</v>
      </c>
      <c r="C4" s="259"/>
      <c r="D4" s="260">
        <v>1.34E-2</v>
      </c>
      <c r="E4" s="260">
        <v>1.2200000000000001E-2</v>
      </c>
      <c r="F4" s="260">
        <f t="shared" si="0"/>
        <v>-8.9552238805970075E-2</v>
      </c>
      <c r="H4" s="274" t="s">
        <v>592</v>
      </c>
      <c r="M4" s="497" t="s">
        <v>571</v>
      </c>
      <c r="N4" s="497"/>
      <c r="O4" s="497"/>
      <c r="P4" s="497"/>
    </row>
    <row r="5" spans="2:16" ht="15.6">
      <c r="B5" s="258" t="s">
        <v>467</v>
      </c>
      <c r="C5" s="259" t="s">
        <v>550</v>
      </c>
      <c r="D5" s="260">
        <v>6.2399999999999997E-2</v>
      </c>
      <c r="E5" s="260">
        <v>6.6900000000000001E-2</v>
      </c>
      <c r="F5" s="260">
        <f t="shared" si="0"/>
        <v>7.2115384615384581E-2</v>
      </c>
      <c r="H5" s="275" t="s">
        <v>593</v>
      </c>
      <c r="J5" t="s">
        <v>13</v>
      </c>
      <c r="K5" t="s">
        <v>13</v>
      </c>
      <c r="M5" s="276" t="s">
        <v>572</v>
      </c>
    </row>
    <row r="6" spans="2:16" ht="15.6">
      <c r="B6" s="258" t="s">
        <v>468</v>
      </c>
      <c r="C6" s="259" t="s">
        <v>551</v>
      </c>
      <c r="D6" s="260">
        <v>1.9E-3</v>
      </c>
      <c r="E6" s="260">
        <v>2.5000000000000001E-3</v>
      </c>
      <c r="F6" s="260">
        <f t="shared" si="0"/>
        <v>0.31578947368421062</v>
      </c>
      <c r="H6" s="272" t="s">
        <v>573</v>
      </c>
      <c r="I6" s="272" t="s">
        <v>594</v>
      </c>
      <c r="J6" s="272" t="s">
        <v>574</v>
      </c>
      <c r="K6" s="272" t="s">
        <v>575</v>
      </c>
      <c r="L6" s="3"/>
      <c r="M6" s="272" t="s">
        <v>576</v>
      </c>
      <c r="N6" s="272" t="s">
        <v>595</v>
      </c>
      <c r="O6" s="272" t="s">
        <v>574</v>
      </c>
      <c r="P6" s="272" t="s">
        <v>575</v>
      </c>
    </row>
    <row r="7" spans="2:16" ht="15.6">
      <c r="B7" s="258" t="s">
        <v>469</v>
      </c>
      <c r="C7" s="259" t="s">
        <v>552</v>
      </c>
      <c r="D7" s="260">
        <v>2.8E-3</v>
      </c>
      <c r="E7" s="260">
        <v>3.0000000000000001E-3</v>
      </c>
      <c r="F7" s="260">
        <f t="shared" si="0"/>
        <v>7.1428571428571397E-2</v>
      </c>
      <c r="H7" s="272">
        <v>-100000</v>
      </c>
      <c r="I7" s="272">
        <v>0.19999900000000001</v>
      </c>
      <c r="J7" s="272" t="s">
        <v>577</v>
      </c>
      <c r="K7" s="273">
        <v>0.19</v>
      </c>
      <c r="L7" s="3"/>
      <c r="M7" s="272">
        <v>-100000</v>
      </c>
      <c r="N7" s="272">
        <v>4.9999000000000002E-2</v>
      </c>
      <c r="O7" s="272" t="s">
        <v>577</v>
      </c>
      <c r="P7" s="273">
        <v>0.19</v>
      </c>
    </row>
    <row r="8" spans="2:16" ht="15.6">
      <c r="B8" s="258" t="s">
        <v>470</v>
      </c>
      <c r="C8" s="259" t="s">
        <v>553</v>
      </c>
      <c r="D8" s="260">
        <v>2.47E-2</v>
      </c>
      <c r="E8" s="260">
        <v>3.5200000000000002E-2</v>
      </c>
      <c r="F8" s="260">
        <f t="shared" si="0"/>
        <v>0.42510121457489891</v>
      </c>
      <c r="H8" s="272">
        <v>0.2</v>
      </c>
      <c r="I8" s="272">
        <v>0.64999899999999999</v>
      </c>
      <c r="J8" s="272" t="s">
        <v>578</v>
      </c>
      <c r="K8" s="273">
        <v>0.16</v>
      </c>
      <c r="L8" s="3"/>
      <c r="M8" s="272">
        <v>0.05</v>
      </c>
      <c r="N8" s="272">
        <v>9.9999000000000005E-2</v>
      </c>
      <c r="O8" s="272" t="s">
        <v>578</v>
      </c>
      <c r="P8" s="273">
        <v>0.16</v>
      </c>
    </row>
    <row r="9" spans="2:16" ht="15.6">
      <c r="B9" s="258" t="s">
        <v>471</v>
      </c>
      <c r="C9" s="259" t="s">
        <v>554</v>
      </c>
      <c r="D9" s="260">
        <v>4.0000000000000001E-3</v>
      </c>
      <c r="E9" s="260">
        <v>4.1999999999999997E-3</v>
      </c>
      <c r="F9" s="260">
        <f t="shared" si="0"/>
        <v>4.9999999999999822E-2</v>
      </c>
      <c r="H9" s="272">
        <v>0.65</v>
      </c>
      <c r="I9" s="272">
        <v>0.79999900000000002</v>
      </c>
      <c r="J9" s="272" t="s">
        <v>579</v>
      </c>
      <c r="K9" s="273">
        <v>0.12609999999999999</v>
      </c>
      <c r="L9" s="3"/>
      <c r="M9" s="272">
        <v>0.1</v>
      </c>
      <c r="N9" s="272">
        <v>0.19999900000000001</v>
      </c>
      <c r="O9" s="272" t="s">
        <v>579</v>
      </c>
      <c r="P9" s="273">
        <v>0.12609999999999999</v>
      </c>
    </row>
    <row r="10" spans="2:16" ht="15.6">
      <c r="B10" s="258" t="s">
        <v>472</v>
      </c>
      <c r="C10" s="259" t="s">
        <v>555</v>
      </c>
      <c r="D10" s="260">
        <v>2.35E-2</v>
      </c>
      <c r="E10" s="260">
        <v>2.3900000000000001E-2</v>
      </c>
      <c r="F10" s="260">
        <f t="shared" si="0"/>
        <v>1.7021276595744705E-2</v>
      </c>
      <c r="H10" s="272">
        <v>0.8</v>
      </c>
      <c r="I10" s="272">
        <v>1.2499990000000001</v>
      </c>
      <c r="J10" s="272" t="s">
        <v>580</v>
      </c>
      <c r="K10" s="273">
        <v>8.8499999999999995E-2</v>
      </c>
      <c r="L10" s="3"/>
      <c r="M10" s="272">
        <v>0.2</v>
      </c>
      <c r="N10" s="272">
        <v>0.29999900000000002</v>
      </c>
      <c r="O10" s="272" t="s">
        <v>580</v>
      </c>
      <c r="P10" s="273">
        <v>8.8499999999999995E-2</v>
      </c>
    </row>
    <row r="11" spans="2:16" ht="15.6">
      <c r="B11" s="258" t="s">
        <v>473</v>
      </c>
      <c r="C11" s="259" t="s">
        <v>556</v>
      </c>
      <c r="D11" s="260">
        <v>7.7000000000000002E-3</v>
      </c>
      <c r="E11" s="260">
        <v>7.7999999999999996E-3</v>
      </c>
      <c r="F11" s="260">
        <f t="shared" si="0"/>
        <v>1.298701298701288E-2</v>
      </c>
      <c r="H11" s="272">
        <v>1.25</v>
      </c>
      <c r="I11" s="272">
        <v>1.4999990000000001</v>
      </c>
      <c r="J11" s="272" t="s">
        <v>581</v>
      </c>
      <c r="K11" s="273">
        <v>5.0900000000000001E-2</v>
      </c>
      <c r="L11" s="3"/>
      <c r="M11" s="272">
        <v>0.3</v>
      </c>
      <c r="N11" s="272">
        <v>0.39999899999999999</v>
      </c>
      <c r="O11" s="272" t="s">
        <v>581</v>
      </c>
      <c r="P11" s="273">
        <v>5.0900000000000001E-2</v>
      </c>
    </row>
    <row r="12" spans="2:16" ht="15.6">
      <c r="B12" s="258" t="s">
        <v>474</v>
      </c>
      <c r="C12" s="259" t="s">
        <v>557</v>
      </c>
      <c r="D12" s="260">
        <v>6.8699999999999997E-2</v>
      </c>
      <c r="E12" s="260">
        <v>7.3400000000000007E-2</v>
      </c>
      <c r="F12" s="260">
        <f t="shared" si="0"/>
        <v>6.8413391557496483E-2</v>
      </c>
      <c r="H12" s="272">
        <v>1.5</v>
      </c>
      <c r="I12" s="272">
        <v>1.7499990000000001</v>
      </c>
      <c r="J12" s="272" t="s">
        <v>582</v>
      </c>
      <c r="K12" s="273">
        <v>3.2099999999999997E-2</v>
      </c>
      <c r="L12" s="3"/>
      <c r="M12" s="272">
        <v>0.4</v>
      </c>
      <c r="N12" s="272">
        <v>0.49999900000000003</v>
      </c>
      <c r="O12" s="272" t="s">
        <v>582</v>
      </c>
      <c r="P12" s="273">
        <v>3.2099999999999997E-2</v>
      </c>
    </row>
    <row r="13" spans="2:16" ht="15.6">
      <c r="B13" s="258" t="s">
        <v>475</v>
      </c>
      <c r="C13" s="259" t="s">
        <v>551</v>
      </c>
      <c r="D13" s="260">
        <v>3.3E-3</v>
      </c>
      <c r="E13" s="260">
        <v>3.0000000000000001E-3</v>
      </c>
      <c r="F13" s="260">
        <f t="shared" si="0"/>
        <v>-9.0909090909090939E-2</v>
      </c>
      <c r="H13" s="272">
        <v>1.75</v>
      </c>
      <c r="I13" s="272">
        <v>1.9999990000000001</v>
      </c>
      <c r="J13" s="272" t="s">
        <v>583</v>
      </c>
      <c r="K13" s="273">
        <v>2.75E-2</v>
      </c>
      <c r="L13" s="3"/>
      <c r="M13" s="272">
        <v>0.5</v>
      </c>
      <c r="N13" s="272">
        <v>0.59999899999999995</v>
      </c>
      <c r="O13" s="272" t="s">
        <v>583</v>
      </c>
      <c r="P13" s="273">
        <v>2.75E-2</v>
      </c>
    </row>
    <row r="14" spans="2:16" ht="15.6">
      <c r="B14" s="258" t="s">
        <v>476</v>
      </c>
      <c r="C14" s="259" t="s">
        <v>558</v>
      </c>
      <c r="D14" s="260">
        <v>8.6999999999999994E-3</v>
      </c>
      <c r="E14" s="260">
        <v>1.06E-2</v>
      </c>
      <c r="F14" s="260">
        <f t="shared" si="0"/>
        <v>0.21839080459770122</v>
      </c>
      <c r="H14" s="272">
        <v>2</v>
      </c>
      <c r="I14" s="272">
        <v>2.2499999000000002</v>
      </c>
      <c r="J14" s="272" t="s">
        <v>584</v>
      </c>
      <c r="K14" s="273">
        <v>1.84E-2</v>
      </c>
      <c r="L14" s="3"/>
      <c r="M14" s="272">
        <v>0.6</v>
      </c>
      <c r="N14" s="272">
        <v>0.74999899999999997</v>
      </c>
      <c r="O14" s="272" t="s">
        <v>584</v>
      </c>
      <c r="P14" s="273">
        <v>1.84E-2</v>
      </c>
    </row>
    <row r="15" spans="2:16" ht="15.6">
      <c r="B15" s="258" t="s">
        <v>477</v>
      </c>
      <c r="C15" s="259" t="s">
        <v>559</v>
      </c>
      <c r="D15" s="260">
        <v>6.4000000000000003E-3</v>
      </c>
      <c r="E15" s="260">
        <v>7.7000000000000002E-3</v>
      </c>
      <c r="F15" s="260">
        <f t="shared" si="0"/>
        <v>0.203125</v>
      </c>
      <c r="H15" s="272">
        <v>2.25</v>
      </c>
      <c r="I15" s="272">
        <v>2.4999899999999999</v>
      </c>
      <c r="J15" s="272" t="s">
        <v>585</v>
      </c>
      <c r="K15" s="273">
        <v>1.38E-2</v>
      </c>
      <c r="L15" s="3"/>
      <c r="M15" s="272">
        <v>0.75</v>
      </c>
      <c r="N15" s="272">
        <v>0.89999899999999999</v>
      </c>
      <c r="O15" s="272" t="s">
        <v>585</v>
      </c>
      <c r="P15" s="273">
        <v>1.38E-2</v>
      </c>
    </row>
    <row r="16" spans="2:16" ht="15.6">
      <c r="B16" s="258" t="s">
        <v>478</v>
      </c>
      <c r="C16" s="259" t="s">
        <v>560</v>
      </c>
      <c r="D16" s="260">
        <v>3.3399999999999999E-2</v>
      </c>
      <c r="E16" s="260">
        <v>3.4299999999999997E-2</v>
      </c>
      <c r="F16" s="260">
        <f t="shared" si="0"/>
        <v>2.6946107784431073E-2</v>
      </c>
      <c r="H16" s="272">
        <v>2.5</v>
      </c>
      <c r="I16" s="272">
        <v>2.9999989999999999</v>
      </c>
      <c r="J16" s="272" t="s">
        <v>586</v>
      </c>
      <c r="K16" s="273">
        <v>1.11E-2</v>
      </c>
      <c r="L16" s="3"/>
      <c r="M16" s="272">
        <v>0.9</v>
      </c>
      <c r="N16" s="272">
        <v>1.199999</v>
      </c>
      <c r="O16" s="272" t="s">
        <v>586</v>
      </c>
      <c r="P16" s="273">
        <v>1.11E-2</v>
      </c>
    </row>
    <row r="17" spans="2:16" ht="15.6">
      <c r="B17" s="258" t="s">
        <v>479</v>
      </c>
      <c r="C17" s="259" t="s">
        <v>561</v>
      </c>
      <c r="D17" s="260">
        <v>1.7500000000000002E-2</v>
      </c>
      <c r="E17" s="260">
        <v>2.24E-2</v>
      </c>
      <c r="F17" s="260">
        <f t="shared" si="0"/>
        <v>0.2799999999999998</v>
      </c>
      <c r="H17" s="272">
        <v>3</v>
      </c>
      <c r="I17" s="272">
        <v>4.2499989999999999</v>
      </c>
      <c r="J17" s="272" t="s">
        <v>587</v>
      </c>
      <c r="K17" s="273">
        <v>8.8999999999999999E-3</v>
      </c>
      <c r="L17" s="3"/>
      <c r="M17" s="272">
        <v>1.2</v>
      </c>
      <c r="N17" s="272">
        <v>1.4999899999999999</v>
      </c>
      <c r="O17" s="272" t="s">
        <v>587</v>
      </c>
      <c r="P17" s="273">
        <v>8.8999999999999999E-3</v>
      </c>
    </row>
    <row r="18" spans="2:16" ht="15.6">
      <c r="B18" s="258" t="s">
        <v>480</v>
      </c>
      <c r="C18" s="259" t="s">
        <v>562</v>
      </c>
      <c r="D18" s="260">
        <v>1.0200000000000001E-2</v>
      </c>
      <c r="E18" s="260">
        <v>9.4999999999999998E-3</v>
      </c>
      <c r="F18" s="260">
        <f t="shared" si="0"/>
        <v>-6.8627450980392246E-2</v>
      </c>
      <c r="H18" s="272">
        <v>4.25</v>
      </c>
      <c r="I18" s="272">
        <v>5.4999989999999999</v>
      </c>
      <c r="J18" s="272" t="s">
        <v>588</v>
      </c>
      <c r="K18" s="273">
        <v>7.7999999999999996E-3</v>
      </c>
      <c r="L18" s="3"/>
      <c r="M18" s="272">
        <v>1.5</v>
      </c>
      <c r="N18" s="272">
        <v>1.9999899999999999</v>
      </c>
      <c r="O18" s="272" t="s">
        <v>588</v>
      </c>
      <c r="P18" s="273">
        <v>7.7999999999999996E-3</v>
      </c>
    </row>
    <row r="19" spans="2:16" ht="15.6">
      <c r="B19" s="258" t="s">
        <v>481</v>
      </c>
      <c r="C19" s="259" t="s">
        <v>562</v>
      </c>
      <c r="D19" s="260">
        <v>7.4999999999999997E-3</v>
      </c>
      <c r="E19" s="260">
        <v>6.7000000000000002E-3</v>
      </c>
      <c r="F19" s="260">
        <f t="shared" si="0"/>
        <v>-0.10666666666666658</v>
      </c>
      <c r="H19" s="272">
        <v>5.5</v>
      </c>
      <c r="I19" s="272">
        <v>6.4999989999999999</v>
      </c>
      <c r="J19" s="272" t="s">
        <v>589</v>
      </c>
      <c r="K19" s="273">
        <v>7.0000000000000001E-3</v>
      </c>
      <c r="L19" s="3"/>
      <c r="M19" s="272">
        <v>2</v>
      </c>
      <c r="N19" s="272">
        <v>2.4999899999999999</v>
      </c>
      <c r="O19" s="272" t="s">
        <v>589</v>
      </c>
      <c r="P19" s="273">
        <v>7.0000000000000001E-3</v>
      </c>
    </row>
    <row r="20" spans="2:16" ht="15.6">
      <c r="B20" s="258" t="s">
        <v>482</v>
      </c>
      <c r="C20" s="259" t="s">
        <v>554</v>
      </c>
      <c r="D20" s="260">
        <v>4.7999999999999996E-3</v>
      </c>
      <c r="E20" s="260">
        <v>5.1000000000000004E-3</v>
      </c>
      <c r="F20" s="260">
        <f t="shared" si="0"/>
        <v>6.2500000000000222E-2</v>
      </c>
      <c r="H20" s="272">
        <v>6.5</v>
      </c>
      <c r="I20" s="272">
        <v>8.4999990000000007</v>
      </c>
      <c r="J20" s="272" t="s">
        <v>590</v>
      </c>
      <c r="K20" s="273">
        <v>5.4999999999999997E-3</v>
      </c>
      <c r="L20" s="3"/>
      <c r="M20" s="272">
        <v>2.5</v>
      </c>
      <c r="N20" s="272">
        <v>2.9999899999999999</v>
      </c>
      <c r="O20" s="272" t="s">
        <v>590</v>
      </c>
      <c r="P20" s="273">
        <v>5.4999999999999997E-3</v>
      </c>
    </row>
    <row r="21" spans="2:16" ht="15.6">
      <c r="B21" s="258" t="s">
        <v>483</v>
      </c>
      <c r="C21" s="259" t="s">
        <v>551</v>
      </c>
      <c r="D21" s="260">
        <v>1.8E-3</v>
      </c>
      <c r="E21" s="260">
        <v>2E-3</v>
      </c>
      <c r="F21" s="260">
        <f t="shared" si="0"/>
        <v>0.11111111111111116</v>
      </c>
      <c r="H21" s="272">
        <v>8.5</v>
      </c>
      <c r="I21" s="272">
        <v>100000</v>
      </c>
      <c r="J21" s="272" t="s">
        <v>591</v>
      </c>
      <c r="K21" s="273">
        <v>4.0000000000000001E-3</v>
      </c>
      <c r="L21" s="3"/>
      <c r="M21" s="272">
        <v>3</v>
      </c>
      <c r="N21" s="272">
        <v>100000</v>
      </c>
      <c r="O21" s="272" t="s">
        <v>591</v>
      </c>
      <c r="P21" s="273">
        <v>4.0000000000000001E-3</v>
      </c>
    </row>
    <row r="22" spans="2:16" ht="15.6">
      <c r="B22" s="258" t="s">
        <v>484</v>
      </c>
      <c r="C22" s="259"/>
      <c r="D22" s="260">
        <v>8.2000000000000007E-3</v>
      </c>
      <c r="E22" s="260">
        <v>1.32E-2</v>
      </c>
      <c r="F22" s="260">
        <f t="shared" si="0"/>
        <v>0.60975609756097549</v>
      </c>
      <c r="H22" t="s">
        <v>13</v>
      </c>
    </row>
    <row r="23" spans="2:16" ht="15.6">
      <c r="B23" s="258" t="s">
        <v>485</v>
      </c>
      <c r="C23" s="259" t="s">
        <v>563</v>
      </c>
      <c r="D23" s="260">
        <v>5.67E-2</v>
      </c>
      <c r="E23" s="260">
        <v>5.8500000000000003E-2</v>
      </c>
      <c r="F23" s="260">
        <f t="shared" si="0"/>
        <v>3.1746031746031855E-2</v>
      </c>
    </row>
    <row r="24" spans="2:16" ht="15.6">
      <c r="B24" s="258" t="s">
        <v>486</v>
      </c>
      <c r="C24" s="259" t="s">
        <v>557</v>
      </c>
      <c r="D24" s="260">
        <v>3.5499999999999997E-2</v>
      </c>
      <c r="E24" s="260">
        <v>5.1499999999999997E-2</v>
      </c>
      <c r="F24" s="260">
        <f t="shared" si="0"/>
        <v>0.45070422535211274</v>
      </c>
    </row>
    <row r="25" spans="2:16" ht="15.6">
      <c r="B25" s="258" t="s">
        <v>487</v>
      </c>
      <c r="C25" s="259" t="s">
        <v>550</v>
      </c>
      <c r="D25" s="260">
        <v>3.4000000000000002E-2</v>
      </c>
      <c r="E25" s="260">
        <v>4.9700000000000001E-2</v>
      </c>
      <c r="F25" s="260">
        <f t="shared" si="0"/>
        <v>0.46176470588235285</v>
      </c>
    </row>
    <row r="26" spans="2:16" ht="15.6">
      <c r="B26" s="258" t="s">
        <v>488</v>
      </c>
      <c r="C26" s="259" t="s">
        <v>559</v>
      </c>
      <c r="D26" s="260">
        <v>0.01</v>
      </c>
      <c r="E26" s="260">
        <v>9.5999999999999992E-3</v>
      </c>
      <c r="F26" s="260">
        <f t="shared" si="0"/>
        <v>-4.0000000000000147E-2</v>
      </c>
    </row>
    <row r="27" spans="2:16" ht="15.6">
      <c r="B27" s="258" t="s">
        <v>489</v>
      </c>
      <c r="C27" s="259" t="s">
        <v>552</v>
      </c>
      <c r="D27" s="260">
        <v>2.5999999999999999E-3</v>
      </c>
      <c r="E27" s="260">
        <v>2.8999999999999998E-3</v>
      </c>
      <c r="F27" s="260">
        <f t="shared" si="0"/>
        <v>0.11538461538461542</v>
      </c>
    </row>
    <row r="28" spans="2:16" ht="15.6">
      <c r="B28" s="258" t="s">
        <v>490</v>
      </c>
      <c r="C28" s="259" t="s">
        <v>554</v>
      </c>
      <c r="D28" s="260">
        <v>6.4000000000000003E-3</v>
      </c>
      <c r="E28" s="260">
        <v>6.7000000000000002E-3</v>
      </c>
      <c r="F28" s="260">
        <f t="shared" si="0"/>
        <v>4.6875E-2</v>
      </c>
    </row>
    <row r="29" spans="2:16" ht="15.6">
      <c r="B29" s="258" t="s">
        <v>491</v>
      </c>
      <c r="C29" s="259" t="s">
        <v>551</v>
      </c>
      <c r="D29" s="260">
        <v>2.0999999999999999E-3</v>
      </c>
      <c r="E29" s="260">
        <v>2.0999999999999999E-3</v>
      </c>
      <c r="F29" s="260">
        <f t="shared" si="0"/>
        <v>0</v>
      </c>
    </row>
    <row r="30" spans="2:16" ht="15.6">
      <c r="B30" s="258" t="s">
        <v>492</v>
      </c>
      <c r="C30" s="259" t="s">
        <v>560</v>
      </c>
      <c r="D30" s="260">
        <v>7.4999999999999997E-3</v>
      </c>
      <c r="E30" s="260">
        <v>7.9000000000000008E-3</v>
      </c>
      <c r="F30" s="260">
        <f t="shared" si="0"/>
        <v>5.3333333333333455E-2</v>
      </c>
    </row>
    <row r="31" spans="2:16" ht="15.6">
      <c r="B31" s="258" t="s">
        <v>493</v>
      </c>
      <c r="C31" s="259" t="s">
        <v>555</v>
      </c>
      <c r="D31" s="260">
        <v>1.7100000000000001E-2</v>
      </c>
      <c r="E31" s="260">
        <v>2.0199999999999999E-2</v>
      </c>
      <c r="F31" s="260">
        <f t="shared" si="0"/>
        <v>0.18128654970760216</v>
      </c>
    </row>
    <row r="32" spans="2:16" ht="15.6">
      <c r="B32" s="258" t="s">
        <v>494</v>
      </c>
      <c r="C32" s="259" t="s">
        <v>554</v>
      </c>
      <c r="D32" s="260">
        <v>4.4000000000000003E-3</v>
      </c>
      <c r="E32" s="260">
        <v>4.4999999999999997E-3</v>
      </c>
      <c r="F32" s="260">
        <f t="shared" si="0"/>
        <v>2.2727272727272485E-2</v>
      </c>
    </row>
    <row r="33" spans="2:6" ht="15.6">
      <c r="B33" s="258" t="s">
        <v>495</v>
      </c>
      <c r="C33" s="259" t="s">
        <v>564</v>
      </c>
      <c r="D33" s="260">
        <v>1.6E-2</v>
      </c>
      <c r="E33" s="260">
        <v>1.6899999999999998E-2</v>
      </c>
      <c r="F33" s="260">
        <f t="shared" si="0"/>
        <v>5.6249999999999911E-2</v>
      </c>
    </row>
    <row r="34" spans="2:6" ht="15.6">
      <c r="B34" s="258" t="s">
        <v>496</v>
      </c>
      <c r="C34" s="259" t="s">
        <v>559</v>
      </c>
      <c r="D34" s="260">
        <v>4.4999999999999997E-3</v>
      </c>
      <c r="E34" s="260">
        <v>4.1999999999999997E-3</v>
      </c>
      <c r="F34" s="260">
        <f t="shared" si="0"/>
        <v>-6.6666666666666652E-2</v>
      </c>
    </row>
    <row r="35" spans="2:6" ht="15.6">
      <c r="B35" s="258" t="s">
        <v>497</v>
      </c>
      <c r="C35" s="259" t="s">
        <v>560</v>
      </c>
      <c r="D35" s="260">
        <v>8.0000000000000002E-3</v>
      </c>
      <c r="E35" s="260">
        <v>1.0200000000000001E-2</v>
      </c>
      <c r="F35" s="260">
        <f t="shared" si="0"/>
        <v>0.27500000000000013</v>
      </c>
    </row>
    <row r="36" spans="2:6" ht="15.6">
      <c r="B36" s="258" t="s">
        <v>498</v>
      </c>
      <c r="C36" s="259" t="s">
        <v>564</v>
      </c>
      <c r="D36" s="260">
        <v>1.1900000000000001E-2</v>
      </c>
      <c r="E36" s="260">
        <v>1.5900000000000001E-2</v>
      </c>
      <c r="F36" s="260">
        <f t="shared" si="0"/>
        <v>0.33613445378151252</v>
      </c>
    </row>
    <row r="37" spans="2:6" ht="15.6">
      <c r="B37" s="258" t="s">
        <v>499</v>
      </c>
      <c r="C37" s="259" t="s">
        <v>557</v>
      </c>
      <c r="D37" s="260">
        <v>2.8899999999999999E-2</v>
      </c>
      <c r="E37" s="260">
        <v>5.8799999999999998E-2</v>
      </c>
      <c r="F37" s="260">
        <f t="shared" si="0"/>
        <v>1.0346020761245676</v>
      </c>
    </row>
    <row r="38" spans="2:6" ht="15.6">
      <c r="B38" s="258" t="s">
        <v>500</v>
      </c>
      <c r="C38" s="259" t="s">
        <v>554</v>
      </c>
      <c r="D38" s="260">
        <v>3.3999999999999998E-3</v>
      </c>
      <c r="E38" s="260">
        <v>3.0999999999999999E-3</v>
      </c>
      <c r="F38" s="260">
        <f t="shared" si="0"/>
        <v>-8.8235294117647078E-2</v>
      </c>
    </row>
    <row r="39" spans="2:6" ht="15.6">
      <c r="B39" s="258" t="s">
        <v>501</v>
      </c>
      <c r="C39" s="259" t="s">
        <v>556</v>
      </c>
      <c r="D39" s="260">
        <v>1.1299999999999999E-2</v>
      </c>
      <c r="E39" s="260">
        <v>1.2500000000000001E-2</v>
      </c>
      <c r="F39" s="260">
        <f t="shared" si="0"/>
        <v>0.10619469026548689</v>
      </c>
    </row>
    <row r="40" spans="2:6" ht="15.6">
      <c r="B40" s="258" t="s">
        <v>502</v>
      </c>
      <c r="C40" s="259" t="s">
        <v>564</v>
      </c>
      <c r="D40" s="260">
        <v>6.1000000000000004E-3</v>
      </c>
      <c r="E40" s="260">
        <v>7.1999999999999998E-3</v>
      </c>
      <c r="F40" s="260">
        <f t="shared" si="0"/>
        <v>0.18032786885245899</v>
      </c>
    </row>
    <row r="41" spans="2:6" ht="15.6">
      <c r="B41" s="258" t="s">
        <v>503</v>
      </c>
      <c r="C41" s="259" t="s">
        <v>559</v>
      </c>
      <c r="D41" s="260">
        <v>4.4000000000000003E-3</v>
      </c>
      <c r="E41" s="260">
        <v>5.1000000000000004E-3</v>
      </c>
      <c r="F41" s="260">
        <f t="shared" si="0"/>
        <v>0.15909090909090917</v>
      </c>
    </row>
    <row r="42" spans="2:6" ht="15.6">
      <c r="B42" s="258" t="s">
        <v>504</v>
      </c>
      <c r="C42" s="259" t="s">
        <v>556</v>
      </c>
      <c r="D42" s="260">
        <v>1.3100000000000001E-2</v>
      </c>
      <c r="E42" s="260">
        <v>1.6299999999999999E-2</v>
      </c>
      <c r="F42" s="260">
        <f t="shared" si="0"/>
        <v>0.24427480916030508</v>
      </c>
    </row>
    <row r="43" spans="2:6" ht="15.6">
      <c r="B43" s="258" t="s">
        <v>505</v>
      </c>
      <c r="C43" s="259" t="s">
        <v>550</v>
      </c>
      <c r="D43" s="260">
        <v>4.5100000000000001E-2</v>
      </c>
      <c r="E43" s="260">
        <v>5.9799999999999999E-2</v>
      </c>
      <c r="F43" s="260">
        <f t="shared" si="0"/>
        <v>0.32594235033259422</v>
      </c>
    </row>
    <row r="44" spans="2:6" ht="15.6">
      <c r="B44" s="258" t="s">
        <v>506</v>
      </c>
      <c r="C44" s="259" t="s">
        <v>549</v>
      </c>
      <c r="D44" s="260">
        <v>3.3999999999999998E-3</v>
      </c>
      <c r="E44" s="260">
        <v>5.0000000000000001E-3</v>
      </c>
      <c r="F44" s="260">
        <f t="shared" si="0"/>
        <v>0.47058823529411775</v>
      </c>
    </row>
    <row r="45" spans="2:6" ht="15.6">
      <c r="B45" s="258" t="s">
        <v>507</v>
      </c>
      <c r="C45" s="259" t="s">
        <v>559</v>
      </c>
      <c r="D45" s="260">
        <v>8.6999999999999994E-3</v>
      </c>
      <c r="E45" s="260">
        <v>1.03E-2</v>
      </c>
      <c r="F45" s="260">
        <f t="shared" si="0"/>
        <v>0.18390804597701149</v>
      </c>
    </row>
    <row r="46" spans="2:6" ht="15.6">
      <c r="B46" s="258" t="s">
        <v>508</v>
      </c>
      <c r="C46" s="259" t="s">
        <v>562</v>
      </c>
      <c r="D46" s="260">
        <v>8.2000000000000007E-3</v>
      </c>
      <c r="E46" s="260">
        <v>8.3000000000000001E-3</v>
      </c>
      <c r="F46" s="260">
        <f t="shared" si="0"/>
        <v>1.2195121951219523E-2</v>
      </c>
    </row>
    <row r="47" spans="2:6" ht="15.6">
      <c r="B47" s="258" t="s">
        <v>509</v>
      </c>
      <c r="C47" s="259" t="s">
        <v>558</v>
      </c>
      <c r="D47" s="260">
        <v>8.2000000000000007E-3</v>
      </c>
      <c r="E47" s="260">
        <v>8.2000000000000007E-3</v>
      </c>
      <c r="F47" s="260">
        <f t="shared" si="0"/>
        <v>0</v>
      </c>
    </row>
    <row r="48" spans="2:6" ht="15.6">
      <c r="B48" s="258" t="s">
        <v>510</v>
      </c>
      <c r="C48" s="259" t="s">
        <v>562</v>
      </c>
      <c r="D48" s="260">
        <v>6.7000000000000002E-3</v>
      </c>
      <c r="E48" s="260">
        <v>7.7999999999999996E-3</v>
      </c>
      <c r="F48" s="260">
        <f t="shared" si="0"/>
        <v>0.16417910447761175</v>
      </c>
    </row>
    <row r="49" spans="2:6" ht="15.6">
      <c r="B49" s="258" t="s">
        <v>511</v>
      </c>
      <c r="C49" s="259" t="s">
        <v>564</v>
      </c>
      <c r="D49" s="260">
        <v>1.66E-2</v>
      </c>
      <c r="E49" s="260">
        <v>1.8599999999999998E-2</v>
      </c>
      <c r="F49" s="260">
        <f t="shared" si="0"/>
        <v>0.12048192771084332</v>
      </c>
    </row>
    <row r="50" spans="2:6" ht="15.6">
      <c r="B50" s="258" t="s">
        <v>512</v>
      </c>
      <c r="C50" s="259" t="s">
        <v>555</v>
      </c>
      <c r="D50" s="260">
        <v>1.2999999999999999E-2</v>
      </c>
      <c r="E50" s="260">
        <v>1.6E-2</v>
      </c>
      <c r="F50" s="260">
        <f t="shared" si="0"/>
        <v>0.23076923076923084</v>
      </c>
    </row>
    <row r="51" spans="2:6" ht="15.6">
      <c r="B51" s="258" t="s">
        <v>513</v>
      </c>
      <c r="C51" s="259" t="s">
        <v>565</v>
      </c>
      <c r="D51" s="260">
        <v>3.4099999999999998E-2</v>
      </c>
      <c r="E51" s="260">
        <v>3.6700000000000003E-2</v>
      </c>
      <c r="F51" s="260">
        <f t="shared" si="0"/>
        <v>7.6246334310850594E-2</v>
      </c>
    </row>
    <row r="52" spans="2:6" ht="15.6">
      <c r="B52" s="258" t="s">
        <v>514</v>
      </c>
      <c r="C52" s="259" t="s">
        <v>551</v>
      </c>
      <c r="D52" s="260">
        <v>2E-3</v>
      </c>
      <c r="E52" s="260">
        <v>2.0999999999999999E-3</v>
      </c>
      <c r="F52" s="260">
        <f t="shared" si="0"/>
        <v>4.9999999999999822E-2</v>
      </c>
    </row>
    <row r="53" spans="2:6" ht="15.6">
      <c r="B53" s="258" t="s">
        <v>515</v>
      </c>
      <c r="C53" s="259" t="s">
        <v>551</v>
      </c>
      <c r="D53" s="260">
        <v>2.3E-3</v>
      </c>
      <c r="E53" s="260">
        <v>2.7000000000000001E-3</v>
      </c>
      <c r="F53" s="260">
        <f t="shared" si="0"/>
        <v>0.17391304347826098</v>
      </c>
    </row>
    <row r="54" spans="2:6" ht="15.6">
      <c r="B54" s="258" t="s">
        <v>516</v>
      </c>
      <c r="C54" s="259" t="s">
        <v>553</v>
      </c>
      <c r="D54" s="261">
        <v>5.2900000000000003E-2</v>
      </c>
      <c r="E54" s="260">
        <v>6.5299999999999997E-2</v>
      </c>
      <c r="F54" s="260">
        <f t="shared" si="0"/>
        <v>0.23440453686200358</v>
      </c>
    </row>
    <row r="55" spans="2:6" ht="15.6">
      <c r="B55" s="258" t="s">
        <v>517</v>
      </c>
      <c r="C55" s="259" t="s">
        <v>550</v>
      </c>
      <c r="D55" s="260">
        <v>3.9100000000000003E-2</v>
      </c>
      <c r="E55" s="260">
        <v>4.6899999999999997E-2</v>
      </c>
      <c r="F55" s="260">
        <f t="shared" si="0"/>
        <v>0.19948849104859323</v>
      </c>
    </row>
    <row r="56" spans="2:6" ht="15.6">
      <c r="B56" s="258" t="s">
        <v>518</v>
      </c>
      <c r="C56" s="259" t="s">
        <v>551</v>
      </c>
      <c r="D56" s="260">
        <v>1.8E-3</v>
      </c>
      <c r="E56" s="260">
        <v>1.8E-3</v>
      </c>
      <c r="F56" s="260">
        <f t="shared" si="0"/>
        <v>0</v>
      </c>
    </row>
    <row r="57" spans="2:6" ht="15.6">
      <c r="B57" s="258" t="s">
        <v>519</v>
      </c>
      <c r="C57" s="259" t="s">
        <v>560</v>
      </c>
      <c r="D57" s="260">
        <v>1.2999999999999999E-2</v>
      </c>
      <c r="E57" s="260">
        <v>1.5699999999999999E-2</v>
      </c>
      <c r="F57" s="260">
        <f t="shared" si="0"/>
        <v>0.20769230769230762</v>
      </c>
    </row>
    <row r="58" spans="2:6" ht="15.6">
      <c r="B58" s="258" t="s">
        <v>520</v>
      </c>
      <c r="C58" s="259" t="s">
        <v>557</v>
      </c>
      <c r="D58" s="260">
        <v>5.2299999999999999E-2</v>
      </c>
      <c r="E58" s="260">
        <v>6.8599999999999994E-2</v>
      </c>
      <c r="F58" s="260">
        <f>IF(E58="NA","NA",IF(D58="NA","NA",E58/D58-1))</f>
        <v>0.31166347992351806</v>
      </c>
    </row>
    <row r="59" spans="2:6" ht="15.6">
      <c r="B59" s="258" t="s">
        <v>521</v>
      </c>
      <c r="C59" s="259" t="s">
        <v>560</v>
      </c>
      <c r="D59" s="260">
        <v>2.2200000000000001E-2</v>
      </c>
      <c r="E59" s="260">
        <v>2.1999999999999999E-2</v>
      </c>
      <c r="F59" s="260">
        <f t="shared" ref="F59:F83" si="1">IF(E59="NA","NA",IF(D59="NA","NA",E59/D59-1))</f>
        <v>-9.009009009009139E-3</v>
      </c>
    </row>
    <row r="60" spans="2:6" ht="15.6">
      <c r="B60" s="258" t="s">
        <v>522</v>
      </c>
      <c r="C60" s="259" t="s">
        <v>556</v>
      </c>
      <c r="D60" s="260">
        <v>1.26E-2</v>
      </c>
      <c r="E60" s="260">
        <v>1.41E-2</v>
      </c>
      <c r="F60" s="260">
        <f t="shared" si="1"/>
        <v>0.11904761904761907</v>
      </c>
    </row>
    <row r="61" spans="2:6" ht="15.6">
      <c r="B61" s="258" t="s">
        <v>523</v>
      </c>
      <c r="C61" s="259" t="s">
        <v>564</v>
      </c>
      <c r="D61" s="260">
        <v>1.0200000000000001E-2</v>
      </c>
      <c r="E61" s="260">
        <v>1.3299999999999999E-2</v>
      </c>
      <c r="F61" s="260">
        <f t="shared" si="1"/>
        <v>0.30392156862745079</v>
      </c>
    </row>
    <row r="62" spans="2:6" ht="15.6">
      <c r="B62" s="258" t="s">
        <v>524</v>
      </c>
      <c r="C62" s="259" t="s">
        <v>558</v>
      </c>
      <c r="D62" s="260">
        <v>0.01</v>
      </c>
      <c r="E62" s="260">
        <v>1.0699999999999999E-2</v>
      </c>
      <c r="F62" s="260">
        <f t="shared" si="1"/>
        <v>6.999999999999984E-2</v>
      </c>
    </row>
    <row r="63" spans="2:6" ht="15.6">
      <c r="B63" s="258" t="s">
        <v>525</v>
      </c>
      <c r="C63" s="259" t="s">
        <v>562</v>
      </c>
      <c r="D63" s="260">
        <v>4.4999999999999997E-3</v>
      </c>
      <c r="E63" s="260">
        <v>4.3E-3</v>
      </c>
      <c r="F63" s="260">
        <f t="shared" si="1"/>
        <v>-4.4444444444444398E-2</v>
      </c>
    </row>
    <row r="64" spans="2:6" ht="15.6">
      <c r="B64" s="258" t="s">
        <v>526</v>
      </c>
      <c r="C64" s="259" t="s">
        <v>549</v>
      </c>
      <c r="D64" s="260">
        <v>6.1000000000000004E-3</v>
      </c>
      <c r="E64" s="260">
        <v>8.9999999999999993E-3</v>
      </c>
      <c r="F64" s="260">
        <f t="shared" si="1"/>
        <v>0.47540983606557363</v>
      </c>
    </row>
    <row r="65" spans="2:6" ht="15.6">
      <c r="B65" s="258" t="s">
        <v>527</v>
      </c>
      <c r="C65" s="259" t="s">
        <v>560</v>
      </c>
      <c r="D65" s="260">
        <v>2.1100000000000001E-2</v>
      </c>
      <c r="E65" s="260">
        <v>2.4199999999999999E-2</v>
      </c>
      <c r="F65" s="260">
        <f t="shared" si="1"/>
        <v>0.1469194312796207</v>
      </c>
    </row>
    <row r="66" spans="2:6" ht="15.6">
      <c r="B66" s="258" t="s">
        <v>528</v>
      </c>
      <c r="C66" s="259" t="s">
        <v>529</v>
      </c>
      <c r="D66" s="260" t="s">
        <v>530</v>
      </c>
      <c r="E66" s="260" t="s">
        <v>530</v>
      </c>
      <c r="F66" s="260" t="str">
        <f t="shared" si="1"/>
        <v>NA</v>
      </c>
    </row>
    <row r="67" spans="2:6" ht="15.6">
      <c r="B67" s="258" t="s">
        <v>531</v>
      </c>
      <c r="C67" s="259" t="s">
        <v>553</v>
      </c>
      <c r="D67" s="260">
        <v>4.0300000000000002E-2</v>
      </c>
      <c r="E67" s="260">
        <v>3.9399999999999998E-2</v>
      </c>
      <c r="F67" s="260">
        <f t="shared" si="1"/>
        <v>-2.2332506203474045E-2</v>
      </c>
    </row>
    <row r="68" spans="2:6" ht="15.6">
      <c r="B68" s="258" t="s">
        <v>532</v>
      </c>
      <c r="C68" s="259" t="s">
        <v>554</v>
      </c>
      <c r="D68" s="260">
        <v>1.12E-2</v>
      </c>
      <c r="E68" s="260">
        <v>1.2699999999999999E-2</v>
      </c>
      <c r="F68" s="260">
        <f t="shared" si="1"/>
        <v>0.1339285714285714</v>
      </c>
    </row>
    <row r="69" spans="2:6" ht="15.6">
      <c r="B69" s="258" t="s">
        <v>533</v>
      </c>
      <c r="C69" s="259" t="s">
        <v>557</v>
      </c>
      <c r="D69" s="260">
        <v>9.9299999999999999E-2</v>
      </c>
      <c r="E69" s="260">
        <v>8.6999999999999994E-2</v>
      </c>
      <c r="F69" s="260">
        <f t="shared" si="1"/>
        <v>-0.12386706948640491</v>
      </c>
    </row>
    <row r="70" spans="2:6" ht="15.6">
      <c r="B70" s="258" t="s">
        <v>534</v>
      </c>
      <c r="C70" s="259" t="s">
        <v>561</v>
      </c>
      <c r="D70" s="260">
        <v>1.9599999999999999E-2</v>
      </c>
      <c r="E70" s="260">
        <v>2.12E-2</v>
      </c>
      <c r="F70" s="260">
        <f t="shared" si="1"/>
        <v>8.163265306122458E-2</v>
      </c>
    </row>
    <row r="71" spans="2:6" ht="15.6">
      <c r="B71" s="258" t="s">
        <v>535</v>
      </c>
      <c r="C71" s="259" t="s">
        <v>562</v>
      </c>
      <c r="D71" s="260">
        <v>5.7000000000000002E-3</v>
      </c>
      <c r="E71" s="260">
        <v>6.7999999999999996E-3</v>
      </c>
      <c r="F71" s="260">
        <f t="shared" si="1"/>
        <v>0.19298245614035081</v>
      </c>
    </row>
    <row r="72" spans="2:6" ht="15.6">
      <c r="B72" s="258" t="s">
        <v>536</v>
      </c>
      <c r="C72" s="259" t="s">
        <v>558</v>
      </c>
      <c r="D72" s="260">
        <v>6.7000000000000002E-3</v>
      </c>
      <c r="E72" s="260">
        <v>7.9000000000000008E-3</v>
      </c>
      <c r="F72" s="260">
        <f t="shared" si="1"/>
        <v>0.17910447761194037</v>
      </c>
    </row>
    <row r="73" spans="2:6" ht="15.6">
      <c r="B73" s="258" t="s">
        <v>537</v>
      </c>
      <c r="C73" s="259" t="s">
        <v>561</v>
      </c>
      <c r="D73" s="260">
        <v>2.4E-2</v>
      </c>
      <c r="E73" s="260">
        <v>3.04E-2</v>
      </c>
      <c r="F73" s="260">
        <f t="shared" si="1"/>
        <v>0.26666666666666661</v>
      </c>
    </row>
    <row r="74" spans="2:6" ht="15.6">
      <c r="B74" s="258" t="s">
        <v>538</v>
      </c>
      <c r="C74" s="259" t="s">
        <v>562</v>
      </c>
      <c r="D74" s="260">
        <v>4.4999999999999997E-3</v>
      </c>
      <c r="E74" s="260">
        <v>4.5999999999999999E-3</v>
      </c>
      <c r="F74" s="260">
        <f t="shared" si="1"/>
        <v>2.2222222222222365E-2</v>
      </c>
    </row>
    <row r="75" spans="2:6" ht="15.6">
      <c r="B75" s="258" t="s">
        <v>539</v>
      </c>
      <c r="C75" s="259" t="s">
        <v>551</v>
      </c>
      <c r="D75" s="260">
        <v>2E-3</v>
      </c>
      <c r="E75" s="260">
        <v>1.9E-3</v>
      </c>
      <c r="F75" s="260">
        <f t="shared" si="1"/>
        <v>-5.0000000000000044E-2</v>
      </c>
    </row>
    <row r="76" spans="2:6" ht="15.6">
      <c r="B76" s="258" t="s">
        <v>540</v>
      </c>
      <c r="C76" s="259" t="s">
        <v>551</v>
      </c>
      <c r="D76" s="260">
        <v>1.4E-3</v>
      </c>
      <c r="E76" s="260">
        <v>1.6999999999999999E-3</v>
      </c>
      <c r="F76" s="260">
        <f t="shared" si="1"/>
        <v>0.21428571428571419</v>
      </c>
    </row>
    <row r="77" spans="2:6" ht="15.6">
      <c r="B77" s="258" t="s">
        <v>541</v>
      </c>
      <c r="C77" s="259" t="s">
        <v>556</v>
      </c>
      <c r="D77" s="260">
        <v>6.6E-3</v>
      </c>
      <c r="E77" s="260">
        <v>8.8999999999999999E-3</v>
      </c>
      <c r="F77" s="260">
        <f t="shared" si="1"/>
        <v>0.3484848484848484</v>
      </c>
    </row>
    <row r="78" spans="2:6" ht="15.6">
      <c r="B78" s="258" t="s">
        <v>542</v>
      </c>
      <c r="C78" s="259" t="s">
        <v>557</v>
      </c>
      <c r="D78" s="260">
        <v>7.0099999999999996E-2</v>
      </c>
      <c r="E78" s="260">
        <v>6.9400000000000003E-2</v>
      </c>
      <c r="F78" s="260">
        <f t="shared" si="1"/>
        <v>-9.9857346647644896E-3</v>
      </c>
    </row>
    <row r="79" spans="2:6" ht="15.6">
      <c r="B79" s="258" t="s">
        <v>543</v>
      </c>
      <c r="C79" s="259" t="s">
        <v>566</v>
      </c>
      <c r="D79" s="260">
        <v>2.9899999999999999E-2</v>
      </c>
      <c r="E79" s="260">
        <v>4.0800000000000003E-2</v>
      </c>
      <c r="F79" s="260">
        <f t="shared" si="1"/>
        <v>0.36454849498327779</v>
      </c>
    </row>
    <row r="80" spans="2:6" ht="15.6">
      <c r="B80" s="258" t="s">
        <v>544</v>
      </c>
      <c r="C80" s="259" t="s">
        <v>554</v>
      </c>
      <c r="D80" s="260">
        <v>3.7000000000000002E-3</v>
      </c>
      <c r="E80" s="260">
        <v>4.1999999999999997E-3</v>
      </c>
      <c r="F80" s="260">
        <f t="shared" si="1"/>
        <v>0.13513513513513509</v>
      </c>
    </row>
    <row r="81" spans="2:6" ht="15.6">
      <c r="B81" s="258" t="s">
        <v>545</v>
      </c>
      <c r="C81" s="259" t="s">
        <v>552</v>
      </c>
      <c r="D81" s="260">
        <v>4.4000000000000003E-3</v>
      </c>
      <c r="E81" s="260">
        <v>5.7000000000000002E-3</v>
      </c>
      <c r="F81" s="260">
        <f t="shared" si="1"/>
        <v>0.29545454545454541</v>
      </c>
    </row>
    <row r="82" spans="2:6" ht="15.6">
      <c r="B82" s="258" t="s">
        <v>546</v>
      </c>
      <c r="C82" s="259" t="s">
        <v>556</v>
      </c>
      <c r="D82" s="260">
        <v>7.7000000000000002E-3</v>
      </c>
      <c r="E82" s="260">
        <v>1.03E-2</v>
      </c>
      <c r="F82" s="260">
        <f t="shared" si="1"/>
        <v>0.33766233766233755</v>
      </c>
    </row>
    <row r="83" spans="2:6" ht="15.6">
      <c r="B83" s="258" t="s">
        <v>547</v>
      </c>
      <c r="C83" s="259" t="s">
        <v>561</v>
      </c>
      <c r="D83" s="260">
        <v>1.5100000000000001E-2</v>
      </c>
      <c r="E83" s="260">
        <v>1.5900000000000001E-2</v>
      </c>
      <c r="F83" s="260">
        <f t="shared" si="1"/>
        <v>5.2980132450331174E-2</v>
      </c>
    </row>
    <row r="84" spans="2:6" ht="15.6">
      <c r="B84" s="262" t="s">
        <v>548</v>
      </c>
      <c r="C84" s="263"/>
      <c r="E84" s="260"/>
      <c r="F84" s="264">
        <f>AVERAGE(F3:F83)</f>
        <v>0.15635764253817278</v>
      </c>
    </row>
    <row r="85" spans="2:6" ht="15.6">
      <c r="B85" s="262" t="s">
        <v>364</v>
      </c>
      <c r="C85" s="263"/>
      <c r="D85" s="265">
        <f>MEDIAN(D3:D83)</f>
        <v>8.6999999999999994E-3</v>
      </c>
      <c r="E85" s="265">
        <f>MEDIAN(E3:E83)</f>
        <v>1.03E-2</v>
      </c>
      <c r="F85" s="264">
        <f>MEDIAN(F3:F83)</f>
        <v>0.11976477337923119</v>
      </c>
    </row>
  </sheetData>
  <mergeCells count="1">
    <mergeCell ref="M4:P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38DD0-A005-437B-96C3-1D0D401A668D}">
  <dimension ref="B2:AI249"/>
  <sheetViews>
    <sheetView showGridLines="0" topLeftCell="A97" workbookViewId="0">
      <selection activeCell="AJ137" sqref="AJ137"/>
    </sheetView>
  </sheetViews>
  <sheetFormatPr defaultRowHeight="14.4"/>
  <cols>
    <col min="1" max="1" width="1.88671875" customWidth="1"/>
    <col min="2" max="2" width="16.21875" style="311" customWidth="1"/>
    <col min="5" max="5" width="26.5546875" bestFit="1" customWidth="1"/>
    <col min="6" max="6" width="16.77734375" bestFit="1" customWidth="1"/>
    <col min="7" max="7" width="13.109375" bestFit="1" customWidth="1"/>
    <col min="8" max="8" width="15.88671875" customWidth="1"/>
    <col min="9" max="9" width="12.109375" bestFit="1" customWidth="1"/>
    <col min="12" max="12" width="13.77734375" customWidth="1"/>
    <col min="20" max="20" width="9.5546875" bestFit="1" customWidth="1"/>
    <col min="21" max="22" width="8.44140625" customWidth="1"/>
    <col min="23" max="23" width="25.5546875" bestFit="1" customWidth="1"/>
    <col min="24" max="29" width="12.21875" bestFit="1" customWidth="1"/>
    <col min="30" max="34" width="12.88671875" bestFit="1" customWidth="1"/>
  </cols>
  <sheetData>
    <row r="2" spans="2:22" ht="12" customHeight="1">
      <c r="B2" s="311" t="s">
        <v>743</v>
      </c>
      <c r="D2" s="16" t="s">
        <v>775</v>
      </c>
      <c r="T2" t="s">
        <v>779</v>
      </c>
      <c r="U2" t="s">
        <v>780</v>
      </c>
    </row>
    <row r="3" spans="2:22" ht="12" customHeight="1">
      <c r="B3" s="311" t="s">
        <v>744</v>
      </c>
      <c r="D3" t="s">
        <v>776</v>
      </c>
      <c r="F3" s="265">
        <v>0.93799999999999994</v>
      </c>
      <c r="T3" s="328">
        <v>46251</v>
      </c>
      <c r="U3" s="426">
        <v>5275.5</v>
      </c>
      <c r="V3" s="426"/>
    </row>
    <row r="4" spans="2:22" ht="12" customHeight="1">
      <c r="D4" t="s">
        <v>777</v>
      </c>
      <c r="F4" s="265">
        <v>2.5999999999999999E-2</v>
      </c>
      <c r="T4" s="328">
        <v>46248</v>
      </c>
      <c r="U4" s="426">
        <v>5310</v>
      </c>
      <c r="V4" s="426"/>
    </row>
    <row r="5" spans="2:22" ht="12" customHeight="1">
      <c r="B5" s="311" t="s">
        <v>745</v>
      </c>
      <c r="D5" t="s">
        <v>778</v>
      </c>
      <c r="F5" s="265">
        <v>3.5999999999999997E-2</v>
      </c>
      <c r="T5" s="328">
        <v>46247</v>
      </c>
      <c r="U5" s="426">
        <v>5370</v>
      </c>
      <c r="V5" s="426"/>
    </row>
    <row r="6" spans="2:22" ht="12" customHeight="1">
      <c r="B6" s="311" t="s">
        <v>746</v>
      </c>
      <c r="T6" s="328">
        <v>46246</v>
      </c>
      <c r="U6" s="426">
        <v>5333</v>
      </c>
      <c r="V6" s="426"/>
    </row>
    <row r="7" spans="2:22" ht="12" customHeight="1">
      <c r="T7" s="328">
        <v>46245</v>
      </c>
      <c r="U7" s="426">
        <v>5284</v>
      </c>
      <c r="V7" s="426"/>
    </row>
    <row r="8" spans="2:22" ht="12" customHeight="1">
      <c r="B8" s="311" t="s">
        <v>747</v>
      </c>
      <c r="T8" s="328">
        <v>46244</v>
      </c>
      <c r="U8" s="426">
        <v>5333.5</v>
      </c>
      <c r="V8" s="426"/>
    </row>
    <row r="9" spans="2:22" ht="12" customHeight="1">
      <c r="B9" s="311" t="s">
        <v>748</v>
      </c>
      <c r="T9" s="328">
        <v>46241</v>
      </c>
      <c r="U9" s="426">
        <v>5333</v>
      </c>
      <c r="V9" s="426"/>
    </row>
    <row r="10" spans="2:22" ht="12" customHeight="1">
      <c r="B10" s="311" t="s">
        <v>749</v>
      </c>
      <c r="T10" s="328">
        <v>46240</v>
      </c>
      <c r="U10" s="426">
        <v>5318.5</v>
      </c>
      <c r="V10" s="426"/>
    </row>
    <row r="11" spans="2:22" ht="12" customHeight="1">
      <c r="B11" s="311" t="s">
        <v>750</v>
      </c>
      <c r="T11" s="328">
        <v>46239</v>
      </c>
      <c r="U11" s="426">
        <v>5400</v>
      </c>
      <c r="V11" s="426"/>
    </row>
    <row r="12" spans="2:22" ht="12" customHeight="1">
      <c r="B12" s="311" t="s">
        <v>751</v>
      </c>
      <c r="T12" s="328">
        <v>46238</v>
      </c>
      <c r="U12" s="426">
        <v>5358</v>
      </c>
      <c r="V12" s="426"/>
    </row>
    <row r="13" spans="2:22" ht="12" customHeight="1">
      <c r="T13" s="328">
        <v>46237</v>
      </c>
      <c r="U13" s="426">
        <v>5400</v>
      </c>
      <c r="V13" s="426"/>
    </row>
    <row r="14" spans="2:22" ht="12" customHeight="1">
      <c r="B14" s="311" t="s">
        <v>752</v>
      </c>
      <c r="T14" s="328">
        <v>46234</v>
      </c>
      <c r="U14" s="426">
        <v>5171</v>
      </c>
      <c r="V14" s="426"/>
    </row>
    <row r="15" spans="2:22" ht="12" customHeight="1">
      <c r="B15" s="311" t="s">
        <v>753</v>
      </c>
      <c r="T15" s="328">
        <v>46233</v>
      </c>
      <c r="U15" s="426">
        <v>5230.5</v>
      </c>
      <c r="V15" s="426"/>
    </row>
    <row r="16" spans="2:22" ht="12" customHeight="1">
      <c r="B16" s="311" t="s">
        <v>754</v>
      </c>
      <c r="T16" s="328">
        <v>46232</v>
      </c>
      <c r="U16" s="426">
        <v>5276.5</v>
      </c>
      <c r="V16" s="426"/>
    </row>
    <row r="17" spans="2:22" ht="12" customHeight="1">
      <c r="B17" s="311" t="s">
        <v>755</v>
      </c>
      <c r="T17" s="328">
        <v>46231</v>
      </c>
      <c r="U17" s="426">
        <v>5270.5</v>
      </c>
      <c r="V17" s="426"/>
    </row>
    <row r="18" spans="2:22" ht="12" customHeight="1">
      <c r="B18" s="311" t="s">
        <v>756</v>
      </c>
      <c r="T18" s="328">
        <v>46230</v>
      </c>
      <c r="U18" s="426">
        <v>5230</v>
      </c>
      <c r="V18" s="426"/>
    </row>
    <row r="19" spans="2:22" ht="12" customHeight="1">
      <c r="B19" s="311" t="s">
        <v>757</v>
      </c>
      <c r="T19" s="328">
        <v>46227</v>
      </c>
      <c r="U19" s="426">
        <v>4985</v>
      </c>
      <c r="V19" s="426"/>
    </row>
    <row r="20" spans="2:22" ht="12" customHeight="1">
      <c r="B20" s="311" t="s">
        <v>758</v>
      </c>
      <c r="T20" s="328">
        <v>46226</v>
      </c>
      <c r="U20" s="426">
        <v>5023.5</v>
      </c>
      <c r="V20" s="426"/>
    </row>
    <row r="21" spans="2:22" ht="12" customHeight="1">
      <c r="E21" s="16" t="s">
        <v>786</v>
      </c>
      <c r="T21" s="328">
        <v>46225</v>
      </c>
      <c r="U21" s="426">
        <v>5117</v>
      </c>
      <c r="V21" s="426"/>
    </row>
    <row r="22" spans="2:22" ht="12" customHeight="1">
      <c r="B22" s="311" t="s">
        <v>759</v>
      </c>
      <c r="F22" s="429">
        <v>2025</v>
      </c>
      <c r="G22" s="430">
        <v>2026</v>
      </c>
      <c r="H22" s="430">
        <f>G22+1</f>
        <v>2027</v>
      </c>
      <c r="T22" s="328">
        <v>46224</v>
      </c>
      <c r="U22" s="426">
        <v>5305</v>
      </c>
      <c r="V22" s="426"/>
    </row>
    <row r="23" spans="2:22" ht="12" customHeight="1">
      <c r="E23" t="s">
        <v>785</v>
      </c>
      <c r="F23" s="34">
        <v>3.5000000000000003E-2</v>
      </c>
      <c r="G23" s="34">
        <v>0.03</v>
      </c>
      <c r="H23" s="34">
        <v>3.4000000000000002E-2</v>
      </c>
      <c r="T23" s="328">
        <v>46223</v>
      </c>
      <c r="U23" s="426">
        <v>5229</v>
      </c>
      <c r="V23" s="426"/>
    </row>
    <row r="24" spans="2:22" ht="12" customHeight="1">
      <c r="B24" s="311" t="s">
        <v>760</v>
      </c>
      <c r="E24" t="s">
        <v>781</v>
      </c>
      <c r="F24" s="56">
        <v>1.9E-2</v>
      </c>
      <c r="G24" s="56">
        <v>1.7000000000000001E-2</v>
      </c>
      <c r="H24" s="56">
        <v>1.7999999999999999E-2</v>
      </c>
      <c r="T24" s="328">
        <v>46220</v>
      </c>
      <c r="U24" s="426">
        <v>5248.5</v>
      </c>
      <c r="V24" s="426"/>
    </row>
    <row r="25" spans="2:22" ht="12" customHeight="1">
      <c r="B25" s="311" t="s">
        <v>761</v>
      </c>
      <c r="E25" t="s">
        <v>545</v>
      </c>
      <c r="F25" s="56">
        <v>2.1000000000000001E-2</v>
      </c>
      <c r="G25" s="56">
        <v>2.3E-2</v>
      </c>
      <c r="H25" s="56">
        <v>2.1999999999999999E-2</v>
      </c>
      <c r="T25" s="328">
        <v>46219</v>
      </c>
      <c r="U25" s="426">
        <v>5265.5</v>
      </c>
      <c r="V25" s="426"/>
    </row>
    <row r="26" spans="2:22" ht="12" customHeight="1">
      <c r="B26" s="311" t="s">
        <v>762</v>
      </c>
      <c r="E26" t="s">
        <v>782</v>
      </c>
      <c r="F26" s="56">
        <v>1.4E-2</v>
      </c>
      <c r="G26" s="56">
        <v>8.9999999999999993E-3</v>
      </c>
      <c r="H26" s="56">
        <v>1.2E-2</v>
      </c>
      <c r="T26" s="328">
        <v>46218</v>
      </c>
      <c r="U26" s="426">
        <v>5171</v>
      </c>
      <c r="V26" s="426"/>
    </row>
    <row r="27" spans="2:22" ht="12" customHeight="1">
      <c r="B27" s="311" t="s">
        <v>763</v>
      </c>
      <c r="E27" t="s">
        <v>783</v>
      </c>
      <c r="F27" s="56">
        <v>1.0999999999999999E-2</v>
      </c>
      <c r="G27" s="56">
        <v>6.0000000000000001E-3</v>
      </c>
      <c r="H27" s="56">
        <v>7.0000000000000001E-3</v>
      </c>
      <c r="T27" s="328">
        <v>46217</v>
      </c>
      <c r="U27" s="426">
        <v>5108</v>
      </c>
      <c r="V27" s="426"/>
    </row>
    <row r="28" spans="2:22" ht="12" customHeight="1">
      <c r="B28" s="311" t="s">
        <v>764</v>
      </c>
      <c r="E28" t="s">
        <v>784</v>
      </c>
      <c r="F28" s="56">
        <v>1.4E-2</v>
      </c>
      <c r="G28" s="56">
        <v>0.01</v>
      </c>
      <c r="H28" s="56">
        <v>1.2999999999999999E-2</v>
      </c>
      <c r="T28" s="328">
        <v>46216</v>
      </c>
      <c r="U28" s="426">
        <v>5229.5</v>
      </c>
      <c r="V28" s="426"/>
    </row>
    <row r="29" spans="2:22" ht="12" customHeight="1">
      <c r="B29" s="311" t="s">
        <v>765</v>
      </c>
      <c r="E29" t="s">
        <v>477</v>
      </c>
      <c r="F29" s="56">
        <v>0.05</v>
      </c>
      <c r="G29" s="56">
        <v>4.5999999999999999E-2</v>
      </c>
      <c r="H29" s="56">
        <v>4.1000000000000002E-2</v>
      </c>
      <c r="T29" s="328">
        <v>46213</v>
      </c>
      <c r="U29" s="426">
        <v>5312</v>
      </c>
      <c r="V29" s="426"/>
    </row>
    <row r="30" spans="2:22" ht="12" customHeight="1">
      <c r="B30" s="311" t="s">
        <v>766</v>
      </c>
      <c r="E30" t="s">
        <v>497</v>
      </c>
      <c r="F30" s="56">
        <v>7.6999999999999999E-2</v>
      </c>
      <c r="G30" s="56">
        <v>6.4000000000000001E-2</v>
      </c>
      <c r="H30" s="56">
        <v>6.7000000000000004E-2</v>
      </c>
      <c r="T30" s="328">
        <v>46212</v>
      </c>
      <c r="U30" s="426">
        <v>5229.5</v>
      </c>
      <c r="V30" s="426"/>
    </row>
    <row r="31" spans="2:22" ht="12" customHeight="1">
      <c r="T31" s="328">
        <v>46211</v>
      </c>
      <c r="U31" s="426">
        <v>5124</v>
      </c>
      <c r="V31" s="426"/>
    </row>
    <row r="32" spans="2:22" ht="12" customHeight="1">
      <c r="B32" s="311" t="s">
        <v>767</v>
      </c>
      <c r="T32" s="328">
        <v>46210</v>
      </c>
      <c r="U32" s="426">
        <v>5395</v>
      </c>
      <c r="V32" s="426"/>
    </row>
    <row r="33" spans="2:23" ht="12" customHeight="1">
      <c r="E33" s="16" t="s">
        <v>787</v>
      </c>
      <c r="F33" s="16"/>
      <c r="G33" s="16" t="s">
        <v>788</v>
      </c>
      <c r="U33" s="328">
        <v>46209</v>
      </c>
      <c r="V33" s="328"/>
      <c r="W33" s="426">
        <v>5408.5</v>
      </c>
    </row>
    <row r="34" spans="2:23" ht="12" customHeight="1">
      <c r="B34" s="311" t="s">
        <v>768</v>
      </c>
      <c r="F34" t="s">
        <v>497</v>
      </c>
      <c r="G34" t="s">
        <v>788</v>
      </c>
      <c r="T34" s="328">
        <v>46206</v>
      </c>
      <c r="U34" s="426">
        <v>5426.5</v>
      </c>
      <c r="V34" s="426"/>
    </row>
    <row r="35" spans="2:23" ht="12" customHeight="1">
      <c r="B35" s="311" t="s">
        <v>769</v>
      </c>
      <c r="E35" s="427">
        <v>2021</v>
      </c>
      <c r="F35" s="34">
        <v>9.7000000000000003E-2</v>
      </c>
      <c r="G35" s="34">
        <v>6.5000000000000002E-2</v>
      </c>
      <c r="T35" s="328">
        <v>46205</v>
      </c>
      <c r="U35" s="426">
        <v>5444</v>
      </c>
      <c r="V35" s="426"/>
    </row>
    <row r="36" spans="2:23" ht="12" customHeight="1">
      <c r="B36" s="311" t="s">
        <v>770</v>
      </c>
      <c r="E36" s="427">
        <f>E35+1</f>
        <v>2022</v>
      </c>
      <c r="F36" s="34">
        <v>7.5999999999999998E-2</v>
      </c>
      <c r="G36" s="34">
        <v>3.4000000000000002E-2</v>
      </c>
      <c r="T36" s="328">
        <v>46204</v>
      </c>
      <c r="U36" s="426">
        <v>5399</v>
      </c>
      <c r="V36" s="426"/>
    </row>
    <row r="37" spans="2:23" ht="12" customHeight="1">
      <c r="B37" s="311" t="s">
        <v>771</v>
      </c>
      <c r="E37" s="427">
        <f>E36+1</f>
        <v>2023</v>
      </c>
      <c r="F37" s="34">
        <v>7.1999999999999995E-2</v>
      </c>
      <c r="G37" s="34">
        <v>2.9000000000000001E-2</v>
      </c>
      <c r="T37" s="328">
        <v>46203</v>
      </c>
      <c r="U37" s="426">
        <v>5368.4</v>
      </c>
      <c r="V37" s="426"/>
    </row>
    <row r="38" spans="2:23" ht="12" customHeight="1">
      <c r="E38" s="427">
        <f>E37+1</f>
        <v>2024</v>
      </c>
      <c r="F38" s="34">
        <v>7.0999999999999994E-2</v>
      </c>
      <c r="G38" s="34">
        <v>2.9000000000000001E-2</v>
      </c>
      <c r="T38" s="328">
        <v>46202</v>
      </c>
      <c r="U38" s="426">
        <v>5315.2</v>
      </c>
      <c r="V38" s="426"/>
    </row>
    <row r="39" spans="2:23" ht="12" customHeight="1">
      <c r="B39" s="311" t="s">
        <v>772</v>
      </c>
      <c r="E39" s="427">
        <f>E38+1</f>
        <v>2025</v>
      </c>
      <c r="F39" s="34">
        <v>7.5999999999999998E-2</v>
      </c>
      <c r="G39" s="34">
        <v>2.9000000000000001E-2</v>
      </c>
      <c r="T39" s="328">
        <v>46198</v>
      </c>
      <c r="U39" s="426">
        <v>5450</v>
      </c>
      <c r="V39" s="426"/>
    </row>
    <row r="40" spans="2:23" ht="12" customHeight="1">
      <c r="B40" s="311" t="s">
        <v>773</v>
      </c>
      <c r="E40" s="428">
        <v>2026</v>
      </c>
      <c r="F40" s="34">
        <v>7.8E-2</v>
      </c>
      <c r="G40" s="34">
        <v>3.3000000000000002E-2</v>
      </c>
      <c r="T40" s="328">
        <v>46197</v>
      </c>
      <c r="U40" s="426">
        <v>5207.2</v>
      </c>
      <c r="V40" s="426"/>
    </row>
    <row r="41" spans="2:23" ht="14.4" customHeight="1">
      <c r="B41" s="311" t="s">
        <v>774</v>
      </c>
      <c r="E41" s="428">
        <v>2027</v>
      </c>
      <c r="F41" s="34">
        <v>6.8000000000000005E-2</v>
      </c>
      <c r="G41" s="34">
        <v>3.2000000000000001E-2</v>
      </c>
      <c r="T41" s="328">
        <v>46196</v>
      </c>
      <c r="U41" s="426">
        <v>4961.3999999999996</v>
      </c>
      <c r="V41" s="426"/>
    </row>
    <row r="42" spans="2:23">
      <c r="T42" s="328">
        <v>46195</v>
      </c>
      <c r="U42" s="426">
        <v>5021.1000000000004</v>
      </c>
      <c r="V42" s="426"/>
    </row>
    <row r="43" spans="2:23">
      <c r="T43" s="328">
        <v>46192</v>
      </c>
      <c r="U43" s="426">
        <v>5021.5</v>
      </c>
      <c r="V43" s="426"/>
    </row>
    <row r="44" spans="2:23">
      <c r="T44" s="328">
        <v>46191</v>
      </c>
      <c r="U44" s="426">
        <v>5011.8</v>
      </c>
      <c r="V44" s="426"/>
    </row>
    <row r="45" spans="2:23">
      <c r="T45" s="328">
        <v>46190</v>
      </c>
      <c r="U45" s="426">
        <v>4878.3999999999996</v>
      </c>
      <c r="V45" s="426"/>
    </row>
    <row r="46" spans="2:23">
      <c r="T46" s="328">
        <v>46189</v>
      </c>
      <c r="U46" s="426">
        <v>4840</v>
      </c>
      <c r="V46" s="426"/>
    </row>
    <row r="47" spans="2:23">
      <c r="T47" s="328">
        <v>46188</v>
      </c>
      <c r="U47" s="426">
        <v>4880.3999999999996</v>
      </c>
      <c r="V47" s="426"/>
    </row>
    <row r="48" spans="2:23">
      <c r="E48" s="16" t="s">
        <v>789</v>
      </c>
      <c r="T48" s="328">
        <v>46185</v>
      </c>
      <c r="U48" s="426">
        <v>4709.7</v>
      </c>
      <c r="V48" s="426"/>
    </row>
    <row r="49" spans="4:22">
      <c r="D49" s="16" t="s">
        <v>790</v>
      </c>
      <c r="F49" t="s">
        <v>791</v>
      </c>
      <c r="G49" t="s">
        <v>792</v>
      </c>
      <c r="T49" s="328">
        <v>46184</v>
      </c>
      <c r="U49" s="426">
        <v>4502.3999999999996</v>
      </c>
      <c r="V49" s="426"/>
    </row>
    <row r="50" spans="4:22">
      <c r="E50" s="427">
        <v>2021</v>
      </c>
      <c r="F50">
        <v>3623</v>
      </c>
      <c r="G50">
        <v>272.10000000000002</v>
      </c>
      <c r="T50" s="328">
        <v>46183</v>
      </c>
      <c r="U50" s="426">
        <v>4524.8999999999996</v>
      </c>
      <c r="V50" s="426"/>
    </row>
    <row r="51" spans="4:22">
      <c r="E51" s="427">
        <f>E50+1</f>
        <v>2022</v>
      </c>
      <c r="F51">
        <v>5973</v>
      </c>
      <c r="G51">
        <v>250.1</v>
      </c>
      <c r="T51" s="328">
        <v>46182</v>
      </c>
      <c r="U51" s="426">
        <v>4537.6000000000004</v>
      </c>
      <c r="V51" s="426"/>
    </row>
    <row r="52" spans="4:22">
      <c r="E52" s="427">
        <f>E51+1</f>
        <v>2023</v>
      </c>
      <c r="F52">
        <v>8171</v>
      </c>
      <c r="G52">
        <v>245.8</v>
      </c>
      <c r="T52" s="328">
        <v>46181</v>
      </c>
      <c r="U52" s="426">
        <v>4359.7</v>
      </c>
      <c r="V52" s="426"/>
    </row>
    <row r="53" spans="4:22">
      <c r="E53" s="427">
        <f>E52+1</f>
        <v>2024</v>
      </c>
      <c r="F53">
        <v>9038</v>
      </c>
      <c r="G53">
        <v>273.7</v>
      </c>
      <c r="T53" s="328">
        <v>46178</v>
      </c>
      <c r="U53" s="426">
        <v>4481.3</v>
      </c>
      <c r="V53" s="426"/>
    </row>
    <row r="54" spans="4:22">
      <c r="E54" s="427">
        <f>E53+1</f>
        <v>2025</v>
      </c>
      <c r="F54">
        <v>9520</v>
      </c>
      <c r="G54" s="431">
        <v>283</v>
      </c>
      <c r="T54" s="328">
        <v>46177</v>
      </c>
      <c r="U54" s="426">
        <v>4508.8</v>
      </c>
      <c r="V54" s="426"/>
    </row>
    <row r="55" spans="4:22">
      <c r="E55" s="428">
        <v>2026</v>
      </c>
      <c r="F55">
        <v>9719</v>
      </c>
      <c r="G55">
        <v>285.10000000000002</v>
      </c>
      <c r="T55" s="328">
        <v>46176</v>
      </c>
      <c r="U55" s="426">
        <v>4512.1000000000004</v>
      </c>
      <c r="V55" s="426"/>
    </row>
    <row r="56" spans="4:22">
      <c r="E56" s="428"/>
      <c r="T56" s="328">
        <v>46175</v>
      </c>
      <c r="U56" s="426">
        <v>4466.1000000000004</v>
      </c>
      <c r="V56" s="426"/>
    </row>
    <row r="57" spans="4:22">
      <c r="D57" s="16" t="s">
        <v>793</v>
      </c>
      <c r="F57" t="s">
        <v>794</v>
      </c>
      <c r="G57" t="s">
        <v>795</v>
      </c>
      <c r="H57" t="s">
        <v>796</v>
      </c>
      <c r="I57" t="s">
        <v>66</v>
      </c>
      <c r="J57" t="s">
        <v>111</v>
      </c>
      <c r="T57" s="328">
        <v>46174</v>
      </c>
      <c r="U57" s="426">
        <v>4453.3</v>
      </c>
      <c r="V57" s="426"/>
    </row>
    <row r="58" spans="4:22">
      <c r="E58" s="427">
        <v>2021</v>
      </c>
      <c r="F58">
        <v>242</v>
      </c>
      <c r="G58">
        <v>210</v>
      </c>
      <c r="H58">
        <v>61</v>
      </c>
      <c r="I58" s="22">
        <v>-43.5</v>
      </c>
      <c r="J58" s="22">
        <v>-40.4</v>
      </c>
      <c r="T58" s="328">
        <v>46171</v>
      </c>
      <c r="U58" s="426">
        <v>4405</v>
      </c>
      <c r="V58" s="426"/>
    </row>
    <row r="59" spans="4:22">
      <c r="E59" s="427">
        <f>E58+1</f>
        <v>2022</v>
      </c>
      <c r="F59">
        <v>437</v>
      </c>
      <c r="G59">
        <v>206</v>
      </c>
      <c r="H59">
        <v>95</v>
      </c>
      <c r="I59" s="22">
        <v>11.3</v>
      </c>
      <c r="J59" s="22">
        <v>-3.5</v>
      </c>
      <c r="T59" s="328">
        <v>46169</v>
      </c>
      <c r="U59" s="426">
        <v>4570</v>
      </c>
      <c r="V59" s="426"/>
    </row>
    <row r="60" spans="4:22">
      <c r="E60" s="427">
        <f>E59+1</f>
        <v>2023</v>
      </c>
      <c r="F60">
        <v>669</v>
      </c>
      <c r="G60">
        <v>139</v>
      </c>
      <c r="H60">
        <v>122</v>
      </c>
      <c r="I60" s="22">
        <v>66.099999999999994</v>
      </c>
      <c r="J60" s="22">
        <v>40.5</v>
      </c>
      <c r="T60" s="328">
        <v>46168</v>
      </c>
      <c r="U60" s="426">
        <v>4480.8</v>
      </c>
      <c r="V60" s="426"/>
    </row>
    <row r="61" spans="4:22">
      <c r="E61" s="427">
        <f>E60+1</f>
        <v>2024</v>
      </c>
      <c r="F61">
        <v>726</v>
      </c>
      <c r="G61">
        <v>147</v>
      </c>
      <c r="H61">
        <v>137</v>
      </c>
      <c r="I61" s="22">
        <v>70.7</v>
      </c>
      <c r="J61" s="22">
        <v>37.700000000000003</v>
      </c>
      <c r="T61" s="328">
        <v>46167</v>
      </c>
      <c r="U61" s="426">
        <v>4501.8999999999996</v>
      </c>
      <c r="V61" s="426"/>
    </row>
    <row r="62" spans="4:22">
      <c r="E62" s="427">
        <f>E61+1</f>
        <v>2025</v>
      </c>
      <c r="F62">
        <v>768</v>
      </c>
      <c r="G62">
        <v>151</v>
      </c>
      <c r="H62">
        <v>146</v>
      </c>
      <c r="I62" s="22">
        <v>76.400000000000006</v>
      </c>
      <c r="J62" s="22">
        <v>45</v>
      </c>
      <c r="T62" s="328">
        <v>46164</v>
      </c>
      <c r="U62" s="426">
        <v>4438.6000000000004</v>
      </c>
      <c r="V62" s="426"/>
    </row>
    <row r="63" spans="4:22">
      <c r="E63" s="428">
        <v>2026</v>
      </c>
      <c r="F63">
        <v>839</v>
      </c>
      <c r="G63">
        <v>162</v>
      </c>
      <c r="H63">
        <v>165</v>
      </c>
      <c r="I63" s="22">
        <v>48</v>
      </c>
      <c r="J63" s="22">
        <v>23</v>
      </c>
      <c r="T63" s="328">
        <v>46163</v>
      </c>
      <c r="U63" s="426">
        <v>4403</v>
      </c>
      <c r="V63" s="426"/>
    </row>
    <row r="64" spans="4:22">
      <c r="T64" s="328">
        <v>46162</v>
      </c>
      <c r="U64" s="426">
        <v>4264.6000000000004</v>
      </c>
      <c r="V64" s="426"/>
    </row>
    <row r="65" spans="4:22">
      <c r="D65" s="16" t="s">
        <v>802</v>
      </c>
      <c r="F65" t="s">
        <v>797</v>
      </c>
      <c r="G65" t="s">
        <v>801</v>
      </c>
      <c r="H65" s="3" t="s">
        <v>798</v>
      </c>
      <c r="I65" t="s">
        <v>801</v>
      </c>
      <c r="T65" s="328">
        <v>46161</v>
      </c>
      <c r="U65" s="426">
        <v>4230.3</v>
      </c>
      <c r="V65" s="426"/>
    </row>
    <row r="66" spans="4:22">
      <c r="E66" s="427">
        <v>2021</v>
      </c>
      <c r="F66">
        <v>105.2</v>
      </c>
      <c r="G66" s="230">
        <f>F66/R67-1</f>
        <v>-0.61675774134790529</v>
      </c>
      <c r="H66">
        <v>10.1</v>
      </c>
      <c r="I66" s="230">
        <f>H66/R68-1</f>
        <v>-0.84812030075187972</v>
      </c>
      <c r="T66" s="328">
        <v>46160</v>
      </c>
      <c r="U66" s="426">
        <v>4275.7</v>
      </c>
      <c r="V66" s="426"/>
    </row>
    <row r="67" spans="4:22">
      <c r="E67" s="427">
        <f>E66+1</f>
        <v>2022</v>
      </c>
      <c r="F67">
        <v>166.8</v>
      </c>
      <c r="G67" s="230">
        <f>F67/F66-1</f>
        <v>0.58555133079847921</v>
      </c>
      <c r="H67">
        <v>22.08</v>
      </c>
      <c r="I67" s="230">
        <f>H67/H66-1</f>
        <v>1.1861386138613859</v>
      </c>
      <c r="Q67">
        <v>2020</v>
      </c>
      <c r="R67">
        <v>274.5</v>
      </c>
      <c r="T67" s="328">
        <v>46157</v>
      </c>
      <c r="U67" s="426">
        <v>4314.8999999999996</v>
      </c>
      <c r="V67" s="426"/>
    </row>
    <row r="68" spans="4:22">
      <c r="E68" s="427">
        <f>E67+1</f>
        <v>2023</v>
      </c>
      <c r="F68">
        <v>270.33999999999997</v>
      </c>
      <c r="G68" s="230">
        <f t="shared" ref="G68:I71" si="0">F68/F67-1</f>
        <v>0.6207434052757792</v>
      </c>
      <c r="H68">
        <v>56.94</v>
      </c>
      <c r="I68" s="230">
        <f t="shared" si="0"/>
        <v>1.5788043478260869</v>
      </c>
      <c r="R68">
        <v>66.5</v>
      </c>
      <c r="T68" s="328">
        <v>46156</v>
      </c>
      <c r="U68" s="426">
        <v>4280.5</v>
      </c>
      <c r="V68" s="426"/>
    </row>
    <row r="69" spans="4:22">
      <c r="E69" s="427">
        <f>E68+1</f>
        <v>2024</v>
      </c>
      <c r="F69">
        <v>306.79000000000002</v>
      </c>
      <c r="G69" s="230">
        <f t="shared" si="0"/>
        <v>0.13483021380483851</v>
      </c>
      <c r="H69">
        <v>69.64</v>
      </c>
      <c r="I69" s="230">
        <f t="shared" si="0"/>
        <v>0.2230417983842643</v>
      </c>
      <c r="T69" s="328">
        <v>46155</v>
      </c>
      <c r="U69" s="426">
        <v>4255.8</v>
      </c>
      <c r="V69" s="426"/>
    </row>
    <row r="70" spans="4:22">
      <c r="E70" s="427">
        <f>E69+1</f>
        <v>2025</v>
      </c>
      <c r="F70">
        <v>334.7</v>
      </c>
      <c r="G70" s="230">
        <f t="shared" si="0"/>
        <v>9.0974282082205926E-2</v>
      </c>
      <c r="H70">
        <v>77.06</v>
      </c>
      <c r="I70" s="230">
        <f t="shared" si="0"/>
        <v>0.10654796094198749</v>
      </c>
      <c r="R70">
        <v>2003</v>
      </c>
      <c r="T70" s="328">
        <v>46154</v>
      </c>
      <c r="U70" s="426">
        <v>4201.7</v>
      </c>
      <c r="V70" s="426"/>
    </row>
    <row r="71" spans="4:22">
      <c r="E71" s="428">
        <v>2026</v>
      </c>
      <c r="F71">
        <v>281.77999999999997</v>
      </c>
      <c r="G71" s="230">
        <f t="shared" si="0"/>
        <v>-0.15811174185838073</v>
      </c>
      <c r="H71">
        <v>68.709999999999994</v>
      </c>
      <c r="I71" s="230">
        <f t="shared" si="0"/>
        <v>-0.10835712431871281</v>
      </c>
      <c r="R71">
        <v>1325</v>
      </c>
      <c r="T71" s="328">
        <v>46153</v>
      </c>
      <c r="U71" s="426">
        <v>4299.3999999999996</v>
      </c>
      <c r="V71" s="426"/>
    </row>
    <row r="72" spans="4:22">
      <c r="T72" s="328">
        <v>46150</v>
      </c>
      <c r="U72" s="426">
        <v>4522.7</v>
      </c>
      <c r="V72" s="426"/>
    </row>
    <row r="73" spans="4:22">
      <c r="T73" s="328">
        <v>46149</v>
      </c>
      <c r="U73" s="426">
        <v>4506.8999999999996</v>
      </c>
      <c r="V73" s="426"/>
    </row>
    <row r="74" spans="4:22">
      <c r="D74" s="16" t="s">
        <v>800</v>
      </c>
      <c r="T74" s="328">
        <v>46148</v>
      </c>
      <c r="U74" s="426">
        <v>4520.2</v>
      </c>
      <c r="V74" s="426"/>
    </row>
    <row r="75" spans="4:22">
      <c r="F75" t="s">
        <v>799</v>
      </c>
      <c r="G75" t="s">
        <v>801</v>
      </c>
      <c r="H75" t="s">
        <v>798</v>
      </c>
      <c r="I75" t="s">
        <v>801</v>
      </c>
      <c r="T75" s="328">
        <v>46147</v>
      </c>
      <c r="U75" s="426">
        <v>4238.3999999999996</v>
      </c>
      <c r="V75" s="426"/>
    </row>
    <row r="76" spans="4:22">
      <c r="E76" s="427">
        <v>2021</v>
      </c>
      <c r="F76">
        <v>1521</v>
      </c>
      <c r="G76" s="230">
        <f>F76/R70-1</f>
        <v>-0.2406390414378432</v>
      </c>
      <c r="H76">
        <v>952</v>
      </c>
      <c r="I76" s="230">
        <f>F76/R71-1</f>
        <v>0.14792452830188685</v>
      </c>
      <c r="T76" s="328">
        <v>46146</v>
      </c>
      <c r="U76" s="426">
        <v>4262.3999999999996</v>
      </c>
      <c r="V76" s="426"/>
    </row>
    <row r="77" spans="4:22">
      <c r="E77" s="427">
        <f>E76+1</f>
        <v>2022</v>
      </c>
      <c r="F77">
        <v>1961</v>
      </c>
      <c r="G77" s="230">
        <f>F77/F76-1</f>
        <v>0.28928336620644313</v>
      </c>
      <c r="H77">
        <v>1179</v>
      </c>
      <c r="I77" s="230">
        <f>H77/H76-1</f>
        <v>0.23844537815126055</v>
      </c>
      <c r="T77" s="328">
        <v>46142</v>
      </c>
      <c r="U77" s="426">
        <v>4295.3</v>
      </c>
      <c r="V77" s="426"/>
    </row>
    <row r="78" spans="4:22">
      <c r="E78" s="427">
        <f>E77+1</f>
        <v>2023</v>
      </c>
      <c r="F78">
        <v>1864</v>
      </c>
      <c r="G78" s="230">
        <f t="shared" ref="G78" si="1">F78/F77-1</f>
        <v>-4.9464558898521194E-2</v>
      </c>
      <c r="H78">
        <v>1282</v>
      </c>
      <c r="I78" s="230">
        <f t="shared" ref="I78" si="2">H78/H77-1</f>
        <v>8.736217133163704E-2</v>
      </c>
      <c r="T78" s="328">
        <v>46141</v>
      </c>
      <c r="U78" s="426">
        <v>4345.2</v>
      </c>
      <c r="V78" s="426"/>
    </row>
    <row r="79" spans="4:22">
      <c r="E79" s="427">
        <f>E78+1</f>
        <v>2024</v>
      </c>
      <c r="F79">
        <v>2046</v>
      </c>
      <c r="G79" s="230">
        <f t="shared" ref="G79" si="3">F79/F78-1</f>
        <v>9.7639484978540692E-2</v>
      </c>
      <c r="H79">
        <v>1320</v>
      </c>
      <c r="I79" s="230">
        <f t="shared" ref="I79" si="4">H79/H78-1</f>
        <v>2.9641185647425905E-2</v>
      </c>
      <c r="T79" s="328">
        <v>46140</v>
      </c>
      <c r="U79" s="426">
        <v>4442.3999999999996</v>
      </c>
      <c r="V79" s="426"/>
    </row>
    <row r="80" spans="4:22">
      <c r="E80" s="427">
        <f>E79+1</f>
        <v>2025</v>
      </c>
      <c r="F80">
        <v>2325</v>
      </c>
      <c r="G80" s="230">
        <f t="shared" ref="G80" si="5">F80/F79-1</f>
        <v>0.13636363636363646</v>
      </c>
      <c r="H80">
        <v>1394</v>
      </c>
      <c r="I80" s="230">
        <f t="shared" ref="I80" si="6">H80/H79-1</f>
        <v>5.6060606060606144E-2</v>
      </c>
      <c r="T80" s="328">
        <v>46139</v>
      </c>
      <c r="U80" s="426">
        <v>4561.2</v>
      </c>
      <c r="V80" s="426"/>
    </row>
    <row r="81" spans="4:34">
      <c r="E81" s="428">
        <v>2026</v>
      </c>
      <c r="F81">
        <v>2038</v>
      </c>
      <c r="G81" s="230">
        <f t="shared" ref="G81" si="7">F81/F80-1</f>
        <v>-0.12344086021505374</v>
      </c>
      <c r="H81">
        <v>1253</v>
      </c>
      <c r="I81" s="230">
        <f t="shared" ref="I81" si="8">H81/H80-1</f>
        <v>-0.10114777618364423</v>
      </c>
      <c r="T81" s="328">
        <v>46136</v>
      </c>
      <c r="U81" s="426">
        <v>4523.1000000000004</v>
      </c>
      <c r="V81" s="426"/>
    </row>
    <row r="82" spans="4:34">
      <c r="T82" s="328">
        <v>46135</v>
      </c>
      <c r="U82" s="426">
        <v>4556</v>
      </c>
      <c r="V82" s="426"/>
    </row>
    <row r="83" spans="4:34">
      <c r="T83" s="328">
        <v>46134</v>
      </c>
      <c r="U83" s="426">
        <v>4640.8999999999996</v>
      </c>
      <c r="V83" s="426"/>
    </row>
    <row r="84" spans="4:34">
      <c r="D84" s="16" t="s">
        <v>803</v>
      </c>
      <c r="F84" t="s">
        <v>804</v>
      </c>
      <c r="G84" t="s">
        <v>805</v>
      </c>
      <c r="T84" s="328">
        <v>46133</v>
      </c>
      <c r="U84" s="426">
        <v>4693.1000000000004</v>
      </c>
      <c r="V84" s="426"/>
    </row>
    <row r="85" spans="4:34">
      <c r="E85">
        <v>2020</v>
      </c>
      <c r="F85" s="22">
        <v>75</v>
      </c>
      <c r="L85" s="443" t="s">
        <v>818</v>
      </c>
      <c r="T85" s="328">
        <v>46132</v>
      </c>
      <c r="U85" s="426">
        <v>4678.2</v>
      </c>
      <c r="V85" s="426"/>
    </row>
    <row r="86" spans="4:34">
      <c r="E86">
        <f>E85+1</f>
        <v>2021</v>
      </c>
      <c r="F86" s="22">
        <v>31</v>
      </c>
      <c r="G86" s="230">
        <f>F86/F85-1</f>
        <v>-0.58666666666666667</v>
      </c>
      <c r="L86" t="s">
        <v>819</v>
      </c>
      <c r="M86" s="225">
        <v>0.92</v>
      </c>
      <c r="T86" s="328">
        <v>46129</v>
      </c>
      <c r="U86" s="426">
        <v>4638.3999999999996</v>
      </c>
      <c r="V86" s="426"/>
    </row>
    <row r="87" spans="4:34">
      <c r="E87">
        <f t="shared" ref="E87:E90" si="9">E86+1</f>
        <v>2022</v>
      </c>
      <c r="F87" s="22">
        <v>50</v>
      </c>
      <c r="G87" s="230">
        <f t="shared" ref="G87:G91" si="10">F87/F86-1</f>
        <v>0.61290322580645151</v>
      </c>
      <c r="L87" t="s">
        <v>820</v>
      </c>
      <c r="M87" s="225">
        <v>0.03</v>
      </c>
      <c r="T87" s="328">
        <v>46128</v>
      </c>
      <c r="U87" s="426">
        <v>4608.7</v>
      </c>
      <c r="V87" s="426"/>
      <c r="X87" s="429">
        <v>2021</v>
      </c>
      <c r="Y87" s="429">
        <f>X87+1</f>
        <v>2022</v>
      </c>
      <c r="Z87" s="429">
        <f t="shared" ref="Z87:AC87" si="11">Y87+1</f>
        <v>2023</v>
      </c>
      <c r="AA87" s="429">
        <f t="shared" si="11"/>
        <v>2024</v>
      </c>
      <c r="AB87" s="429">
        <f t="shared" si="11"/>
        <v>2025</v>
      </c>
      <c r="AC87" s="429">
        <f t="shared" si="11"/>
        <v>2026</v>
      </c>
      <c r="AD87" s="430">
        <f>AC87+1</f>
        <v>2027</v>
      </c>
      <c r="AE87" s="430">
        <f t="shared" ref="AE87:AH87" si="12">AD87+1</f>
        <v>2028</v>
      </c>
      <c r="AF87" s="430">
        <f t="shared" si="12"/>
        <v>2029</v>
      </c>
      <c r="AG87" s="430">
        <f t="shared" si="12"/>
        <v>2030</v>
      </c>
      <c r="AH87" s="430">
        <f t="shared" si="12"/>
        <v>2031</v>
      </c>
    </row>
    <row r="88" spans="4:34">
      <c r="E88">
        <f t="shared" si="9"/>
        <v>2023</v>
      </c>
      <c r="F88" s="22">
        <v>86</v>
      </c>
      <c r="G88" s="230">
        <f t="shared" si="10"/>
        <v>0.72</v>
      </c>
      <c r="L88" t="s">
        <v>822</v>
      </c>
      <c r="M88" s="225">
        <v>0.02</v>
      </c>
      <c r="T88" s="328">
        <v>46127</v>
      </c>
      <c r="U88" s="426">
        <v>4638</v>
      </c>
      <c r="V88" s="426"/>
      <c r="W88" t="s">
        <v>22</v>
      </c>
      <c r="X88" s="444">
        <v>146406.31</v>
      </c>
      <c r="Y88" s="444">
        <v>259309.27</v>
      </c>
      <c r="Z88" s="444">
        <v>544464.53</v>
      </c>
      <c r="AA88" s="444">
        <v>689043</v>
      </c>
      <c r="AB88" s="444">
        <v>808029</v>
      </c>
      <c r="AC88" s="444">
        <v>849619</v>
      </c>
      <c r="AD88" s="444">
        <v>1015783.43</v>
      </c>
      <c r="AE88" s="444">
        <v>1214721.5549000001</v>
      </c>
      <c r="AF88" s="444">
        <v>1452929.0716069997</v>
      </c>
      <c r="AG88" s="444">
        <v>1738192.8294850097</v>
      </c>
      <c r="AH88" s="444">
        <v>2079847.9291773739</v>
      </c>
    </row>
    <row r="89" spans="4:34">
      <c r="E89">
        <f t="shared" si="9"/>
        <v>2024</v>
      </c>
      <c r="F89" s="22">
        <v>107</v>
      </c>
      <c r="G89" s="230">
        <f t="shared" si="10"/>
        <v>0.2441860465116279</v>
      </c>
      <c r="L89" t="s">
        <v>821</v>
      </c>
      <c r="M89" s="225">
        <v>0.03</v>
      </c>
      <c r="T89" s="328">
        <v>46125</v>
      </c>
      <c r="U89" s="426">
        <v>4427.2</v>
      </c>
      <c r="V89" s="426"/>
      <c r="W89" t="s">
        <v>823</v>
      </c>
      <c r="Y89" s="56">
        <f>Y88/X88-1</f>
        <v>0.77116184404893473</v>
      </c>
      <c r="Z89" s="56">
        <f t="shared" ref="Z89:AH89" si="13">Z88/Y88-1</f>
        <v>1.0996724490412553</v>
      </c>
      <c r="AA89" s="56">
        <f t="shared" si="13"/>
        <v>0.26554249548634501</v>
      </c>
      <c r="AB89" s="56">
        <f t="shared" si="13"/>
        <v>0.17268298204901589</v>
      </c>
      <c r="AC89" s="56">
        <f t="shared" si="13"/>
        <v>5.1470924929674533E-2</v>
      </c>
      <c r="AD89" s="56">
        <f t="shared" si="13"/>
        <v>0.19557522842591801</v>
      </c>
      <c r="AE89" s="56">
        <f t="shared" si="13"/>
        <v>0.19584698767925368</v>
      </c>
      <c r="AF89" s="56">
        <f t="shared" si="13"/>
        <v>0.19610051023307129</v>
      </c>
      <c r="AG89" s="56">
        <f t="shared" si="13"/>
        <v>0.19633701565520778</v>
      </c>
      <c r="AH89" s="56">
        <f t="shared" si="13"/>
        <v>0.19655765108269918</v>
      </c>
    </row>
    <row r="90" spans="4:34">
      <c r="E90">
        <f t="shared" si="9"/>
        <v>2025</v>
      </c>
      <c r="F90" s="22">
        <v>118</v>
      </c>
      <c r="G90" s="230">
        <f t="shared" si="10"/>
        <v>0.10280373831775691</v>
      </c>
      <c r="T90" s="328">
        <v>46122</v>
      </c>
      <c r="U90" s="426">
        <v>4554.2</v>
      </c>
      <c r="V90" s="426"/>
    </row>
    <row r="91" spans="4:34">
      <c r="E91">
        <f>E90+1</f>
        <v>2026</v>
      </c>
      <c r="F91" s="22">
        <v>123</v>
      </c>
      <c r="G91" s="230">
        <f t="shared" si="10"/>
        <v>4.2372881355932313E-2</v>
      </c>
      <c r="T91" s="328">
        <v>46121</v>
      </c>
      <c r="U91" s="426">
        <v>4449.1000000000004</v>
      </c>
      <c r="V91" s="426"/>
      <c r="X91" s="429">
        <v>2021</v>
      </c>
      <c r="Y91" s="429">
        <f>X91+1</f>
        <v>2022</v>
      </c>
      <c r="Z91" s="429">
        <f t="shared" ref="Z91" si="14">Y91+1</f>
        <v>2023</v>
      </c>
      <c r="AA91" s="429">
        <f t="shared" ref="AA91" si="15">Z91+1</f>
        <v>2024</v>
      </c>
      <c r="AB91" s="429">
        <f t="shared" ref="AB91" si="16">AA91+1</f>
        <v>2025</v>
      </c>
      <c r="AC91" s="429">
        <f t="shared" ref="AC91" si="17">AB91+1</f>
        <v>2026</v>
      </c>
      <c r="AD91" s="430">
        <f>AC91+1</f>
        <v>2027</v>
      </c>
      <c r="AE91" s="430">
        <f t="shared" ref="AE91:AH91" si="18">AD91+1</f>
        <v>2028</v>
      </c>
      <c r="AF91" s="430">
        <f t="shared" si="18"/>
        <v>2029</v>
      </c>
      <c r="AG91" s="430">
        <f t="shared" si="18"/>
        <v>2030</v>
      </c>
      <c r="AH91" s="430">
        <f t="shared" si="18"/>
        <v>2031</v>
      </c>
    </row>
    <row r="92" spans="4:34">
      <c r="T92" s="328">
        <v>46120</v>
      </c>
      <c r="U92" s="426">
        <v>4615.5</v>
      </c>
      <c r="V92" s="426"/>
      <c r="W92" t="s">
        <v>824</v>
      </c>
      <c r="X92" s="230">
        <v>0.35464980983401595</v>
      </c>
      <c r="Y92" s="230">
        <v>0.25028349352878898</v>
      </c>
      <c r="Z92" s="230">
        <v>0.28536409892486475</v>
      </c>
      <c r="AA92" s="230">
        <v>0.41084954059470891</v>
      </c>
      <c r="AB92" s="230">
        <v>0.40373055917547512</v>
      </c>
      <c r="AC92" s="230">
        <v>0.33611654164984539</v>
      </c>
      <c r="AD92" s="230">
        <v>0.33999999999999991</v>
      </c>
      <c r="AE92" s="230">
        <v>0.34</v>
      </c>
      <c r="AF92" s="230">
        <v>0.33999999999999997</v>
      </c>
      <c r="AG92" s="230">
        <v>0.33999999999999997</v>
      </c>
      <c r="AH92" s="230">
        <v>0.33999999999999997</v>
      </c>
    </row>
    <row r="93" spans="4:34">
      <c r="D93" t="s">
        <v>806</v>
      </c>
      <c r="T93" s="328">
        <v>46119</v>
      </c>
      <c r="U93" s="426">
        <v>4268.8</v>
      </c>
      <c r="V93" s="426"/>
      <c r="W93" t="s">
        <v>825</v>
      </c>
      <c r="X93" s="230">
        <f>('3 Statement Model'!D14/'3 Statement Model'!D13)*-1</f>
        <v>0.64535019016598405</v>
      </c>
      <c r="Y93" s="230">
        <f>('3 Statement Model'!E14/'3 Statement Model'!E13)*-1</f>
        <v>0.74971650647121102</v>
      </c>
      <c r="Z93" s="230">
        <f>('3 Statement Model'!F14/'3 Statement Model'!F13)*-1</f>
        <v>0.71463590107513519</v>
      </c>
      <c r="AA93" s="230">
        <f>('3 Statement Model'!G14/'3 Statement Model'!G13)*-1</f>
        <v>0.58915045940529109</v>
      </c>
      <c r="AB93" s="230">
        <f>('3 Statement Model'!H14/'3 Statement Model'!H13)*-1</f>
        <v>0.59626944082452482</v>
      </c>
      <c r="AC93" s="230">
        <f>('3 Statement Model'!I14/'3 Statement Model'!I13)*-1</f>
        <v>0.66388345835015461</v>
      </c>
      <c r="AD93" s="230">
        <f>('3 Statement Model'!J14/'3 Statement Model'!J13)*-1</f>
        <v>0.66</v>
      </c>
      <c r="AE93" s="230">
        <f>('3 Statement Model'!K14/'3 Statement Model'!K13)*-1</f>
        <v>0.66</v>
      </c>
      <c r="AF93" s="230">
        <f>('3 Statement Model'!L14/'3 Statement Model'!L13)*-1</f>
        <v>0.66</v>
      </c>
      <c r="AG93" s="230">
        <f>('3 Statement Model'!M14/'3 Statement Model'!M13)*-1</f>
        <v>0.66</v>
      </c>
      <c r="AH93" s="230">
        <f>('3 Statement Model'!N14/'3 Statement Model'!N13)*-1</f>
        <v>0.66</v>
      </c>
    </row>
    <row r="94" spans="4:34">
      <c r="E94" t="s">
        <v>807</v>
      </c>
      <c r="F94" t="s">
        <v>813</v>
      </c>
      <c r="G94" t="s">
        <v>808</v>
      </c>
      <c r="T94" s="328">
        <v>46118</v>
      </c>
      <c r="U94" s="426">
        <v>4312.5</v>
      </c>
      <c r="V94" s="426"/>
    </row>
    <row r="95" spans="4:34">
      <c r="E95" t="s">
        <v>809</v>
      </c>
      <c r="F95">
        <v>11.73</v>
      </c>
      <c r="G95" s="265">
        <v>1E-3</v>
      </c>
      <c r="T95" s="328">
        <v>46114</v>
      </c>
      <c r="U95" s="426">
        <v>4193.5</v>
      </c>
      <c r="V95" s="426"/>
      <c r="X95" s="429">
        <v>2021</v>
      </c>
      <c r="Y95" s="429">
        <f>X95+1</f>
        <v>2022</v>
      </c>
      <c r="Z95" s="429">
        <f t="shared" ref="Z95" si="19">Y95+1</f>
        <v>2023</v>
      </c>
      <c r="AA95" s="429">
        <f t="shared" ref="AA95" si="20">Z95+1</f>
        <v>2024</v>
      </c>
      <c r="AB95" s="429">
        <f t="shared" ref="AB95" si="21">AA95+1</f>
        <v>2025</v>
      </c>
      <c r="AC95" s="429">
        <f t="shared" ref="AC95" si="22">AB95+1</f>
        <v>2026</v>
      </c>
      <c r="AD95" s="430">
        <f>AC95+1</f>
        <v>2027</v>
      </c>
      <c r="AE95" s="430">
        <f t="shared" ref="AE95" si="23">AD95+1</f>
        <v>2028</v>
      </c>
      <c r="AF95" s="430">
        <f t="shared" ref="AF95" si="24">AE95+1</f>
        <v>2029</v>
      </c>
      <c r="AG95" s="430">
        <f t="shared" ref="AG95" si="25">AF95+1</f>
        <v>2030</v>
      </c>
      <c r="AH95" s="430">
        <f t="shared" ref="AH95" si="26">AG95+1</f>
        <v>2031</v>
      </c>
    </row>
    <row r="96" spans="4:34">
      <c r="E96" t="s">
        <v>810</v>
      </c>
      <c r="F96">
        <v>3.29</v>
      </c>
      <c r="G96" s="265">
        <v>-4.2000000000000003E-2</v>
      </c>
      <c r="T96" s="328">
        <v>46113</v>
      </c>
      <c r="U96" s="426">
        <v>4180.8</v>
      </c>
      <c r="V96" s="426"/>
      <c r="W96" t="s">
        <v>64</v>
      </c>
      <c r="X96" s="445">
        <v>-136.05000000001019</v>
      </c>
      <c r="Y96" s="22">
        <v>5473.3299999999872</v>
      </c>
      <c r="Z96" s="22">
        <v>64953.5</v>
      </c>
      <c r="AA96" s="22">
        <v>163175</v>
      </c>
      <c r="AB96" s="22">
        <v>180583</v>
      </c>
      <c r="AC96" s="22">
        <v>119834</v>
      </c>
      <c r="AD96" s="22">
        <v>152367.51449999993</v>
      </c>
      <c r="AE96" s="22">
        <v>182208.23323500002</v>
      </c>
      <c r="AF96" s="22">
        <v>174351.48859283997</v>
      </c>
      <c r="AG96" s="22">
        <v>173819.28294850094</v>
      </c>
      <c r="AH96" s="22">
        <v>207984.79291773733</v>
      </c>
    </row>
    <row r="97" spans="4:35">
      <c r="E97" t="s">
        <v>811</v>
      </c>
      <c r="F97" s="148">
        <v>2.5</v>
      </c>
      <c r="G97" s="265">
        <v>-8.4000000000000005E-2</v>
      </c>
      <c r="T97" s="328">
        <v>46111</v>
      </c>
      <c r="U97" s="426">
        <v>3943.5</v>
      </c>
      <c r="V97" s="426"/>
      <c r="W97" t="s">
        <v>318</v>
      </c>
      <c r="X97" s="446">
        <v>-9.2926322642794686E-4</v>
      </c>
      <c r="Y97" s="230">
        <v>2.1107344137754842E-2</v>
      </c>
      <c r="Z97" s="230">
        <v>0.11929794581843559</v>
      </c>
      <c r="AA97" s="230">
        <v>0.23681395790973858</v>
      </c>
      <c r="AB97" s="230">
        <v>0.22348579073275834</v>
      </c>
      <c r="AC97" s="230">
        <v>0.14104439754760664</v>
      </c>
      <c r="AD97" s="230">
        <v>0.14999999999999994</v>
      </c>
      <c r="AE97" s="230">
        <v>0.15</v>
      </c>
      <c r="AF97" s="230">
        <v>0.12000000000000001</v>
      </c>
      <c r="AG97" s="230">
        <v>9.9999999999999992E-2</v>
      </c>
      <c r="AH97" s="230">
        <v>9.9999999999999978E-2</v>
      </c>
    </row>
    <row r="98" spans="4:35">
      <c r="E98" t="s">
        <v>812</v>
      </c>
      <c r="F98">
        <v>0.85</v>
      </c>
      <c r="G98" s="265">
        <v>2.8000000000000001E-2</v>
      </c>
      <c r="T98" s="328">
        <v>46108</v>
      </c>
      <c r="U98" s="426">
        <v>4099.5</v>
      </c>
      <c r="V98" s="426"/>
    </row>
    <row r="99" spans="4:35">
      <c r="E99" t="s">
        <v>814</v>
      </c>
      <c r="F99" s="148">
        <v>0.4</v>
      </c>
      <c r="G99" s="265">
        <v>-0.16600000000000001</v>
      </c>
      <c r="T99" s="328">
        <v>46106</v>
      </c>
      <c r="U99" s="426">
        <v>4294.7</v>
      </c>
      <c r="V99" s="426"/>
    </row>
    <row r="100" spans="4:35">
      <c r="T100" s="328">
        <v>46105</v>
      </c>
      <c r="U100" s="426">
        <v>4150.8</v>
      </c>
      <c r="V100" s="426"/>
      <c r="X100" s="429">
        <v>2021</v>
      </c>
      <c r="Y100" s="429">
        <f>X100+1</f>
        <v>2022</v>
      </c>
      <c r="Z100" s="429">
        <f t="shared" ref="Z100" si="27">Y100+1</f>
        <v>2023</v>
      </c>
      <c r="AA100" s="429">
        <f t="shared" ref="AA100" si="28">Z100+1</f>
        <v>2024</v>
      </c>
      <c r="AB100" s="429">
        <f t="shared" ref="AB100" si="29">AA100+1</f>
        <v>2025</v>
      </c>
      <c r="AC100" s="429">
        <f t="shared" ref="AC100" si="30">AB100+1</f>
        <v>2026</v>
      </c>
      <c r="AD100" s="430">
        <f>AC100+1</f>
        <v>2027</v>
      </c>
      <c r="AE100" s="430">
        <f t="shared" ref="AE100" si="31">AD100+1</f>
        <v>2028</v>
      </c>
      <c r="AF100" s="430">
        <f t="shared" ref="AF100" si="32">AE100+1</f>
        <v>2029</v>
      </c>
      <c r="AG100" s="430">
        <f t="shared" ref="AG100" si="33">AF100+1</f>
        <v>2030</v>
      </c>
      <c r="AH100" s="430">
        <f t="shared" ref="AH100" si="34">AG100+1</f>
        <v>2031</v>
      </c>
    </row>
    <row r="101" spans="4:35">
      <c r="T101" s="328">
        <v>46104</v>
      </c>
      <c r="U101" s="426">
        <v>3945.3</v>
      </c>
      <c r="V101" s="426"/>
      <c r="W101" t="s">
        <v>29</v>
      </c>
      <c r="X101" s="447">
        <v>-58064.270000000011</v>
      </c>
      <c r="Y101" s="447">
        <v>-61618.450000000012</v>
      </c>
      <c r="Z101" s="447">
        <v>-3057.890000000004</v>
      </c>
      <c r="AA101" s="447">
        <v>81725.459999999992</v>
      </c>
      <c r="AB101" s="447">
        <v>72584</v>
      </c>
      <c r="AC101" s="447">
        <v>-23936</v>
      </c>
      <c r="AD101" s="447">
        <v>9439.9535502280632</v>
      </c>
      <c r="AE101" s="447">
        <v>33891.114279007968</v>
      </c>
      <c r="AF101" s="447">
        <v>32220.773603973164</v>
      </c>
      <c r="AG101" s="447">
        <v>32854.962082532991</v>
      </c>
      <c r="AH101" s="447">
        <v>46691.848877621225</v>
      </c>
    </row>
    <row r="102" spans="4:35">
      <c r="D102" t="s">
        <v>815</v>
      </c>
      <c r="F102" t="s">
        <v>816</v>
      </c>
      <c r="G102" t="s">
        <v>817</v>
      </c>
      <c r="T102" s="328">
        <v>46101</v>
      </c>
      <c r="U102" s="426">
        <v>4149.1000000000004</v>
      </c>
      <c r="V102" s="426"/>
      <c r="W102" s="19" t="s">
        <v>74</v>
      </c>
      <c r="X102" s="446">
        <v>-0.39659677236589058</v>
      </c>
      <c r="Y102" s="446">
        <v>-0.23762532669965872</v>
      </c>
      <c r="Z102" s="446">
        <v>-5.6163254564994417E-3</v>
      </c>
      <c r="AA102" s="230">
        <v>0.11860719867990821</v>
      </c>
      <c r="AB102" s="230">
        <v>8.9828459127085786E-2</v>
      </c>
      <c r="AC102" s="446">
        <v>-2.817262796618249E-2</v>
      </c>
      <c r="AD102" s="230">
        <v>9.2932738135215135E-3</v>
      </c>
      <c r="AE102" s="230">
        <v>2.7900315214047549E-2</v>
      </c>
      <c r="AF102" s="230">
        <v>2.217642570007609E-2</v>
      </c>
      <c r="AG102" s="230">
        <v>1.8901793589993828E-2</v>
      </c>
      <c r="AH102" s="230">
        <v>2.244964558350614E-2</v>
      </c>
    </row>
    <row r="103" spans="4:35">
      <c r="E103" s="433">
        <v>22</v>
      </c>
      <c r="F103" s="148">
        <v>-13.6</v>
      </c>
      <c r="G103" s="34">
        <v>-0.45200000000000001</v>
      </c>
      <c r="T103" s="328">
        <v>46100</v>
      </c>
      <c r="U103" s="426">
        <v>4154.3</v>
      </c>
      <c r="V103" s="426"/>
    </row>
    <row r="104" spans="4:35">
      <c r="E104" s="433">
        <f t="shared" ref="E104:E106" si="35">E103+1</f>
        <v>23</v>
      </c>
      <c r="F104" s="148">
        <v>7.17</v>
      </c>
      <c r="G104" s="34">
        <v>5.6000000000000001E-2</v>
      </c>
      <c r="T104" s="328">
        <v>46099</v>
      </c>
      <c r="U104" s="426">
        <v>4360.6000000000004</v>
      </c>
      <c r="V104" s="426"/>
      <c r="X104" s="429">
        <v>2021</v>
      </c>
      <c r="Y104" s="429">
        <f>X104+1</f>
        <v>2022</v>
      </c>
      <c r="Z104" s="429">
        <f t="shared" ref="Z104" si="36">Y104+1</f>
        <v>2023</v>
      </c>
      <c r="AA104" s="429">
        <f t="shared" ref="AA104" si="37">Z104+1</f>
        <v>2024</v>
      </c>
      <c r="AB104" s="429">
        <f t="shared" ref="AB104" si="38">AA104+1</f>
        <v>2025</v>
      </c>
      <c r="AC104" s="429">
        <f t="shared" ref="AC104" si="39">AB104+1</f>
        <v>2026</v>
      </c>
      <c r="AD104" s="430">
        <f>AC104+1</f>
        <v>2027</v>
      </c>
      <c r="AE104" s="430">
        <f t="shared" ref="AE104" si="40">AD104+1</f>
        <v>2028</v>
      </c>
      <c r="AF104" s="430">
        <f t="shared" ref="AF104" si="41">AE104+1</f>
        <v>2029</v>
      </c>
      <c r="AG104" s="430">
        <f t="shared" ref="AG104" si="42">AF104+1</f>
        <v>2030</v>
      </c>
      <c r="AH104" s="430">
        <f t="shared" ref="AH104" si="43">AG104+1</f>
        <v>2031</v>
      </c>
    </row>
    <row r="105" spans="4:35">
      <c r="E105" s="433">
        <f t="shared" si="35"/>
        <v>24</v>
      </c>
      <c r="F105" s="148">
        <v>52.11</v>
      </c>
      <c r="G105" s="34">
        <v>0.29699999999999999</v>
      </c>
      <c r="T105" s="328">
        <v>46098</v>
      </c>
      <c r="U105" s="426">
        <v>4287.8999999999996</v>
      </c>
      <c r="V105" s="426"/>
      <c r="W105" t="s">
        <v>828</v>
      </c>
      <c r="X105">
        <v>2189.7800000000002</v>
      </c>
      <c r="Y105" s="84">
        <v>3329.23</v>
      </c>
      <c r="Z105" s="84">
        <v>5199.04</v>
      </c>
      <c r="AA105" s="84">
        <v>6425</v>
      </c>
      <c r="AB105" s="84">
        <v>7397</v>
      </c>
      <c r="AC105" s="84">
        <v>5996</v>
      </c>
      <c r="AD105" s="193">
        <v>13914.841506849316</v>
      </c>
      <c r="AE105" s="193">
        <v>16640.0213</v>
      </c>
      <c r="AF105" s="193">
        <v>19903.137967219176</v>
      </c>
      <c r="AG105" s="193">
        <v>19048.688542301476</v>
      </c>
      <c r="AH105" s="193">
        <v>22792.854018382179</v>
      </c>
      <c r="AI105" s="151">
        <f>'Schedule Sheet'!AI181</f>
        <v>0</v>
      </c>
    </row>
    <row r="106" spans="4:35">
      <c r="E106" s="433">
        <f t="shared" si="35"/>
        <v>25</v>
      </c>
      <c r="F106" s="148">
        <v>58.11</v>
      </c>
      <c r="G106" s="34">
        <v>0.28599999999999998</v>
      </c>
      <c r="T106" s="328">
        <v>46097</v>
      </c>
      <c r="U106" s="426">
        <v>4222.1000000000004</v>
      </c>
      <c r="V106" s="426"/>
      <c r="W106" s="19" t="s">
        <v>829</v>
      </c>
      <c r="X106" s="448">
        <v>5.45925718638766</v>
      </c>
      <c r="Y106" s="448">
        <v>4.6861762790046031</v>
      </c>
      <c r="Z106" s="448">
        <v>3.485350276169505</v>
      </c>
      <c r="AA106" s="448">
        <v>3.4034523244558028</v>
      </c>
      <c r="AB106" s="448">
        <v>3.341346659587713</v>
      </c>
      <c r="AC106" s="448">
        <v>2.5759075538564935</v>
      </c>
      <c r="AD106" s="448">
        <v>5</v>
      </c>
      <c r="AE106" s="448">
        <v>5</v>
      </c>
      <c r="AF106" s="448">
        <v>5</v>
      </c>
      <c r="AG106" s="448">
        <v>4</v>
      </c>
      <c r="AH106" s="448">
        <v>4</v>
      </c>
      <c r="AI106" s="199"/>
    </row>
    <row r="107" spans="4:35">
      <c r="E107" s="433">
        <f>E106+1</f>
        <v>26</v>
      </c>
      <c r="F107" s="148">
        <v>57.39</v>
      </c>
      <c r="G107" s="34">
        <v>0.28000000000000003</v>
      </c>
      <c r="T107" s="328">
        <v>46094</v>
      </c>
      <c r="U107" s="426">
        <v>4158.2</v>
      </c>
      <c r="V107" s="426"/>
    </row>
    <row r="108" spans="4:35">
      <c r="E108" s="433">
        <f>E107+1</f>
        <v>27</v>
      </c>
      <c r="F108" s="148">
        <v>38.299999999999997</v>
      </c>
      <c r="G108" s="34">
        <v>0.156</v>
      </c>
      <c r="T108" s="328">
        <v>46093</v>
      </c>
      <c r="U108" s="426">
        <v>4251.7</v>
      </c>
      <c r="V108" s="426"/>
    </row>
    <row r="109" spans="4:35">
      <c r="T109" s="328">
        <v>46092</v>
      </c>
      <c r="U109" s="426">
        <v>4350.7</v>
      </c>
      <c r="V109" s="426"/>
    </row>
    <row r="110" spans="4:35">
      <c r="T110" s="328">
        <v>46091</v>
      </c>
      <c r="U110" s="426">
        <v>4380.3999999999996</v>
      </c>
      <c r="V110" s="426"/>
    </row>
    <row r="111" spans="4:35">
      <c r="T111" s="328">
        <v>46090</v>
      </c>
      <c r="U111" s="426">
        <v>4236.7</v>
      </c>
      <c r="V111" s="426"/>
    </row>
    <row r="112" spans="4:35">
      <c r="T112" s="328">
        <v>46087</v>
      </c>
      <c r="U112" s="426">
        <v>4404.1000000000004</v>
      </c>
      <c r="V112" s="426"/>
    </row>
    <row r="113" spans="20:35">
      <c r="T113" s="328">
        <v>46086</v>
      </c>
      <c r="U113" s="426">
        <v>4512.8</v>
      </c>
      <c r="V113" s="426"/>
    </row>
    <row r="114" spans="20:35">
      <c r="T114" s="328">
        <v>46085</v>
      </c>
      <c r="U114" s="426">
        <v>4392.8999999999996</v>
      </c>
      <c r="V114" s="426"/>
    </row>
    <row r="115" spans="20:35">
      <c r="T115" s="328">
        <v>46083</v>
      </c>
      <c r="U115" s="426">
        <v>4520.3999999999996</v>
      </c>
      <c r="V115" s="426"/>
    </row>
    <row r="116" spans="20:35">
      <c r="T116" s="328">
        <v>46080</v>
      </c>
      <c r="U116" s="426">
        <v>4827.2</v>
      </c>
      <c r="V116" s="426"/>
      <c r="X116" s="429">
        <v>2021</v>
      </c>
      <c r="Y116" s="429">
        <f>X116+1</f>
        <v>2022</v>
      </c>
      <c r="Z116" s="429">
        <f t="shared" ref="Z116" si="44">Y116+1</f>
        <v>2023</v>
      </c>
      <c r="AA116" s="429">
        <f t="shared" ref="AA116" si="45">Z116+1</f>
        <v>2024</v>
      </c>
      <c r="AB116" s="429">
        <f t="shared" ref="AB116" si="46">AA116+1</f>
        <v>2025</v>
      </c>
      <c r="AC116" s="429">
        <f t="shared" ref="AC116" si="47">AB116+1</f>
        <v>2026</v>
      </c>
      <c r="AD116" s="430">
        <f>AC116+1</f>
        <v>2027</v>
      </c>
      <c r="AE116" s="430">
        <f t="shared" ref="AE116" si="48">AD116+1</f>
        <v>2028</v>
      </c>
      <c r="AF116" s="430">
        <f t="shared" ref="AF116" si="49">AE116+1</f>
        <v>2029</v>
      </c>
      <c r="AG116" s="430">
        <f t="shared" ref="AG116" si="50">AF116+1</f>
        <v>2030</v>
      </c>
      <c r="AH116" s="430">
        <f t="shared" ref="AH116" si="51">AG116+1</f>
        <v>2031</v>
      </c>
    </row>
    <row r="117" spans="20:35">
      <c r="T117" s="328">
        <v>46079</v>
      </c>
      <c r="U117" s="426">
        <v>4933.5</v>
      </c>
      <c r="V117" s="426"/>
      <c r="W117" t="s">
        <v>832</v>
      </c>
      <c r="X117" s="22">
        <v>15513.289999999999</v>
      </c>
      <c r="Y117" s="450">
        <v>31518.2</v>
      </c>
      <c r="Z117" s="450">
        <v>32089.89</v>
      </c>
      <c r="AA117" s="450">
        <v>31576</v>
      </c>
      <c r="AB117" s="450">
        <v>41756</v>
      </c>
      <c r="AC117" s="450">
        <v>49905</v>
      </c>
      <c r="AD117" s="450">
        <v>55102.772367123303</v>
      </c>
      <c r="AE117" s="450">
        <v>65894.484347999998</v>
      </c>
      <c r="AF117" s="450">
        <v>65680.355291823274</v>
      </c>
      <c r="AG117" s="450">
        <v>78575.840236993594</v>
      </c>
      <c r="AH117" s="450">
        <v>94020.522825826498</v>
      </c>
      <c r="AI117" s="151">
        <f>'Schedule Sheet'!AI200</f>
        <v>0</v>
      </c>
    </row>
    <row r="118" spans="20:35">
      <c r="T118" s="328">
        <v>46078</v>
      </c>
      <c r="U118" s="426">
        <v>4947.3999999999996</v>
      </c>
      <c r="V118" s="426"/>
      <c r="W118" t="s">
        <v>831</v>
      </c>
      <c r="X118" s="448">
        <v>38.675592944047288</v>
      </c>
      <c r="Y118" s="448">
        <v>44.364565138762686</v>
      </c>
      <c r="Z118" s="448">
        <v>21.512530577519897</v>
      </c>
      <c r="AA118" s="448">
        <v>16.726445229107615</v>
      </c>
      <c r="AB118" s="448">
        <v>18.861872531802693</v>
      </c>
      <c r="AC118" s="448">
        <v>21.439404015211526</v>
      </c>
      <c r="AD118" s="448">
        <v>19.800000000000004</v>
      </c>
      <c r="AE118" s="448">
        <v>19.799999999999997</v>
      </c>
      <c r="AF118" s="448">
        <v>16.5</v>
      </c>
      <c r="AG118" s="448">
        <v>16.5</v>
      </c>
      <c r="AH118" s="448">
        <v>16.5</v>
      </c>
      <c r="AI118" s="199"/>
    </row>
    <row r="119" spans="20:35">
      <c r="T119" s="328">
        <v>46077</v>
      </c>
      <c r="U119" s="426">
        <v>4850.3</v>
      </c>
      <c r="V119" s="426"/>
    </row>
    <row r="120" spans="20:35">
      <c r="T120" s="328">
        <v>46076</v>
      </c>
      <c r="U120" s="426">
        <v>4862.2</v>
      </c>
      <c r="V120" s="426"/>
    </row>
    <row r="121" spans="20:35">
      <c r="T121" s="328">
        <v>46073</v>
      </c>
      <c r="U121" s="426">
        <v>4854.6000000000004</v>
      </c>
      <c r="V121" s="426"/>
    </row>
    <row r="122" spans="20:35">
      <c r="T122" s="328">
        <v>46072</v>
      </c>
      <c r="U122" s="426">
        <v>4815.1000000000004</v>
      </c>
      <c r="V122" s="426"/>
    </row>
    <row r="123" spans="20:35">
      <c r="T123" s="328">
        <v>46071</v>
      </c>
      <c r="U123" s="426">
        <v>4980.3999999999996</v>
      </c>
      <c r="V123" s="426"/>
    </row>
    <row r="124" spans="20:35">
      <c r="T124" s="328">
        <v>46070</v>
      </c>
      <c r="U124" s="426">
        <v>4977</v>
      </c>
      <c r="V124" s="426"/>
    </row>
    <row r="125" spans="20:35">
      <c r="T125" s="328">
        <v>46069</v>
      </c>
      <c r="U125" s="426">
        <v>4940.8</v>
      </c>
      <c r="V125" s="426"/>
    </row>
    <row r="126" spans="20:35">
      <c r="T126" s="328">
        <v>46066</v>
      </c>
      <c r="U126" s="426">
        <v>4929.2</v>
      </c>
      <c r="V126" s="426"/>
    </row>
    <row r="127" spans="20:35">
      <c r="T127" s="328">
        <v>46065</v>
      </c>
      <c r="U127" s="426">
        <v>4982.8</v>
      </c>
      <c r="V127" s="426"/>
      <c r="X127" s="429">
        <v>2021</v>
      </c>
      <c r="Y127" s="429">
        <f>X127+1</f>
        <v>2022</v>
      </c>
      <c r="Z127" s="429">
        <f t="shared" ref="Z127" si="52">Y127+1</f>
        <v>2023</v>
      </c>
      <c r="AA127" s="429">
        <f t="shared" ref="AA127" si="53">Z127+1</f>
        <v>2024</v>
      </c>
      <c r="AB127" s="429">
        <f t="shared" ref="AB127" si="54">AA127+1</f>
        <v>2025</v>
      </c>
      <c r="AC127" s="429">
        <f t="shared" ref="AC127" si="55">AB127+1</f>
        <v>2026</v>
      </c>
      <c r="AD127" s="430">
        <f>AC127+1</f>
        <v>2027</v>
      </c>
      <c r="AE127" s="430">
        <f t="shared" ref="AE127" si="56">AD127+1</f>
        <v>2028</v>
      </c>
      <c r="AF127" s="430">
        <f t="shared" ref="AF127" si="57">AE127+1</f>
        <v>2029</v>
      </c>
      <c r="AG127" s="430">
        <f t="shared" ref="AG127" si="58">AF127+1</f>
        <v>2030</v>
      </c>
      <c r="AH127" s="430">
        <f t="shared" ref="AH127" si="59">AG127+1</f>
        <v>2031</v>
      </c>
    </row>
    <row r="128" spans="20:35">
      <c r="T128" s="328">
        <v>46064</v>
      </c>
      <c r="U128" s="426">
        <v>5013.8</v>
      </c>
      <c r="V128" s="426"/>
      <c r="W128" t="s">
        <v>569</v>
      </c>
      <c r="X128" s="444">
        <v>91974.92</v>
      </c>
      <c r="Y128" s="444">
        <v>114030.07</v>
      </c>
      <c r="Z128" s="444">
        <v>126296.04</v>
      </c>
      <c r="AA128" s="444">
        <v>134166</v>
      </c>
      <c r="AB128" s="444">
        <v>121415</v>
      </c>
      <c r="AC128" s="444">
        <v>132787</v>
      </c>
      <c r="AD128" s="444">
        <v>142209.68020000003</v>
      </c>
      <c r="AE128" s="444">
        <v>170061.01768600004</v>
      </c>
      <c r="AF128" s="444">
        <v>203410.07002497997</v>
      </c>
      <c r="AG128" s="444">
        <v>243346.99612790137</v>
      </c>
      <c r="AH128" s="444">
        <v>291178.71008483239</v>
      </c>
    </row>
    <row r="129" spans="20:34">
      <c r="T129" s="328">
        <v>46063</v>
      </c>
      <c r="U129" s="426">
        <v>4960.3999999999996</v>
      </c>
      <c r="V129" s="426"/>
      <c r="W129" t="s">
        <v>835</v>
      </c>
      <c r="Y129" s="56">
        <f>Y128/X128-1</f>
        <v>0.23979526157783027</v>
      </c>
      <c r="Z129" s="56">
        <f t="shared" ref="Z129:AH129" si="60">Z128/Y128-1</f>
        <v>0.10756785468955665</v>
      </c>
      <c r="AA129" s="56">
        <f t="shared" si="60"/>
        <v>6.231359273022341E-2</v>
      </c>
      <c r="AB129" s="56">
        <f t="shared" si="60"/>
        <v>-9.5038981560156777E-2</v>
      </c>
      <c r="AC129" s="56">
        <f t="shared" si="60"/>
        <v>9.3662232837787851E-2</v>
      </c>
      <c r="AD129" s="56">
        <f t="shared" si="60"/>
        <v>7.0960863638759974E-2</v>
      </c>
      <c r="AE129" s="56">
        <f t="shared" si="60"/>
        <v>0.19584698767925368</v>
      </c>
      <c r="AF129" s="56">
        <f t="shared" si="60"/>
        <v>0.19610051023307107</v>
      </c>
      <c r="AG129" s="56">
        <f t="shared" si="60"/>
        <v>0.19633701565520778</v>
      </c>
      <c r="AH129" s="56">
        <f t="shared" si="60"/>
        <v>0.1965576510826994</v>
      </c>
    </row>
    <row r="130" spans="20:34">
      <c r="T130" s="328">
        <v>46062</v>
      </c>
      <c r="U130" s="426">
        <v>4964.1000000000004</v>
      </c>
      <c r="V130" s="426"/>
      <c r="W130" t="s">
        <v>834</v>
      </c>
      <c r="X130" s="444">
        <v>206621.62</v>
      </c>
      <c r="Y130" s="444">
        <v>254748.3</v>
      </c>
      <c r="Z130" s="444">
        <v>322246.09000000003</v>
      </c>
      <c r="AA130" s="444">
        <v>378635</v>
      </c>
      <c r="AB130" s="444">
        <v>546683</v>
      </c>
      <c r="AC130" s="444">
        <v>644705</v>
      </c>
      <c r="AD130" s="444">
        <v>676940.25</v>
      </c>
      <c r="AE130" s="444">
        <v>710787.26249999995</v>
      </c>
      <c r="AF130" s="444">
        <v>746326.62562499999</v>
      </c>
      <c r="AG130" s="444">
        <v>761253.15813749994</v>
      </c>
      <c r="AH130" s="444">
        <v>776478.22130024992</v>
      </c>
    </row>
    <row r="131" spans="20:34">
      <c r="T131" s="328">
        <v>46059</v>
      </c>
      <c r="U131" s="426">
        <v>4909.3999999999996</v>
      </c>
      <c r="V131" s="426"/>
      <c r="W131" t="s">
        <v>836</v>
      </c>
      <c r="Y131" s="56">
        <f t="shared" ref="Y131:AH131" si="61">Y130/X130-1</f>
        <v>0.23292180169722787</v>
      </c>
      <c r="Z131" s="56">
        <f t="shared" si="61"/>
        <v>0.26495874555394505</v>
      </c>
      <c r="AA131" s="56">
        <f t="shared" si="61"/>
        <v>0.17498710380008009</v>
      </c>
      <c r="AB131" s="56">
        <f t="shared" si="61"/>
        <v>0.44382584811229808</v>
      </c>
      <c r="AC131" s="56">
        <f t="shared" si="61"/>
        <v>0.17930317935622653</v>
      </c>
      <c r="AD131" s="56">
        <f t="shared" si="61"/>
        <v>5.0000000000000044E-2</v>
      </c>
      <c r="AE131" s="56">
        <f t="shared" si="61"/>
        <v>4.9999999999999822E-2</v>
      </c>
      <c r="AF131" s="56">
        <f t="shared" si="61"/>
        <v>5.0000000000000044E-2</v>
      </c>
      <c r="AG131" s="56">
        <f t="shared" si="61"/>
        <v>2.0000000000000018E-2</v>
      </c>
      <c r="AH131" s="56">
        <f t="shared" si="61"/>
        <v>2.0000000000000018E-2</v>
      </c>
    </row>
    <row r="132" spans="20:34">
      <c r="T132" s="328">
        <v>46058</v>
      </c>
      <c r="U132" s="426">
        <v>4932.2</v>
      </c>
      <c r="V132" s="426"/>
      <c r="W132" t="s">
        <v>833</v>
      </c>
      <c r="X132" s="84">
        <v>298596.53999999998</v>
      </c>
      <c r="Y132" s="84">
        <v>368778.37</v>
      </c>
      <c r="Z132" s="84">
        <v>448542.13</v>
      </c>
      <c r="AA132" s="84">
        <v>512801</v>
      </c>
      <c r="AB132" s="84">
        <v>668098</v>
      </c>
      <c r="AC132" s="84">
        <v>777492</v>
      </c>
      <c r="AD132" s="84">
        <v>819149.93020000006</v>
      </c>
      <c r="AE132" s="84">
        <v>880848.28018600005</v>
      </c>
      <c r="AF132" s="84">
        <v>949736.69564997999</v>
      </c>
      <c r="AG132" s="84">
        <v>1004600.1542654013</v>
      </c>
      <c r="AH132" s="84">
        <v>1067656.9313850822</v>
      </c>
    </row>
    <row r="133" spans="20:34">
      <c r="T133" s="328">
        <v>46057</v>
      </c>
      <c r="U133" s="426">
        <v>4960.7</v>
      </c>
      <c r="V133" s="426"/>
    </row>
    <row r="134" spans="20:34">
      <c r="T134" s="328">
        <v>46056</v>
      </c>
      <c r="U134" s="426">
        <v>4946.2</v>
      </c>
      <c r="V134" s="426"/>
    </row>
    <row r="135" spans="20:34">
      <c r="T135" s="328">
        <v>46055</v>
      </c>
      <c r="U135" s="426">
        <v>4687</v>
      </c>
      <c r="V135" s="426"/>
    </row>
    <row r="136" spans="20:34">
      <c r="T136" s="328">
        <v>46054</v>
      </c>
      <c r="U136" s="426">
        <v>4589.5</v>
      </c>
      <c r="V136" s="426"/>
    </row>
    <row r="137" spans="20:34">
      <c r="T137" s="328">
        <v>46052</v>
      </c>
      <c r="U137" s="426">
        <v>4596.5</v>
      </c>
      <c r="V137" s="426"/>
    </row>
    <row r="138" spans="20:34">
      <c r="T138" s="328">
        <v>46051</v>
      </c>
      <c r="U138" s="426">
        <v>4621</v>
      </c>
      <c r="V138" s="426"/>
    </row>
    <row r="139" spans="20:34">
      <c r="T139" s="328">
        <v>46050</v>
      </c>
      <c r="U139" s="426">
        <v>4749</v>
      </c>
      <c r="V139" s="426"/>
    </row>
    <row r="140" spans="20:34">
      <c r="T140" s="328">
        <v>46049</v>
      </c>
      <c r="U140" s="426">
        <v>4769</v>
      </c>
      <c r="V140" s="426"/>
    </row>
    <row r="141" spans="20:34">
      <c r="T141" s="328">
        <v>46045</v>
      </c>
      <c r="U141" s="426">
        <v>4704.5</v>
      </c>
      <c r="V141" s="426"/>
    </row>
    <row r="142" spans="20:34">
      <c r="T142" s="328">
        <v>46044</v>
      </c>
      <c r="U142" s="426">
        <v>4909</v>
      </c>
      <c r="V142" s="426"/>
    </row>
    <row r="143" spans="20:34">
      <c r="T143" s="328">
        <v>46043</v>
      </c>
      <c r="U143" s="426">
        <v>4857.5</v>
      </c>
      <c r="V143" s="426"/>
    </row>
    <row r="144" spans="20:34">
      <c r="T144" s="328">
        <v>46042</v>
      </c>
      <c r="U144" s="426">
        <v>4790</v>
      </c>
      <c r="V144" s="426"/>
    </row>
    <row r="145" spans="20:22">
      <c r="T145" s="328">
        <v>46041</v>
      </c>
      <c r="U145" s="426">
        <v>4941.5</v>
      </c>
      <c r="V145" s="426"/>
    </row>
    <row r="146" spans="20:22">
      <c r="T146" s="328">
        <v>46038</v>
      </c>
      <c r="U146" s="426">
        <v>4740</v>
      </c>
      <c r="V146" s="426"/>
    </row>
    <row r="147" spans="20:22">
      <c r="T147" s="328">
        <v>46036</v>
      </c>
      <c r="U147" s="426">
        <v>4733</v>
      </c>
      <c r="V147" s="426"/>
    </row>
    <row r="148" spans="20:22">
      <c r="T148" s="328">
        <v>46035</v>
      </c>
      <c r="U148" s="426">
        <v>4759.5</v>
      </c>
      <c r="V148" s="426"/>
    </row>
    <row r="149" spans="20:22">
      <c r="T149" s="328">
        <v>46034</v>
      </c>
      <c r="U149" s="426">
        <v>4850</v>
      </c>
      <c r="V149" s="426"/>
    </row>
    <row r="150" spans="20:22">
      <c r="T150" s="328">
        <v>46031</v>
      </c>
      <c r="U150" s="426">
        <v>4844</v>
      </c>
      <c r="V150" s="426"/>
    </row>
    <row r="151" spans="20:22">
      <c r="T151" s="328">
        <v>46030</v>
      </c>
      <c r="U151" s="426">
        <v>4906.5</v>
      </c>
      <c r="V151" s="426"/>
    </row>
    <row r="152" spans="20:22">
      <c r="T152" s="328">
        <v>46029</v>
      </c>
      <c r="U152" s="426">
        <v>4951</v>
      </c>
      <c r="V152" s="426"/>
    </row>
    <row r="153" spans="20:22">
      <c r="T153" s="328">
        <v>46028</v>
      </c>
      <c r="U153" s="426">
        <v>5002.5</v>
      </c>
      <c r="V153" s="426"/>
    </row>
    <row r="154" spans="20:22">
      <c r="T154" s="328">
        <v>46027</v>
      </c>
      <c r="U154" s="426">
        <v>5102.5</v>
      </c>
      <c r="V154" s="426"/>
    </row>
    <row r="155" spans="20:22">
      <c r="T155" s="328">
        <v>46024</v>
      </c>
      <c r="U155" s="426">
        <v>5106</v>
      </c>
      <c r="V155" s="426"/>
    </row>
    <row r="156" spans="20:22">
      <c r="T156" s="328">
        <v>46023</v>
      </c>
      <c r="U156" s="426">
        <v>5110.5</v>
      </c>
      <c r="V156" s="426"/>
    </row>
    <row r="157" spans="20:22">
      <c r="T157" s="328">
        <v>46022</v>
      </c>
      <c r="U157" s="426">
        <v>5059.5</v>
      </c>
      <c r="V157" s="426"/>
    </row>
    <row r="158" spans="20:22">
      <c r="T158" s="328">
        <v>46021</v>
      </c>
      <c r="U158" s="426">
        <v>5018</v>
      </c>
      <c r="V158" s="426"/>
    </row>
    <row r="159" spans="20:22">
      <c r="T159" s="328">
        <v>46020</v>
      </c>
      <c r="U159" s="426">
        <v>5085.5</v>
      </c>
      <c r="V159" s="426"/>
    </row>
    <row r="160" spans="20:22">
      <c r="T160" s="328">
        <v>46017</v>
      </c>
      <c r="U160" s="426">
        <v>5074</v>
      </c>
      <c r="V160" s="426"/>
    </row>
    <row r="161" spans="20:22">
      <c r="T161" s="328">
        <v>46015</v>
      </c>
      <c r="U161" s="426">
        <v>5081.5</v>
      </c>
      <c r="V161" s="426"/>
    </row>
    <row r="162" spans="20:22">
      <c r="T162" s="328">
        <v>46014</v>
      </c>
      <c r="U162" s="426">
        <v>5157</v>
      </c>
      <c r="V162" s="426"/>
    </row>
    <row r="163" spans="20:22">
      <c r="T163" s="328">
        <v>46013</v>
      </c>
      <c r="U163" s="426">
        <v>5145.5</v>
      </c>
      <c r="V163" s="426"/>
    </row>
    <row r="164" spans="20:22">
      <c r="T164" s="328">
        <v>46010</v>
      </c>
      <c r="U164" s="426">
        <v>5153.5</v>
      </c>
      <c r="V164" s="426"/>
    </row>
    <row r="165" spans="20:22">
      <c r="T165" s="328">
        <v>46009</v>
      </c>
      <c r="U165" s="426">
        <v>5115.5</v>
      </c>
      <c r="V165" s="426"/>
    </row>
    <row r="166" spans="20:22">
      <c r="T166" s="328">
        <v>46008</v>
      </c>
      <c r="U166" s="426">
        <v>4980.5</v>
      </c>
      <c r="V166" s="426"/>
    </row>
    <row r="167" spans="20:22">
      <c r="T167" s="328">
        <v>46007</v>
      </c>
      <c r="U167" s="426">
        <v>4974</v>
      </c>
      <c r="V167" s="426"/>
    </row>
    <row r="168" spans="20:22">
      <c r="T168" s="328">
        <v>46006</v>
      </c>
      <c r="U168" s="426">
        <v>4965.5</v>
      </c>
      <c r="V168" s="426"/>
    </row>
    <row r="169" spans="20:22">
      <c r="T169" s="328">
        <v>46003</v>
      </c>
      <c r="U169" s="426">
        <v>4860.5</v>
      </c>
      <c r="V169" s="426"/>
    </row>
    <row r="170" spans="20:22">
      <c r="T170" s="328">
        <v>46002</v>
      </c>
      <c r="U170" s="426">
        <v>4819</v>
      </c>
      <c r="V170" s="426"/>
    </row>
    <row r="171" spans="20:22">
      <c r="T171" s="328">
        <v>46001</v>
      </c>
      <c r="U171" s="426">
        <v>4805.5</v>
      </c>
      <c r="V171" s="426"/>
    </row>
    <row r="172" spans="20:22">
      <c r="T172" s="328">
        <v>46000</v>
      </c>
      <c r="U172" s="426">
        <v>4967.5</v>
      </c>
      <c r="V172" s="426"/>
    </row>
    <row r="173" spans="20:22">
      <c r="T173" s="328">
        <v>45999</v>
      </c>
      <c r="U173" s="426">
        <v>4923.5</v>
      </c>
      <c r="V173" s="426"/>
    </row>
    <row r="174" spans="20:22">
      <c r="T174" s="328">
        <v>45996</v>
      </c>
      <c r="U174" s="426">
        <v>5370.5</v>
      </c>
      <c r="V174" s="426"/>
    </row>
    <row r="175" spans="20:22">
      <c r="T175" s="328">
        <v>45995</v>
      </c>
      <c r="U175" s="426">
        <v>5436.5</v>
      </c>
      <c r="V175" s="426"/>
    </row>
    <row r="176" spans="20:22">
      <c r="T176" s="328">
        <v>45994</v>
      </c>
      <c r="U176" s="426">
        <v>5595.5</v>
      </c>
      <c r="V176" s="426"/>
    </row>
    <row r="177" spans="20:22">
      <c r="T177" s="328">
        <v>45993</v>
      </c>
      <c r="U177" s="426">
        <v>5697.5</v>
      </c>
      <c r="V177" s="426"/>
    </row>
    <row r="178" spans="20:22">
      <c r="T178" s="328">
        <v>45992</v>
      </c>
      <c r="U178" s="426">
        <v>5794</v>
      </c>
      <c r="V178" s="426"/>
    </row>
    <row r="179" spans="20:22">
      <c r="T179" s="328">
        <v>45989</v>
      </c>
      <c r="U179" s="426">
        <v>5901.5</v>
      </c>
      <c r="V179" s="426"/>
    </row>
    <row r="180" spans="20:22">
      <c r="T180" s="328">
        <v>45988</v>
      </c>
      <c r="U180" s="426">
        <v>5919</v>
      </c>
      <c r="V180" s="426"/>
    </row>
    <row r="181" spans="20:22">
      <c r="T181" s="328">
        <v>45987</v>
      </c>
      <c r="U181" s="426">
        <v>5913</v>
      </c>
      <c r="V181" s="426"/>
    </row>
    <row r="182" spans="20:22">
      <c r="T182" s="328">
        <v>45986</v>
      </c>
      <c r="U182" s="426">
        <v>5775</v>
      </c>
      <c r="V182" s="426"/>
    </row>
    <row r="183" spans="20:22">
      <c r="T183" s="328">
        <v>45985</v>
      </c>
      <c r="U183" s="426">
        <v>5805.5</v>
      </c>
      <c r="V183" s="426"/>
    </row>
    <row r="184" spans="20:22">
      <c r="T184" s="328">
        <v>45982</v>
      </c>
      <c r="U184" s="426">
        <v>5843.5</v>
      </c>
      <c r="V184" s="426"/>
    </row>
    <row r="185" spans="20:22">
      <c r="T185" s="328">
        <v>45981</v>
      </c>
      <c r="U185" s="426">
        <v>5785.5</v>
      </c>
      <c r="V185" s="426"/>
    </row>
    <row r="186" spans="20:22">
      <c r="T186" s="328">
        <v>45980</v>
      </c>
      <c r="U186" s="426">
        <v>5758.5</v>
      </c>
      <c r="V186" s="426"/>
    </row>
    <row r="187" spans="20:22">
      <c r="T187" s="328">
        <v>45979</v>
      </c>
      <c r="U187" s="426">
        <v>5739.5</v>
      </c>
      <c r="V187" s="426"/>
    </row>
    <row r="188" spans="20:22">
      <c r="T188" s="328">
        <v>45978</v>
      </c>
      <c r="U188" s="426">
        <v>5873</v>
      </c>
      <c r="V188" s="426"/>
    </row>
    <row r="189" spans="20:22">
      <c r="T189" s="328">
        <v>45975</v>
      </c>
      <c r="U189" s="426">
        <v>5908.5</v>
      </c>
      <c r="V189" s="426"/>
    </row>
    <row r="190" spans="20:22">
      <c r="T190" s="328">
        <v>45974</v>
      </c>
      <c r="U190" s="426">
        <v>5905.5</v>
      </c>
      <c r="V190" s="426"/>
    </row>
    <row r="191" spans="20:22">
      <c r="T191" s="328">
        <v>45973</v>
      </c>
      <c r="U191" s="426">
        <v>5795.5</v>
      </c>
      <c r="V191" s="426"/>
    </row>
    <row r="192" spans="20:22">
      <c r="T192" s="328">
        <v>45972</v>
      </c>
      <c r="U192" s="426">
        <v>5782.5</v>
      </c>
      <c r="V192" s="426"/>
    </row>
    <row r="193" spans="20:22">
      <c r="T193" s="328">
        <v>45971</v>
      </c>
      <c r="U193" s="426">
        <v>5588.5</v>
      </c>
      <c r="V193" s="426"/>
    </row>
    <row r="194" spans="20:22">
      <c r="T194" s="328">
        <v>45968</v>
      </c>
      <c r="U194" s="426">
        <v>5583.5</v>
      </c>
      <c r="V194" s="426"/>
    </row>
    <row r="195" spans="20:22">
      <c r="T195" s="328">
        <v>45967</v>
      </c>
      <c r="U195" s="426">
        <v>5693</v>
      </c>
      <c r="V195" s="426"/>
    </row>
    <row r="196" spans="20:22">
      <c r="T196" s="328">
        <v>45965</v>
      </c>
      <c r="U196" s="426">
        <v>5637</v>
      </c>
      <c r="V196" s="426"/>
    </row>
    <row r="197" spans="20:22">
      <c r="T197" s="328">
        <v>45964</v>
      </c>
      <c r="U197" s="426">
        <v>5695.5</v>
      </c>
      <c r="V197" s="426"/>
    </row>
    <row r="198" spans="20:22">
      <c r="T198" s="328">
        <v>45961</v>
      </c>
      <c r="U198" s="426">
        <v>5625</v>
      </c>
      <c r="V198" s="426"/>
    </row>
    <row r="199" spans="20:22">
      <c r="T199" s="328">
        <v>45960</v>
      </c>
      <c r="U199" s="426">
        <v>5725</v>
      </c>
      <c r="V199" s="426"/>
    </row>
    <row r="200" spans="20:22">
      <c r="T200" s="328">
        <v>45959</v>
      </c>
      <c r="U200" s="426">
        <v>5813</v>
      </c>
      <c r="V200" s="426"/>
    </row>
    <row r="201" spans="20:22">
      <c r="T201" s="328">
        <v>45958</v>
      </c>
      <c r="U201" s="426">
        <v>5809</v>
      </c>
      <c r="V201" s="426"/>
    </row>
    <row r="202" spans="20:22">
      <c r="T202" s="328">
        <v>45957</v>
      </c>
      <c r="U202" s="426">
        <v>5835</v>
      </c>
      <c r="V202" s="426"/>
    </row>
    <row r="203" spans="20:22">
      <c r="T203" s="328">
        <v>45954</v>
      </c>
      <c r="U203" s="426">
        <v>5779</v>
      </c>
      <c r="V203" s="426"/>
    </row>
    <row r="204" spans="20:22">
      <c r="T204" s="328">
        <v>45953</v>
      </c>
      <c r="U204" s="426">
        <v>5789</v>
      </c>
      <c r="V204" s="426"/>
    </row>
    <row r="205" spans="20:22">
      <c r="T205" s="328">
        <v>45951</v>
      </c>
      <c r="U205" s="426">
        <v>5913</v>
      </c>
      <c r="V205" s="426"/>
    </row>
    <row r="206" spans="20:22">
      <c r="T206" s="328">
        <v>45950</v>
      </c>
      <c r="U206" s="426">
        <v>5934</v>
      </c>
      <c r="V206" s="426"/>
    </row>
    <row r="207" spans="20:22">
      <c r="T207" s="328">
        <v>45947</v>
      </c>
      <c r="U207" s="426">
        <v>5848</v>
      </c>
      <c r="V207" s="426"/>
    </row>
    <row r="208" spans="20:22">
      <c r="T208" s="328">
        <v>45946</v>
      </c>
      <c r="U208" s="426">
        <v>5881</v>
      </c>
      <c r="V208" s="426"/>
    </row>
    <row r="209" spans="20:22">
      <c r="T209" s="328">
        <v>45945</v>
      </c>
      <c r="U209" s="426">
        <v>5860.5</v>
      </c>
      <c r="V209" s="426"/>
    </row>
    <row r="210" spans="20:22">
      <c r="T210" s="328">
        <v>45944</v>
      </c>
      <c r="U210" s="426">
        <v>5759</v>
      </c>
      <c r="V210" s="426"/>
    </row>
    <row r="211" spans="20:22">
      <c r="T211" s="328">
        <v>45943</v>
      </c>
      <c r="U211" s="426">
        <v>5787.5</v>
      </c>
      <c r="V211" s="426"/>
    </row>
    <row r="212" spans="20:22">
      <c r="T212" s="328">
        <v>45940</v>
      </c>
      <c r="U212" s="426">
        <v>5735</v>
      </c>
      <c r="V212" s="426"/>
    </row>
    <row r="213" spans="20:22">
      <c r="T213" s="328">
        <v>45939</v>
      </c>
      <c r="U213" s="426">
        <v>5724.5</v>
      </c>
      <c r="V213" s="426"/>
    </row>
    <row r="214" spans="20:22">
      <c r="T214" s="328">
        <v>45938</v>
      </c>
      <c r="U214" s="426">
        <v>5635</v>
      </c>
      <c r="V214" s="426"/>
    </row>
    <row r="215" spans="20:22">
      <c r="T215" s="328">
        <v>45937</v>
      </c>
      <c r="U215" s="426">
        <v>5664</v>
      </c>
      <c r="V215" s="426"/>
    </row>
    <row r="216" spans="20:22">
      <c r="T216" s="328">
        <v>45936</v>
      </c>
      <c r="U216" s="426">
        <v>5694.5</v>
      </c>
      <c r="V216" s="426"/>
    </row>
    <row r="217" spans="20:22">
      <c r="T217" s="328">
        <v>45933</v>
      </c>
      <c r="U217" s="426">
        <v>5657</v>
      </c>
      <c r="V217" s="426"/>
    </row>
    <row r="218" spans="20:22">
      <c r="T218" s="328">
        <v>45931</v>
      </c>
      <c r="U218" s="426">
        <v>5606</v>
      </c>
      <c r="V218" s="426"/>
    </row>
    <row r="219" spans="20:22">
      <c r="T219" s="328">
        <v>45930</v>
      </c>
      <c r="U219" s="426">
        <v>5594.5</v>
      </c>
      <c r="V219" s="426"/>
    </row>
    <row r="220" spans="20:22">
      <c r="T220" s="328">
        <v>45929</v>
      </c>
      <c r="U220" s="426">
        <v>5707</v>
      </c>
      <c r="V220" s="426"/>
    </row>
    <row r="221" spans="20:22">
      <c r="T221" s="328">
        <v>45926</v>
      </c>
      <c r="U221" s="426">
        <v>5561</v>
      </c>
      <c r="V221" s="426"/>
    </row>
    <row r="222" spans="20:22">
      <c r="T222" s="328">
        <v>45925</v>
      </c>
      <c r="U222" s="426">
        <v>5674.5</v>
      </c>
      <c r="V222" s="426"/>
    </row>
    <row r="223" spans="20:22">
      <c r="T223" s="328">
        <v>45924</v>
      </c>
      <c r="U223" s="426">
        <v>5686</v>
      </c>
      <c r="V223" s="426"/>
    </row>
    <row r="224" spans="20:22">
      <c r="T224" s="328">
        <v>45923</v>
      </c>
      <c r="U224" s="426">
        <v>5732</v>
      </c>
      <c r="V224" s="426"/>
    </row>
    <row r="225" spans="20:22">
      <c r="T225" s="328">
        <v>45922</v>
      </c>
      <c r="U225" s="426">
        <v>5747.5</v>
      </c>
      <c r="V225" s="426"/>
    </row>
    <row r="226" spans="20:22">
      <c r="T226" s="328">
        <v>45919</v>
      </c>
      <c r="U226" s="426">
        <v>5679</v>
      </c>
      <c r="V226" s="426"/>
    </row>
    <row r="227" spans="20:22">
      <c r="T227" s="328">
        <v>45918</v>
      </c>
      <c r="U227" s="426">
        <v>5715.5</v>
      </c>
      <c r="V227" s="426"/>
    </row>
    <row r="228" spans="20:22">
      <c r="T228" s="328">
        <v>45917</v>
      </c>
      <c r="U228" s="426">
        <v>5746.5</v>
      </c>
      <c r="V228" s="426"/>
    </row>
    <row r="229" spans="20:22">
      <c r="T229" s="328">
        <v>45916</v>
      </c>
      <c r="U229" s="426">
        <v>5727.5</v>
      </c>
      <c r="V229" s="426"/>
    </row>
    <row r="230" spans="20:22">
      <c r="T230" s="328">
        <v>45915</v>
      </c>
      <c r="U230" s="426">
        <v>5728.5</v>
      </c>
      <c r="V230" s="426"/>
    </row>
    <row r="231" spans="20:22">
      <c r="T231" s="328">
        <v>45912</v>
      </c>
      <c r="U231" s="426">
        <v>5727.5</v>
      </c>
      <c r="V231" s="426"/>
    </row>
    <row r="232" spans="20:22">
      <c r="T232" s="328">
        <v>45911</v>
      </c>
      <c r="U232" s="426">
        <v>5667</v>
      </c>
      <c r="V232" s="426"/>
    </row>
    <row r="233" spans="20:22">
      <c r="T233" s="328">
        <v>45910</v>
      </c>
      <c r="U233" s="426">
        <v>5619</v>
      </c>
      <c r="V233" s="426"/>
    </row>
    <row r="234" spans="20:22">
      <c r="T234" s="328">
        <v>45909</v>
      </c>
      <c r="U234" s="426">
        <v>5637.5</v>
      </c>
      <c r="V234" s="426"/>
    </row>
    <row r="235" spans="20:22">
      <c r="T235" s="328">
        <v>45908</v>
      </c>
      <c r="U235" s="426">
        <v>5696.5</v>
      </c>
      <c r="V235" s="426"/>
    </row>
    <row r="236" spans="20:22">
      <c r="T236" s="328">
        <v>45905</v>
      </c>
      <c r="U236" s="426">
        <v>5670</v>
      </c>
      <c r="V236" s="426"/>
    </row>
    <row r="237" spans="20:22">
      <c r="T237" s="328">
        <v>45904</v>
      </c>
      <c r="U237" s="426">
        <v>5695</v>
      </c>
      <c r="V237" s="426"/>
    </row>
    <row r="238" spans="20:22">
      <c r="T238" s="328">
        <v>45903</v>
      </c>
      <c r="U238" s="426">
        <v>5740</v>
      </c>
      <c r="V238" s="426"/>
    </row>
    <row r="239" spans="20:22">
      <c r="T239" s="328">
        <v>45902</v>
      </c>
      <c r="U239" s="426">
        <v>5665.5</v>
      </c>
      <c r="V239" s="426"/>
    </row>
    <row r="240" spans="20:22">
      <c r="T240" s="328">
        <v>45901</v>
      </c>
      <c r="U240" s="426">
        <v>5670</v>
      </c>
      <c r="V240" s="426"/>
    </row>
    <row r="241" spans="20:22">
      <c r="T241" s="328">
        <v>45898</v>
      </c>
      <c r="U241" s="426">
        <v>5646</v>
      </c>
      <c r="V241" s="426"/>
    </row>
    <row r="242" spans="20:22">
      <c r="T242" s="328">
        <v>45897</v>
      </c>
      <c r="U242" s="426">
        <v>5727</v>
      </c>
      <c r="V242" s="426"/>
    </row>
    <row r="243" spans="20:22">
      <c r="T243" s="328">
        <v>45895</v>
      </c>
      <c r="U243" s="426">
        <v>6050</v>
      </c>
      <c r="V243" s="426"/>
    </row>
    <row r="244" spans="20:22">
      <c r="T244" s="328">
        <v>45894</v>
      </c>
      <c r="U244" s="426">
        <v>6116</v>
      </c>
      <c r="V244" s="426"/>
    </row>
    <row r="245" spans="20:22">
      <c r="T245" s="328">
        <v>45891</v>
      </c>
      <c r="U245" s="426">
        <v>6086.5</v>
      </c>
      <c r="V245" s="426"/>
    </row>
    <row r="246" spans="20:22">
      <c r="T246" s="328">
        <v>45890</v>
      </c>
      <c r="U246" s="426">
        <v>6099</v>
      </c>
      <c r="V246" s="426"/>
    </row>
    <row r="247" spans="20:22">
      <c r="T247" s="328">
        <v>45889</v>
      </c>
      <c r="U247" s="426">
        <v>6155.5</v>
      </c>
      <c r="V247" s="426"/>
    </row>
    <row r="248" spans="20:22">
      <c r="T248" s="328">
        <v>45888</v>
      </c>
      <c r="U248" s="426">
        <v>6055.5</v>
      </c>
      <c r="V248" s="426"/>
    </row>
    <row r="249" spans="20:22">
      <c r="T249" s="328">
        <v>45887</v>
      </c>
      <c r="U249" s="426">
        <v>6096.5</v>
      </c>
      <c r="V249" s="426"/>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Control Sheet</vt:lpstr>
      <vt:lpstr>Schedule Sheet</vt:lpstr>
      <vt:lpstr>3 Statement Model</vt:lpstr>
      <vt:lpstr>Common Sized Model</vt:lpstr>
      <vt:lpstr>Ratio Analysis</vt:lpstr>
      <vt:lpstr>Input</vt:lpstr>
      <vt:lpstr>WACC</vt:lpstr>
      <vt:lpstr>Options Working</vt:lpstr>
      <vt:lpstr>DCF Valuation</vt:lpstr>
      <vt:lpstr>Relative Valuation</vt:lpstr>
      <vt:lpstr>Summary</vt:lpstr>
      <vt:lpstr>Growth-Margin Analysis</vt:lpstr>
      <vt:lpstr>Comparable Companies</vt:lpstr>
      <vt:lpstr>Company Description</vt:lpstr>
      <vt:lpstr>Income Statement</vt:lpstr>
      <vt:lpstr>Balance Sheet</vt:lpstr>
      <vt:lpstr>Cash Flow Statement</vt:lpstr>
      <vt:lpstr>Assumptions</vt:lpstr>
      <vt:lpstr>Damodaran Data</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sneha acharya</dc:creator>
  <cp:lastModifiedBy>sneha acharya</cp:lastModifiedBy>
  <cp:lastPrinted>2026-08-23T06:24:41Z</cp:lastPrinted>
  <dcterms:created xsi:type="dcterms:W3CDTF">2026-07-20T05:47:15Z</dcterms:created>
  <dcterms:modified xsi:type="dcterms:W3CDTF">2026-08-26T13:07:09Z</dcterms:modified>
</cp:coreProperties>
</file>